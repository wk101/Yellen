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msa\OneDrive\Desktop\Reports\"/>
    </mc:Choice>
  </mc:AlternateContent>
  <xr:revisionPtr revIDLastSave="0" documentId="13_ncr:1_{41B11A23-AC74-4ED9-96CB-C962400C11CD}" xr6:coauthVersionLast="47" xr6:coauthVersionMax="47" xr10:uidLastSave="{00000000-0000-0000-0000-000000000000}"/>
  <bookViews>
    <workbookView xWindow="-19310" yWindow="-110" windowWidth="19420" windowHeight="11020" firstSheet="1" activeTab="2" xr2:uid="{56BDE154-2717-4892-9BC9-88D091210712}"/>
  </bookViews>
  <sheets>
    <sheet name="Control" sheetId="13" state="hidden" r:id="rId1"/>
    <sheet name="Backtest_result" sheetId="1" r:id="rId2"/>
    <sheet name="Data" sheetId="15" r:id="rId3"/>
    <sheet name="fix" sheetId="16" r:id="rId4"/>
    <sheet name="Raw Quant Connect Data" sheetId="2" state="hidden" r:id="rId5"/>
  </sheets>
  <definedNames>
    <definedName name="_xlnm._FilterDatabase" localSheetId="1" hidden="1">Backtest_result!$A$1:$V$379</definedName>
    <definedName name="_xlnm._FilterDatabase" localSheetId="2" hidden="1">Data!$A$1:$D$3954</definedName>
    <definedName name="Config">Control!$D$12</definedName>
    <definedName name="End">Control!$D$10</definedName>
    <definedName name="Hi">#REF!</definedName>
    <definedName name="Start">Control!$D$9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69" i="15" l="1"/>
  <c r="A5049" i="15"/>
  <c r="A5050" i="15"/>
  <c r="A5051" i="15"/>
  <c r="A5052" i="15"/>
  <c r="A5053" i="15"/>
  <c r="A5054" i="15"/>
  <c r="A5055" i="15"/>
  <c r="A5056" i="15"/>
  <c r="A5057" i="15"/>
  <c r="A5058" i="15"/>
  <c r="A5059" i="15"/>
  <c r="A5060" i="15"/>
  <c r="A5061" i="15"/>
  <c r="A5062" i="15"/>
  <c r="A5063" i="15"/>
  <c r="A5064" i="15"/>
  <c r="A5065" i="15"/>
  <c r="A5066" i="15"/>
  <c r="A5067" i="15"/>
  <c r="A5068" i="15"/>
  <c r="A5028" i="15"/>
  <c r="A5029" i="15"/>
  <c r="A5030" i="15"/>
  <c r="A5031" i="15"/>
  <c r="A5032" i="15"/>
  <c r="A5033" i="15"/>
  <c r="A5034" i="15"/>
  <c r="A5035" i="15"/>
  <c r="A5036" i="15"/>
  <c r="A5037" i="15"/>
  <c r="A5038" i="15"/>
  <c r="A5039" i="15"/>
  <c r="A5040" i="15"/>
  <c r="A5041" i="15"/>
  <c r="A5042" i="15"/>
  <c r="A5043" i="15"/>
  <c r="A5044" i="15"/>
  <c r="A5045" i="15"/>
  <c r="A5046" i="15"/>
  <c r="A5047" i="15"/>
  <c r="A5048" i="15"/>
  <c r="A5027" i="15"/>
  <c r="A5006" i="15"/>
  <c r="A5007" i="15"/>
  <c r="A5008" i="15"/>
  <c r="A5009" i="15"/>
  <c r="A5010" i="15"/>
  <c r="A5011" i="15"/>
  <c r="A5012" i="15"/>
  <c r="A5013" i="15"/>
  <c r="A5014" i="15"/>
  <c r="A5015" i="15"/>
  <c r="A5016" i="15"/>
  <c r="A5017" i="15"/>
  <c r="A5018" i="15"/>
  <c r="A5019" i="15"/>
  <c r="A5020" i="15"/>
  <c r="A5021" i="15"/>
  <c r="A5022" i="15"/>
  <c r="A5023" i="15"/>
  <c r="A5024" i="15"/>
  <c r="A5025" i="15"/>
  <c r="A5026" i="15"/>
  <c r="A4985" i="15"/>
  <c r="A4986" i="15"/>
  <c r="A4987" i="15"/>
  <c r="A4988" i="15"/>
  <c r="A4989" i="15"/>
  <c r="A4990" i="15"/>
  <c r="A4991" i="15"/>
  <c r="A4992" i="15"/>
  <c r="A4993" i="15"/>
  <c r="A4994" i="15"/>
  <c r="A4995" i="15"/>
  <c r="A4996" i="15"/>
  <c r="A4997" i="15"/>
  <c r="A4998" i="15"/>
  <c r="A4999" i="15"/>
  <c r="A5000" i="15"/>
  <c r="A5001" i="15"/>
  <c r="A5002" i="15"/>
  <c r="A5003" i="15"/>
  <c r="A5004" i="15"/>
  <c r="A5005" i="15"/>
  <c r="A4964" i="15"/>
  <c r="A4965" i="15"/>
  <c r="A4966" i="15"/>
  <c r="A4967" i="15"/>
  <c r="A4968" i="15"/>
  <c r="A4969" i="15"/>
  <c r="A4970" i="15"/>
  <c r="A4971" i="15"/>
  <c r="A4972" i="15"/>
  <c r="A4973" i="15"/>
  <c r="A4974" i="15"/>
  <c r="A4975" i="15"/>
  <c r="A4976" i="15"/>
  <c r="A4977" i="15"/>
  <c r="A4978" i="15"/>
  <c r="A4979" i="15"/>
  <c r="A4980" i="15"/>
  <c r="A4981" i="15"/>
  <c r="A4982" i="15"/>
  <c r="A4983" i="15"/>
  <c r="A4984" i="15"/>
  <c r="A4943" i="15"/>
  <c r="A4944" i="15"/>
  <c r="A4945" i="15"/>
  <c r="A4946" i="15"/>
  <c r="A4947" i="15"/>
  <c r="A4948" i="15"/>
  <c r="A4949" i="15"/>
  <c r="A4950" i="15"/>
  <c r="A4951" i="15"/>
  <c r="A4952" i="15"/>
  <c r="A4953" i="15"/>
  <c r="A4954" i="15"/>
  <c r="A4955" i="15"/>
  <c r="A4956" i="15"/>
  <c r="A4957" i="15"/>
  <c r="A4958" i="15"/>
  <c r="A4959" i="15"/>
  <c r="A4960" i="15"/>
  <c r="A4961" i="15"/>
  <c r="A4962" i="15"/>
  <c r="A4963" i="15"/>
  <c r="A4922" i="15"/>
  <c r="A4923" i="15"/>
  <c r="A4924" i="15"/>
  <c r="A4925" i="15"/>
  <c r="A4926" i="15"/>
  <c r="A4927" i="15"/>
  <c r="A4928" i="15"/>
  <c r="A4929" i="15"/>
  <c r="A4930" i="15"/>
  <c r="A4931" i="15"/>
  <c r="A4932" i="15"/>
  <c r="A4933" i="15"/>
  <c r="A4934" i="15"/>
  <c r="A4935" i="15"/>
  <c r="A4936" i="15"/>
  <c r="A4937" i="15"/>
  <c r="A4938" i="15"/>
  <c r="A4939" i="15"/>
  <c r="A4940" i="15"/>
  <c r="A4941" i="15"/>
  <c r="A4942" i="15"/>
  <c r="A4901" i="15"/>
  <c r="A4902" i="15"/>
  <c r="A4903" i="15"/>
  <c r="A4904" i="15"/>
  <c r="A4905" i="15"/>
  <c r="A4906" i="15"/>
  <c r="A4907" i="15"/>
  <c r="A4908" i="15"/>
  <c r="A4909" i="15"/>
  <c r="A4910" i="15"/>
  <c r="A4911" i="15"/>
  <c r="A4912" i="15"/>
  <c r="A4913" i="15"/>
  <c r="A4914" i="15"/>
  <c r="A4915" i="15"/>
  <c r="A4916" i="15"/>
  <c r="A4917" i="15"/>
  <c r="A4918" i="15"/>
  <c r="A4919" i="15"/>
  <c r="A4920" i="15"/>
  <c r="A4921" i="15"/>
  <c r="A4880" i="15"/>
  <c r="A4881" i="15"/>
  <c r="A4882" i="15"/>
  <c r="A4883" i="15"/>
  <c r="A4884" i="15"/>
  <c r="A4885" i="15"/>
  <c r="A4886" i="15"/>
  <c r="A4887" i="15"/>
  <c r="A4888" i="15"/>
  <c r="A4889" i="15"/>
  <c r="A4890" i="15"/>
  <c r="A4891" i="15"/>
  <c r="A4892" i="15"/>
  <c r="A4893" i="15"/>
  <c r="A4894" i="15"/>
  <c r="A4895" i="15"/>
  <c r="A4896" i="15"/>
  <c r="A4897" i="15"/>
  <c r="A4898" i="15"/>
  <c r="A4899" i="15"/>
  <c r="A4900" i="15"/>
  <c r="A4859" i="15"/>
  <c r="A4860" i="15"/>
  <c r="A4861" i="15"/>
  <c r="A4862" i="15"/>
  <c r="A4863" i="15"/>
  <c r="A4864" i="15"/>
  <c r="A4865" i="15"/>
  <c r="A4866" i="15"/>
  <c r="A4867" i="15"/>
  <c r="A4868" i="15"/>
  <c r="A4869" i="15"/>
  <c r="A4870" i="15"/>
  <c r="A4871" i="15"/>
  <c r="A4872" i="15"/>
  <c r="A4873" i="15"/>
  <c r="A4874" i="15"/>
  <c r="A4875" i="15"/>
  <c r="A4876" i="15"/>
  <c r="A4877" i="15"/>
  <c r="A4878" i="15"/>
  <c r="A4879" i="15"/>
  <c r="A4838" i="15"/>
  <c r="A4839" i="15"/>
  <c r="A4840" i="15"/>
  <c r="A4841" i="15"/>
  <c r="A4842" i="15"/>
  <c r="A4843" i="15"/>
  <c r="A4844" i="15"/>
  <c r="A4845" i="15"/>
  <c r="A4846" i="15"/>
  <c r="A4847" i="15"/>
  <c r="A4848" i="15"/>
  <c r="A4849" i="15"/>
  <c r="A4850" i="15"/>
  <c r="A4851" i="15"/>
  <c r="A4852" i="15"/>
  <c r="A4853" i="15"/>
  <c r="A4854" i="15"/>
  <c r="A4855" i="15"/>
  <c r="A4856" i="15"/>
  <c r="A4857" i="15"/>
  <c r="A4858" i="15"/>
  <c r="A4817" i="15"/>
  <c r="A4818" i="15"/>
  <c r="A4819" i="15"/>
  <c r="A4820" i="15"/>
  <c r="A4821" i="15"/>
  <c r="A4822" i="15"/>
  <c r="A4823" i="15"/>
  <c r="A4824" i="15"/>
  <c r="A4825" i="15"/>
  <c r="A4826" i="15"/>
  <c r="A4827" i="15"/>
  <c r="A4828" i="15"/>
  <c r="A4829" i="15"/>
  <c r="A4830" i="15"/>
  <c r="A4831" i="15"/>
  <c r="A4832" i="15"/>
  <c r="A4833" i="15"/>
  <c r="A4834" i="15"/>
  <c r="A4835" i="15"/>
  <c r="A4836" i="15"/>
  <c r="A4837" i="15"/>
  <c r="A4796" i="15"/>
  <c r="A4797" i="15"/>
  <c r="A4798" i="15"/>
  <c r="A4799" i="15"/>
  <c r="A4800" i="15"/>
  <c r="A4801" i="15"/>
  <c r="A4802" i="15"/>
  <c r="A4803" i="15"/>
  <c r="A4804" i="15"/>
  <c r="A4805" i="15"/>
  <c r="A4806" i="15"/>
  <c r="A4807" i="15"/>
  <c r="A4808" i="15"/>
  <c r="A4809" i="15"/>
  <c r="A4810" i="15"/>
  <c r="A4811" i="15"/>
  <c r="A4812" i="15"/>
  <c r="A4813" i="15"/>
  <c r="A4814" i="15"/>
  <c r="A4815" i="15"/>
  <c r="A4816" i="15"/>
  <c r="A4775" i="15"/>
  <c r="A4776" i="15"/>
  <c r="A4777" i="15"/>
  <c r="A4778" i="15"/>
  <c r="A4779" i="15"/>
  <c r="A4780" i="15"/>
  <c r="A4781" i="15"/>
  <c r="A4782" i="15"/>
  <c r="A4783" i="15"/>
  <c r="A4784" i="15"/>
  <c r="A4785" i="15"/>
  <c r="A4786" i="15"/>
  <c r="A4787" i="15"/>
  <c r="A4788" i="15"/>
  <c r="A4789" i="15"/>
  <c r="A4790" i="15"/>
  <c r="A4791" i="15"/>
  <c r="A4792" i="15"/>
  <c r="A4793" i="15"/>
  <c r="A4794" i="15"/>
  <c r="A4795" i="15"/>
  <c r="A4755" i="15"/>
  <c r="A4756" i="15"/>
  <c r="A4757" i="15"/>
  <c r="A4758" i="15"/>
  <c r="A4759" i="15"/>
  <c r="A4760" i="15"/>
  <c r="A4761" i="15"/>
  <c r="A4762" i="15"/>
  <c r="A4763" i="15"/>
  <c r="A4764" i="15"/>
  <c r="A4765" i="15"/>
  <c r="A4766" i="15"/>
  <c r="A4767" i="15"/>
  <c r="A4768" i="15"/>
  <c r="A4769" i="15"/>
  <c r="A4770" i="15"/>
  <c r="A4771" i="15"/>
  <c r="A4772" i="15"/>
  <c r="A4773" i="15"/>
  <c r="A4774" i="15"/>
  <c r="A4733" i="15"/>
  <c r="A4734" i="15"/>
  <c r="A4735" i="15"/>
  <c r="A4736" i="15"/>
  <c r="A4737" i="15"/>
  <c r="A4738" i="15"/>
  <c r="A4739" i="15"/>
  <c r="A4740" i="15"/>
  <c r="A4741" i="15"/>
  <c r="A4742" i="15"/>
  <c r="A4743" i="15"/>
  <c r="A4744" i="15"/>
  <c r="A4745" i="15"/>
  <c r="A4746" i="15"/>
  <c r="A4747" i="15"/>
  <c r="A4748" i="15"/>
  <c r="A4749" i="15"/>
  <c r="A4750" i="15"/>
  <c r="A4751" i="15"/>
  <c r="A4752" i="15"/>
  <c r="A4753" i="15"/>
  <c r="A4754" i="15"/>
  <c r="A4732" i="15"/>
  <c r="A4713" i="15"/>
  <c r="A4714" i="15"/>
  <c r="A4715" i="15"/>
  <c r="A4716" i="15"/>
  <c r="A4717" i="15"/>
  <c r="A4718" i="15"/>
  <c r="A4719" i="15"/>
  <c r="A4720" i="15"/>
  <c r="A4721" i="15"/>
  <c r="A4722" i="15"/>
  <c r="A4723" i="15"/>
  <c r="A4724" i="15"/>
  <c r="A4725" i="15"/>
  <c r="A4726" i="15"/>
  <c r="A4727" i="15"/>
  <c r="A4728" i="15"/>
  <c r="A4729" i="15"/>
  <c r="A4730" i="15"/>
  <c r="A4731" i="15"/>
  <c r="A4712" i="15"/>
  <c r="A4691" i="15"/>
  <c r="A4692" i="15"/>
  <c r="A4693" i="15"/>
  <c r="A4694" i="15"/>
  <c r="A4695" i="15"/>
  <c r="A4696" i="15"/>
  <c r="A4697" i="15"/>
  <c r="A4698" i="15"/>
  <c r="A4699" i="15"/>
  <c r="A4700" i="15"/>
  <c r="A4701" i="15"/>
  <c r="A4702" i="15"/>
  <c r="A4703" i="15"/>
  <c r="A4704" i="15"/>
  <c r="A4705" i="15"/>
  <c r="A4706" i="15"/>
  <c r="A4707" i="15"/>
  <c r="A4708" i="15"/>
  <c r="A4709" i="15"/>
  <c r="A4710" i="15"/>
  <c r="A4711" i="15"/>
  <c r="A4670" i="15"/>
  <c r="A4671" i="15"/>
  <c r="A4672" i="15"/>
  <c r="A4673" i="15"/>
  <c r="A4674" i="15"/>
  <c r="A4675" i="15"/>
  <c r="A4676" i="15"/>
  <c r="A4677" i="15"/>
  <c r="A4678" i="15"/>
  <c r="A4679" i="15"/>
  <c r="A4680" i="15"/>
  <c r="A4681" i="15"/>
  <c r="A4682" i="15"/>
  <c r="A4683" i="15"/>
  <c r="A4684" i="15"/>
  <c r="A4685" i="15"/>
  <c r="A4686" i="15"/>
  <c r="A4687" i="15"/>
  <c r="A4688" i="15"/>
  <c r="A4689" i="15"/>
  <c r="A4690" i="15"/>
  <c r="A4648" i="15"/>
  <c r="A4649" i="15"/>
  <c r="A4650" i="15"/>
  <c r="A4651" i="15"/>
  <c r="A4652" i="15"/>
  <c r="A4653" i="15"/>
  <c r="A4654" i="15"/>
  <c r="A4655" i="15"/>
  <c r="A4656" i="15"/>
  <c r="A4657" i="15"/>
  <c r="A4658" i="15"/>
  <c r="A4659" i="15"/>
  <c r="A4660" i="15"/>
  <c r="A4661" i="15"/>
  <c r="A4662" i="15"/>
  <c r="A4663" i="15"/>
  <c r="A4664" i="15"/>
  <c r="A4665" i="15"/>
  <c r="A4666" i="15"/>
  <c r="A4667" i="15"/>
  <c r="A4668" i="15"/>
  <c r="A4669" i="15"/>
  <c r="A4628" i="15"/>
  <c r="A4629" i="15"/>
  <c r="A4630" i="15"/>
  <c r="A4631" i="15"/>
  <c r="A4632" i="15"/>
  <c r="A4633" i="15"/>
  <c r="A4634" i="15"/>
  <c r="A4635" i="15"/>
  <c r="A4636" i="15"/>
  <c r="A4637" i="15"/>
  <c r="A4638" i="15"/>
  <c r="A4639" i="15"/>
  <c r="A4640" i="15"/>
  <c r="A4641" i="15"/>
  <c r="A4642" i="15"/>
  <c r="A4643" i="15"/>
  <c r="A4644" i="15"/>
  <c r="A4645" i="15"/>
  <c r="A4646" i="15"/>
  <c r="A4647" i="15"/>
  <c r="A4627" i="15"/>
  <c r="A4606" i="15"/>
  <c r="A4607" i="15"/>
  <c r="A4608" i="15"/>
  <c r="A4609" i="15"/>
  <c r="A4610" i="15"/>
  <c r="A4611" i="15"/>
  <c r="A4612" i="15"/>
  <c r="A4613" i="15"/>
  <c r="A4614" i="15"/>
  <c r="A4615" i="15"/>
  <c r="A4616" i="15"/>
  <c r="A4617" i="15"/>
  <c r="A4618" i="15"/>
  <c r="A4619" i="15"/>
  <c r="A4620" i="15"/>
  <c r="A4621" i="15"/>
  <c r="A4622" i="15"/>
  <c r="A4623" i="15"/>
  <c r="A4624" i="15"/>
  <c r="A4625" i="15"/>
  <c r="A4626" i="15"/>
  <c r="A4586" i="15"/>
  <c r="A4587" i="15"/>
  <c r="A4588" i="15"/>
  <c r="A4589" i="15"/>
  <c r="A4590" i="15"/>
  <c r="A4591" i="15"/>
  <c r="A4592" i="15"/>
  <c r="A4593" i="15"/>
  <c r="A4594" i="15"/>
  <c r="A4595" i="15"/>
  <c r="A4596" i="15"/>
  <c r="A4597" i="15"/>
  <c r="A4598" i="15"/>
  <c r="A4599" i="15"/>
  <c r="A4600" i="15"/>
  <c r="A4601" i="15"/>
  <c r="A4602" i="15"/>
  <c r="A4603" i="15"/>
  <c r="A4604" i="15"/>
  <c r="A4605" i="15"/>
  <c r="A4585" i="15"/>
  <c r="A4564" i="15"/>
  <c r="A4565" i="15"/>
  <c r="A4566" i="15"/>
  <c r="A4567" i="15"/>
  <c r="A4568" i="15"/>
  <c r="A4569" i="15"/>
  <c r="A4570" i="15"/>
  <c r="A4571" i="15"/>
  <c r="A4572" i="15"/>
  <c r="A4573" i="15"/>
  <c r="A4574" i="15"/>
  <c r="A4575" i="15"/>
  <c r="A4576" i="15"/>
  <c r="A4577" i="15"/>
  <c r="A4578" i="15"/>
  <c r="A4579" i="15"/>
  <c r="A4580" i="15"/>
  <c r="A4581" i="15"/>
  <c r="A4582" i="15"/>
  <c r="A4583" i="15"/>
  <c r="A4584" i="15"/>
  <c r="A4544" i="15"/>
  <c r="A4545" i="15"/>
  <c r="A4546" i="15"/>
  <c r="A4547" i="15"/>
  <c r="A4548" i="15"/>
  <c r="A4549" i="15"/>
  <c r="A4550" i="15"/>
  <c r="A4551" i="15"/>
  <c r="A4552" i="15"/>
  <c r="A4553" i="15"/>
  <c r="A4554" i="15"/>
  <c r="A4555" i="15"/>
  <c r="A4556" i="15"/>
  <c r="A4557" i="15"/>
  <c r="A4558" i="15"/>
  <c r="A4559" i="15"/>
  <c r="A4560" i="15"/>
  <c r="A4561" i="15"/>
  <c r="A4562" i="15"/>
  <c r="A4563" i="15"/>
  <c r="A4543" i="15"/>
  <c r="A4522" i="15"/>
  <c r="A4523" i="15"/>
  <c r="A4524" i="15"/>
  <c r="A4525" i="15"/>
  <c r="A4526" i="15"/>
  <c r="A4527" i="15"/>
  <c r="A4528" i="15"/>
  <c r="A4529" i="15"/>
  <c r="A4530" i="15"/>
  <c r="A4531" i="15"/>
  <c r="A4532" i="15"/>
  <c r="A4533" i="15"/>
  <c r="A4534" i="15"/>
  <c r="A4535" i="15"/>
  <c r="A4536" i="15"/>
  <c r="A4537" i="15"/>
  <c r="A4538" i="15"/>
  <c r="A4539" i="15"/>
  <c r="A4540" i="15"/>
  <c r="A4541" i="15"/>
  <c r="A4542" i="15"/>
  <c r="A4481" i="15"/>
  <c r="A4482" i="15"/>
  <c r="A4483" i="15"/>
  <c r="A4484" i="15"/>
  <c r="A4485" i="15"/>
  <c r="A4486" i="15"/>
  <c r="A4487" i="15"/>
  <c r="A4488" i="15"/>
  <c r="A4489" i="15"/>
  <c r="A4490" i="15"/>
  <c r="A4491" i="15"/>
  <c r="A4492" i="15"/>
  <c r="A4493" i="15"/>
  <c r="A4494" i="15"/>
  <c r="A4495" i="15"/>
  <c r="A4496" i="15"/>
  <c r="A4497" i="15"/>
  <c r="A4498" i="15"/>
  <c r="A4499" i="15"/>
  <c r="A4500" i="15"/>
  <c r="A4501" i="15"/>
  <c r="A4502" i="15"/>
  <c r="A4503" i="15"/>
  <c r="A4504" i="15"/>
  <c r="A4505" i="15"/>
  <c r="A4506" i="15"/>
  <c r="A4507" i="15"/>
  <c r="A4508" i="15"/>
  <c r="A4509" i="15"/>
  <c r="A4510" i="15"/>
  <c r="A4511" i="15"/>
  <c r="A4512" i="15"/>
  <c r="A4513" i="15"/>
  <c r="A4514" i="15"/>
  <c r="A4515" i="15"/>
  <c r="A4516" i="15"/>
  <c r="A4517" i="15"/>
  <c r="A4518" i="15"/>
  <c r="A4519" i="15"/>
  <c r="A4520" i="15"/>
  <c r="A4521" i="15"/>
  <c r="A4480" i="15"/>
  <c r="A4459" i="15"/>
  <c r="A4460" i="15"/>
  <c r="A4461" i="15"/>
  <c r="A4462" i="15"/>
  <c r="A4463" i="15"/>
  <c r="A4464" i="15"/>
  <c r="A4465" i="15"/>
  <c r="A4466" i="15"/>
  <c r="A4467" i="15"/>
  <c r="A4468" i="15"/>
  <c r="A4469" i="15"/>
  <c r="A4470" i="15"/>
  <c r="A4471" i="15"/>
  <c r="A4472" i="15"/>
  <c r="A4473" i="15"/>
  <c r="A4474" i="15"/>
  <c r="A4475" i="15"/>
  <c r="A4476" i="15"/>
  <c r="A4477" i="15"/>
  <c r="A4478" i="15"/>
  <c r="A4479" i="15"/>
  <c r="A4375" i="15"/>
  <c r="A4376" i="15"/>
  <c r="A4377" i="15"/>
  <c r="A4378" i="15"/>
  <c r="A4379" i="15"/>
  <c r="A4380" i="15"/>
  <c r="A4381" i="15"/>
  <c r="A4382" i="15"/>
  <c r="A4383" i="15"/>
  <c r="A4384" i="15"/>
  <c r="A4385" i="15"/>
  <c r="A4386" i="15"/>
  <c r="A4387" i="15"/>
  <c r="A4388" i="15"/>
  <c r="A4389" i="15"/>
  <c r="A4390" i="15"/>
  <c r="A4391" i="15"/>
  <c r="A4392" i="15"/>
  <c r="A4393" i="15"/>
  <c r="A4394" i="15"/>
  <c r="A4395" i="15"/>
  <c r="A4396" i="15"/>
  <c r="A4397" i="15"/>
  <c r="A4398" i="15"/>
  <c r="A4399" i="15"/>
  <c r="A4400" i="15"/>
  <c r="A4401" i="15"/>
  <c r="A4402" i="15"/>
  <c r="A4403" i="15"/>
  <c r="A4404" i="15"/>
  <c r="A4405" i="15"/>
  <c r="A4406" i="15"/>
  <c r="A4407" i="15"/>
  <c r="A4408" i="15"/>
  <c r="A4409" i="15"/>
  <c r="A4410" i="15"/>
  <c r="A4411" i="15"/>
  <c r="A4412" i="15"/>
  <c r="A4413" i="15"/>
  <c r="A4414" i="15"/>
  <c r="A4415" i="15"/>
  <c r="A4416" i="15"/>
  <c r="A4417" i="15"/>
  <c r="A4418" i="15"/>
  <c r="A4419" i="15"/>
  <c r="A4420" i="15"/>
  <c r="A4421" i="15"/>
  <c r="A4422" i="15"/>
  <c r="A4423" i="15"/>
  <c r="A4424" i="15"/>
  <c r="A4425" i="15"/>
  <c r="A4426" i="15"/>
  <c r="A4427" i="15"/>
  <c r="A4428" i="15"/>
  <c r="A4429" i="15"/>
  <c r="A4430" i="15"/>
  <c r="A4431" i="15"/>
  <c r="A4432" i="15"/>
  <c r="A4433" i="15"/>
  <c r="A4434" i="15"/>
  <c r="A4435" i="15"/>
  <c r="A4436" i="15"/>
  <c r="A4437" i="15"/>
  <c r="A4438" i="15"/>
  <c r="A4439" i="15"/>
  <c r="A4440" i="15"/>
  <c r="A4441" i="15"/>
  <c r="A4442" i="15"/>
  <c r="A4443" i="15"/>
  <c r="A4444" i="15"/>
  <c r="A4445" i="15"/>
  <c r="A4446" i="15"/>
  <c r="A4447" i="15"/>
  <c r="A4448" i="15"/>
  <c r="A4449" i="15"/>
  <c r="A4450" i="15"/>
  <c r="A4451" i="15"/>
  <c r="A4452" i="15"/>
  <c r="A4453" i="15"/>
  <c r="A4454" i="15"/>
  <c r="A4455" i="15"/>
  <c r="A4456" i="15"/>
  <c r="A4457" i="15"/>
  <c r="A4458" i="15"/>
  <c r="A4292" i="15"/>
  <c r="A4293" i="15"/>
  <c r="A4294" i="15"/>
  <c r="A4295" i="15"/>
  <c r="A4296" i="15"/>
  <c r="A4297" i="15"/>
  <c r="A4298" i="15"/>
  <c r="A4299" i="15"/>
  <c r="A4300" i="15"/>
  <c r="A4301" i="15"/>
  <c r="A4302" i="15"/>
  <c r="A4303" i="15"/>
  <c r="A4304" i="15"/>
  <c r="A4305" i="15"/>
  <c r="A4306" i="15"/>
  <c r="A4307" i="15"/>
  <c r="A4308" i="15"/>
  <c r="A4309" i="15"/>
  <c r="A4310" i="15"/>
  <c r="A4311" i="15"/>
  <c r="A4312" i="15"/>
  <c r="A4313" i="15"/>
  <c r="A4314" i="15"/>
  <c r="A4315" i="15"/>
  <c r="A4316" i="15"/>
  <c r="A4317" i="15"/>
  <c r="A4318" i="15"/>
  <c r="A4319" i="15"/>
  <c r="A4320" i="15"/>
  <c r="A4321" i="15"/>
  <c r="A4322" i="15"/>
  <c r="A4323" i="15"/>
  <c r="A4324" i="15"/>
  <c r="A4325" i="15"/>
  <c r="A4326" i="15"/>
  <c r="A4327" i="15"/>
  <c r="A4328" i="15"/>
  <c r="A4329" i="15"/>
  <c r="A4330" i="15"/>
  <c r="A4331" i="15"/>
  <c r="A4332" i="15"/>
  <c r="A4333" i="15"/>
  <c r="A4334" i="15"/>
  <c r="A4335" i="15"/>
  <c r="A4336" i="15"/>
  <c r="A4337" i="15"/>
  <c r="A4338" i="15"/>
  <c r="A4339" i="15"/>
  <c r="A4340" i="15"/>
  <c r="A4341" i="15"/>
  <c r="A4342" i="15"/>
  <c r="A4343" i="15"/>
  <c r="A4344" i="15"/>
  <c r="A4345" i="15"/>
  <c r="A4346" i="15"/>
  <c r="A4347" i="15"/>
  <c r="A4348" i="15"/>
  <c r="A4349" i="15"/>
  <c r="A4350" i="15"/>
  <c r="A4351" i="15"/>
  <c r="A4352" i="15"/>
  <c r="A4353" i="15"/>
  <c r="A4354" i="15"/>
  <c r="A4355" i="15"/>
  <c r="A4356" i="15"/>
  <c r="A4357" i="15"/>
  <c r="A4358" i="15"/>
  <c r="A4359" i="15"/>
  <c r="A4360" i="15"/>
  <c r="A4361" i="15"/>
  <c r="A4362" i="15"/>
  <c r="A4363" i="15"/>
  <c r="A4364" i="15"/>
  <c r="A4365" i="15"/>
  <c r="A4366" i="15"/>
  <c r="A4367" i="15"/>
  <c r="A4368" i="15"/>
  <c r="A4369" i="15"/>
  <c r="A4370" i="15"/>
  <c r="A4371" i="15"/>
  <c r="A4372" i="15"/>
  <c r="A4373" i="15"/>
  <c r="A4374" i="15"/>
  <c r="A4291" i="15"/>
  <c r="A4270" i="15"/>
  <c r="A4271" i="15"/>
  <c r="A4272" i="15"/>
  <c r="A4273" i="15"/>
  <c r="A4274" i="15"/>
  <c r="A4275" i="15"/>
  <c r="A4276" i="15"/>
  <c r="A4277" i="15"/>
  <c r="A4278" i="15"/>
  <c r="A4279" i="15"/>
  <c r="A4280" i="15"/>
  <c r="A4281" i="15"/>
  <c r="A4282" i="15"/>
  <c r="A4283" i="15"/>
  <c r="A4284" i="15"/>
  <c r="A4285" i="15"/>
  <c r="A4286" i="15"/>
  <c r="A4287" i="15"/>
  <c r="A4288" i="15"/>
  <c r="A4289" i="15"/>
  <c r="A4290" i="15"/>
  <c r="A4249" i="15"/>
  <c r="A4250" i="15"/>
  <c r="A4251" i="15"/>
  <c r="A4252" i="15"/>
  <c r="A4253" i="15"/>
  <c r="A4254" i="15"/>
  <c r="A4255" i="15"/>
  <c r="A4256" i="15"/>
  <c r="A4257" i="15"/>
  <c r="A4258" i="15"/>
  <c r="A4259" i="15"/>
  <c r="A4260" i="15"/>
  <c r="A4261" i="15"/>
  <c r="A4262" i="15"/>
  <c r="A4263" i="15"/>
  <c r="A4264" i="15"/>
  <c r="A4265" i="15"/>
  <c r="A4266" i="15"/>
  <c r="A4267" i="15"/>
  <c r="A4268" i="15"/>
  <c r="A4269" i="15"/>
  <c r="A4186" i="15"/>
  <c r="A4187" i="15"/>
  <c r="A4188" i="15"/>
  <c r="A4189" i="15"/>
  <c r="A4190" i="15"/>
  <c r="A4191" i="15"/>
  <c r="A4192" i="15"/>
  <c r="A4193" i="15"/>
  <c r="A4194" i="15"/>
  <c r="A4195" i="15"/>
  <c r="A4196" i="15"/>
  <c r="A4197" i="15"/>
  <c r="A4198" i="15"/>
  <c r="A4199" i="15"/>
  <c r="A4200" i="15"/>
  <c r="A4201" i="15"/>
  <c r="A4202" i="15"/>
  <c r="A4203" i="15"/>
  <c r="A4204" i="15"/>
  <c r="A4205" i="15"/>
  <c r="A4206" i="15"/>
  <c r="A4207" i="15"/>
  <c r="A4208" i="15"/>
  <c r="A4209" i="15"/>
  <c r="A4210" i="15"/>
  <c r="A4211" i="15"/>
  <c r="A4212" i="15"/>
  <c r="A4213" i="15"/>
  <c r="A4214" i="15"/>
  <c r="A4215" i="15"/>
  <c r="A4216" i="15"/>
  <c r="A4217" i="15"/>
  <c r="A4218" i="15"/>
  <c r="A4219" i="15"/>
  <c r="A4220" i="15"/>
  <c r="A4221" i="15"/>
  <c r="A4222" i="15"/>
  <c r="A4223" i="15"/>
  <c r="A4224" i="15"/>
  <c r="A4225" i="15"/>
  <c r="A4226" i="15"/>
  <c r="A4227" i="15"/>
  <c r="A4228" i="15"/>
  <c r="A4229" i="15"/>
  <c r="A4230" i="15"/>
  <c r="A4231" i="15"/>
  <c r="A4232" i="15"/>
  <c r="A4233" i="15"/>
  <c r="A4234" i="15"/>
  <c r="A4235" i="15"/>
  <c r="A4236" i="15"/>
  <c r="A4237" i="15"/>
  <c r="A4238" i="15"/>
  <c r="A4239" i="15"/>
  <c r="A4240" i="15"/>
  <c r="A4241" i="15"/>
  <c r="A4242" i="15"/>
  <c r="A4243" i="15"/>
  <c r="A4244" i="15"/>
  <c r="A4245" i="15"/>
  <c r="A4246" i="15"/>
  <c r="A4247" i="15"/>
  <c r="A4248" i="15"/>
  <c r="A4165" i="15"/>
  <c r="A4166" i="15"/>
  <c r="A4167" i="15"/>
  <c r="A4168" i="15"/>
  <c r="A4169" i="15"/>
  <c r="A4170" i="15"/>
  <c r="A4171" i="15"/>
  <c r="A4172" i="15"/>
  <c r="A4173" i="15"/>
  <c r="A4174" i="15"/>
  <c r="A4175" i="15"/>
  <c r="A4176" i="15"/>
  <c r="A4177" i="15"/>
  <c r="A4178" i="15"/>
  <c r="A4179" i="15"/>
  <c r="A4180" i="15"/>
  <c r="A4181" i="15"/>
  <c r="A4182" i="15"/>
  <c r="A4183" i="15"/>
  <c r="A4184" i="15"/>
  <c r="A4185" i="15"/>
  <c r="A4019" i="15"/>
  <c r="A4020" i="15"/>
  <c r="A4021" i="15"/>
  <c r="A4022" i="15"/>
  <c r="A4023" i="15"/>
  <c r="A4024" i="15"/>
  <c r="A4025" i="15"/>
  <c r="A4026" i="15"/>
  <c r="A4027" i="15"/>
  <c r="A4028" i="15"/>
  <c r="A4029" i="15"/>
  <c r="A4030" i="15"/>
  <c r="A4031" i="15"/>
  <c r="A4032" i="15"/>
  <c r="A4033" i="15"/>
  <c r="A4034" i="15"/>
  <c r="A4035" i="15"/>
  <c r="A4036" i="15"/>
  <c r="A4037" i="15"/>
  <c r="A4038" i="15"/>
  <c r="A4039" i="15"/>
  <c r="A4040" i="15"/>
  <c r="A4041" i="15"/>
  <c r="A4042" i="15"/>
  <c r="A4043" i="15"/>
  <c r="A4044" i="15"/>
  <c r="A4045" i="15"/>
  <c r="A4046" i="15"/>
  <c r="A4047" i="15"/>
  <c r="A4048" i="15"/>
  <c r="A4049" i="15"/>
  <c r="A4050" i="15"/>
  <c r="A4051" i="15"/>
  <c r="A4052" i="15"/>
  <c r="A4053" i="15"/>
  <c r="A4054" i="15"/>
  <c r="A4055" i="15"/>
  <c r="A4056" i="15"/>
  <c r="A4057" i="15"/>
  <c r="A4058" i="15"/>
  <c r="A4059" i="15"/>
  <c r="A4060" i="15"/>
  <c r="A4061" i="15"/>
  <c r="A4062" i="15"/>
  <c r="A4063" i="15"/>
  <c r="A4064" i="15"/>
  <c r="A4065" i="15"/>
  <c r="A4066" i="15"/>
  <c r="A4067" i="15"/>
  <c r="A4068" i="15"/>
  <c r="A4069" i="15"/>
  <c r="A4070" i="15"/>
  <c r="A4071" i="15"/>
  <c r="A4072" i="15"/>
  <c r="A4073" i="15"/>
  <c r="A4074" i="15"/>
  <c r="A4075" i="15"/>
  <c r="A4076" i="15"/>
  <c r="A4077" i="15"/>
  <c r="A4078" i="15"/>
  <c r="A4079" i="15"/>
  <c r="A4080" i="15"/>
  <c r="A4081" i="15"/>
  <c r="A4082" i="15"/>
  <c r="A4083" i="15"/>
  <c r="A4084" i="15"/>
  <c r="A4085" i="15"/>
  <c r="A4086" i="15"/>
  <c r="A4087" i="15"/>
  <c r="A4088" i="15"/>
  <c r="A4089" i="15"/>
  <c r="A4090" i="15"/>
  <c r="A4091" i="15"/>
  <c r="A4092" i="15"/>
  <c r="A4093" i="15"/>
  <c r="A4094" i="15"/>
  <c r="A4095" i="15"/>
  <c r="A4096" i="15"/>
  <c r="A4097" i="15"/>
  <c r="A4098" i="15"/>
  <c r="A4099" i="15"/>
  <c r="A4100" i="15"/>
  <c r="A4101" i="15"/>
  <c r="A4102" i="15"/>
  <c r="A4103" i="15"/>
  <c r="A4104" i="15"/>
  <c r="A4105" i="15"/>
  <c r="A4106" i="15"/>
  <c r="A4107" i="15"/>
  <c r="A4108" i="15"/>
  <c r="A4109" i="15"/>
  <c r="A4110" i="15"/>
  <c r="A4111" i="15"/>
  <c r="A4112" i="15"/>
  <c r="A4113" i="15"/>
  <c r="A4114" i="15"/>
  <c r="A4115" i="15"/>
  <c r="A4116" i="15"/>
  <c r="A4117" i="15"/>
  <c r="A4118" i="15"/>
  <c r="A4119" i="15"/>
  <c r="A4120" i="15"/>
  <c r="A4121" i="15"/>
  <c r="A4122" i="15"/>
  <c r="A4123" i="15"/>
  <c r="A4124" i="15"/>
  <c r="A4125" i="15"/>
  <c r="A4126" i="15"/>
  <c r="A4127" i="15"/>
  <c r="A4128" i="15"/>
  <c r="A4129" i="15"/>
  <c r="A4130" i="15"/>
  <c r="A4131" i="15"/>
  <c r="A4132" i="15"/>
  <c r="A4133" i="15"/>
  <c r="A4134" i="15"/>
  <c r="A4135" i="15"/>
  <c r="A4136" i="15"/>
  <c r="A4137" i="15"/>
  <c r="A4138" i="15"/>
  <c r="A4139" i="15"/>
  <c r="A4140" i="15"/>
  <c r="A4141" i="15"/>
  <c r="A4142" i="15"/>
  <c r="A4143" i="15"/>
  <c r="A4144" i="15"/>
  <c r="A4145" i="15"/>
  <c r="A4146" i="15"/>
  <c r="A4147" i="15"/>
  <c r="A4148" i="15"/>
  <c r="A4149" i="15"/>
  <c r="A4150" i="15"/>
  <c r="A4151" i="15"/>
  <c r="A4152" i="15"/>
  <c r="A4153" i="15"/>
  <c r="A4154" i="15"/>
  <c r="A4155" i="15"/>
  <c r="A4156" i="15"/>
  <c r="A4157" i="15"/>
  <c r="A4158" i="15"/>
  <c r="A4159" i="15"/>
  <c r="A4160" i="15"/>
  <c r="A4161" i="15"/>
  <c r="A4162" i="15"/>
  <c r="A4163" i="15"/>
  <c r="A4164" i="15"/>
  <c r="A4018" i="15"/>
  <c r="A3998" i="15"/>
  <c r="A3999" i="15"/>
  <c r="A4000" i="15"/>
  <c r="A4001" i="15"/>
  <c r="A4002" i="15"/>
  <c r="A4003" i="15"/>
  <c r="A4004" i="15"/>
  <c r="A4005" i="15"/>
  <c r="A4006" i="15"/>
  <c r="A4007" i="15"/>
  <c r="A4008" i="15"/>
  <c r="A4009" i="15"/>
  <c r="A4010" i="15"/>
  <c r="A4011" i="15"/>
  <c r="A4012" i="15"/>
  <c r="A4013" i="15"/>
  <c r="A4014" i="15"/>
  <c r="A4015" i="15"/>
  <c r="A4016" i="15"/>
  <c r="A4017" i="15"/>
  <c r="A3997" i="15"/>
  <c r="A3996" i="15"/>
  <c r="A3995" i="15"/>
  <c r="A3994" i="15"/>
  <c r="A3993" i="15"/>
  <c r="A3992" i="15"/>
  <c r="A3991" i="15"/>
  <c r="A3990" i="15"/>
  <c r="A3989" i="15"/>
  <c r="A3988" i="15"/>
  <c r="A3987" i="15"/>
  <c r="A3986" i="15"/>
  <c r="A3985" i="15"/>
  <c r="A3984" i="15"/>
  <c r="A3983" i="15"/>
  <c r="A3982" i="15"/>
  <c r="A3981" i="15"/>
  <c r="A3980" i="15"/>
  <c r="A3979" i="15"/>
  <c r="A3978" i="15"/>
  <c r="A3977" i="15"/>
  <c r="A3976" i="15"/>
  <c r="K352" i="1"/>
  <c r="K325" i="1" s="1"/>
  <c r="K298" i="1" s="1"/>
  <c r="K271" i="1" s="1"/>
  <c r="K244" i="1" s="1"/>
  <c r="K217" i="1" s="1"/>
  <c r="J352" i="1"/>
  <c r="J325" i="1" s="1"/>
  <c r="J298" i="1" s="1"/>
  <c r="J271" i="1" s="1"/>
  <c r="J244" i="1" s="1"/>
  <c r="J217" i="1" s="1"/>
  <c r="K351" i="1"/>
  <c r="J351" i="1"/>
  <c r="K350" i="1"/>
  <c r="K323" i="1" s="1"/>
  <c r="K296" i="1" s="1"/>
  <c r="K269" i="1" s="1"/>
  <c r="K242" i="1" s="1"/>
  <c r="K215" i="1" s="1"/>
  <c r="J350" i="1"/>
  <c r="J323" i="1" s="1"/>
  <c r="J296" i="1" s="1"/>
  <c r="J269" i="1" s="1"/>
  <c r="J242" i="1" s="1"/>
  <c r="J215" i="1" s="1"/>
  <c r="K349" i="1"/>
  <c r="K322" i="1" s="1"/>
  <c r="K295" i="1" s="1"/>
  <c r="K268" i="1" s="1"/>
  <c r="K241" i="1" s="1"/>
  <c r="K214" i="1" s="1"/>
  <c r="J349" i="1"/>
  <c r="J322" i="1" s="1"/>
  <c r="J295" i="1" s="1"/>
  <c r="J268" i="1" s="1"/>
  <c r="J241" i="1" s="1"/>
  <c r="J214" i="1" s="1"/>
  <c r="K348" i="1"/>
  <c r="K321" i="1" s="1"/>
  <c r="K294" i="1" s="1"/>
  <c r="K267" i="1" s="1"/>
  <c r="K240" i="1" s="1"/>
  <c r="K213" i="1" s="1"/>
  <c r="J348" i="1"/>
  <c r="J321" i="1" s="1"/>
  <c r="J294" i="1" s="1"/>
  <c r="J267" i="1" s="1"/>
  <c r="J240" i="1" s="1"/>
  <c r="J213" i="1" s="1"/>
  <c r="K347" i="1"/>
  <c r="J347" i="1"/>
  <c r="K346" i="1"/>
  <c r="J346" i="1"/>
  <c r="J319" i="1" s="1"/>
  <c r="J292" i="1" s="1"/>
  <c r="J265" i="1" s="1"/>
  <c r="J238" i="1" s="1"/>
  <c r="J211" i="1" s="1"/>
  <c r="K345" i="1"/>
  <c r="K318" i="1" s="1"/>
  <c r="K291" i="1" s="1"/>
  <c r="K264" i="1" s="1"/>
  <c r="K237" i="1" s="1"/>
  <c r="K210" i="1" s="1"/>
  <c r="J345" i="1"/>
  <c r="J318" i="1" s="1"/>
  <c r="J291" i="1" s="1"/>
  <c r="J264" i="1" s="1"/>
  <c r="J237" i="1" s="1"/>
  <c r="J210" i="1" s="1"/>
  <c r="K344" i="1"/>
  <c r="K317" i="1" s="1"/>
  <c r="K290" i="1" s="1"/>
  <c r="K263" i="1" s="1"/>
  <c r="K236" i="1" s="1"/>
  <c r="K209" i="1" s="1"/>
  <c r="J344" i="1"/>
  <c r="J317" i="1" s="1"/>
  <c r="J290" i="1" s="1"/>
  <c r="J263" i="1" s="1"/>
  <c r="J236" i="1" s="1"/>
  <c r="J209" i="1" s="1"/>
  <c r="K343" i="1"/>
  <c r="J343" i="1"/>
  <c r="K342" i="1"/>
  <c r="K315" i="1" s="1"/>
  <c r="K288" i="1" s="1"/>
  <c r="K261" i="1" s="1"/>
  <c r="K234" i="1" s="1"/>
  <c r="K207" i="1" s="1"/>
  <c r="J342" i="1"/>
  <c r="J315" i="1" s="1"/>
  <c r="J288" i="1" s="1"/>
  <c r="J261" i="1" s="1"/>
  <c r="J234" i="1" s="1"/>
  <c r="J207" i="1" s="1"/>
  <c r="K341" i="1"/>
  <c r="K314" i="1" s="1"/>
  <c r="K287" i="1" s="1"/>
  <c r="K260" i="1" s="1"/>
  <c r="K233" i="1" s="1"/>
  <c r="K206" i="1" s="1"/>
  <c r="J341" i="1"/>
  <c r="J314" i="1" s="1"/>
  <c r="J287" i="1" s="1"/>
  <c r="J260" i="1" s="1"/>
  <c r="J233" i="1" s="1"/>
  <c r="J206" i="1" s="1"/>
  <c r="K340" i="1"/>
  <c r="K313" i="1" s="1"/>
  <c r="K286" i="1" s="1"/>
  <c r="K259" i="1" s="1"/>
  <c r="K232" i="1" s="1"/>
  <c r="K205" i="1" s="1"/>
  <c r="J340" i="1"/>
  <c r="J313" i="1" s="1"/>
  <c r="J286" i="1" s="1"/>
  <c r="J259" i="1" s="1"/>
  <c r="J232" i="1" s="1"/>
  <c r="J205" i="1" s="1"/>
  <c r="K339" i="1"/>
  <c r="J339" i="1"/>
  <c r="K338" i="1"/>
  <c r="J338" i="1"/>
  <c r="K337" i="1"/>
  <c r="K310" i="1" s="1"/>
  <c r="K283" i="1" s="1"/>
  <c r="K256" i="1" s="1"/>
  <c r="K229" i="1" s="1"/>
  <c r="K202" i="1" s="1"/>
  <c r="J337" i="1"/>
  <c r="J310" i="1" s="1"/>
  <c r="J283" i="1" s="1"/>
  <c r="J256" i="1" s="1"/>
  <c r="J229" i="1" s="1"/>
  <c r="J202" i="1" s="1"/>
  <c r="K336" i="1"/>
  <c r="K309" i="1" s="1"/>
  <c r="K282" i="1" s="1"/>
  <c r="K255" i="1" s="1"/>
  <c r="K228" i="1" s="1"/>
  <c r="K201" i="1" s="1"/>
  <c r="J336" i="1"/>
  <c r="J309" i="1" s="1"/>
  <c r="J282" i="1" s="1"/>
  <c r="J255" i="1" s="1"/>
  <c r="J228" i="1" s="1"/>
  <c r="J201" i="1" s="1"/>
  <c r="K335" i="1"/>
  <c r="J335" i="1"/>
  <c r="K334" i="1"/>
  <c r="K307" i="1" s="1"/>
  <c r="K280" i="1" s="1"/>
  <c r="K253" i="1" s="1"/>
  <c r="K226" i="1" s="1"/>
  <c r="K199" i="1" s="1"/>
  <c r="J334" i="1"/>
  <c r="J307" i="1" s="1"/>
  <c r="J280" i="1" s="1"/>
  <c r="J253" i="1" s="1"/>
  <c r="J226" i="1" s="1"/>
  <c r="J199" i="1" s="1"/>
  <c r="K333" i="1"/>
  <c r="K306" i="1" s="1"/>
  <c r="K279" i="1" s="1"/>
  <c r="K252" i="1" s="1"/>
  <c r="K225" i="1" s="1"/>
  <c r="K198" i="1" s="1"/>
  <c r="J333" i="1"/>
  <c r="J306" i="1" s="1"/>
  <c r="J279" i="1" s="1"/>
  <c r="J252" i="1" s="1"/>
  <c r="J225" i="1" s="1"/>
  <c r="J198" i="1" s="1"/>
  <c r="K332" i="1"/>
  <c r="K305" i="1" s="1"/>
  <c r="K278" i="1" s="1"/>
  <c r="K251" i="1" s="1"/>
  <c r="K224" i="1" s="1"/>
  <c r="K197" i="1" s="1"/>
  <c r="J332" i="1"/>
  <c r="J305" i="1" s="1"/>
  <c r="J278" i="1" s="1"/>
  <c r="J251" i="1" s="1"/>
  <c r="J224" i="1" s="1"/>
  <c r="J197" i="1" s="1"/>
  <c r="K331" i="1"/>
  <c r="J331" i="1"/>
  <c r="K330" i="1"/>
  <c r="J330" i="1"/>
  <c r="J303" i="1" s="1"/>
  <c r="J276" i="1" s="1"/>
  <c r="J249" i="1" s="1"/>
  <c r="J222" i="1" s="1"/>
  <c r="J195" i="1" s="1"/>
  <c r="K329" i="1"/>
  <c r="K302" i="1" s="1"/>
  <c r="K275" i="1" s="1"/>
  <c r="K248" i="1" s="1"/>
  <c r="K221" i="1" s="1"/>
  <c r="K194" i="1" s="1"/>
  <c r="J329" i="1"/>
  <c r="J302" i="1" s="1"/>
  <c r="J275" i="1" s="1"/>
  <c r="J248" i="1" s="1"/>
  <c r="J221" i="1" s="1"/>
  <c r="J194" i="1" s="1"/>
  <c r="K328" i="1"/>
  <c r="K301" i="1" s="1"/>
  <c r="K274" i="1" s="1"/>
  <c r="K247" i="1" s="1"/>
  <c r="K220" i="1" s="1"/>
  <c r="K193" i="1" s="1"/>
  <c r="J328" i="1"/>
  <c r="J301" i="1" s="1"/>
  <c r="J274" i="1" s="1"/>
  <c r="J247" i="1" s="1"/>
  <c r="J220" i="1" s="1"/>
  <c r="J193" i="1" s="1"/>
  <c r="K327" i="1"/>
  <c r="J327" i="1"/>
  <c r="K326" i="1"/>
  <c r="K299" i="1" s="1"/>
  <c r="K272" i="1" s="1"/>
  <c r="K245" i="1" s="1"/>
  <c r="K218" i="1" s="1"/>
  <c r="K191" i="1" s="1"/>
  <c r="J326" i="1"/>
  <c r="J299" i="1" s="1"/>
  <c r="J272" i="1" s="1"/>
  <c r="J245" i="1" s="1"/>
  <c r="J218" i="1" s="1"/>
  <c r="J191" i="1" s="1"/>
  <c r="K324" i="1"/>
  <c r="K297" i="1" s="1"/>
  <c r="K270" i="1" s="1"/>
  <c r="K243" i="1" s="1"/>
  <c r="K216" i="1" s="1"/>
  <c r="J324" i="1"/>
  <c r="J297" i="1" s="1"/>
  <c r="J270" i="1" s="1"/>
  <c r="J243" i="1" s="1"/>
  <c r="J216" i="1" s="1"/>
  <c r="K320" i="1"/>
  <c r="K293" i="1" s="1"/>
  <c r="K266" i="1" s="1"/>
  <c r="K239" i="1" s="1"/>
  <c r="K212" i="1" s="1"/>
  <c r="J320" i="1"/>
  <c r="J293" i="1" s="1"/>
  <c r="J266" i="1" s="1"/>
  <c r="J239" i="1" s="1"/>
  <c r="J212" i="1" s="1"/>
  <c r="K319" i="1"/>
  <c r="K292" i="1" s="1"/>
  <c r="K265" i="1" s="1"/>
  <c r="K238" i="1" s="1"/>
  <c r="K211" i="1" s="1"/>
  <c r="K316" i="1"/>
  <c r="K289" i="1" s="1"/>
  <c r="K262" i="1" s="1"/>
  <c r="K235" i="1" s="1"/>
  <c r="K208" i="1" s="1"/>
  <c r="J316" i="1"/>
  <c r="J289" i="1" s="1"/>
  <c r="J262" i="1" s="1"/>
  <c r="J235" i="1" s="1"/>
  <c r="J208" i="1" s="1"/>
  <c r="K312" i="1"/>
  <c r="K285" i="1" s="1"/>
  <c r="K258" i="1" s="1"/>
  <c r="K231" i="1" s="1"/>
  <c r="K204" i="1" s="1"/>
  <c r="J312" i="1"/>
  <c r="J285" i="1" s="1"/>
  <c r="J258" i="1" s="1"/>
  <c r="J231" i="1" s="1"/>
  <c r="J204" i="1" s="1"/>
  <c r="K311" i="1"/>
  <c r="K284" i="1" s="1"/>
  <c r="K257" i="1" s="1"/>
  <c r="K230" i="1" s="1"/>
  <c r="K203" i="1" s="1"/>
  <c r="J311" i="1"/>
  <c r="J284" i="1" s="1"/>
  <c r="J257" i="1" s="1"/>
  <c r="J230" i="1" s="1"/>
  <c r="J203" i="1" s="1"/>
  <c r="K308" i="1"/>
  <c r="K281" i="1" s="1"/>
  <c r="K254" i="1" s="1"/>
  <c r="K227" i="1" s="1"/>
  <c r="K200" i="1" s="1"/>
  <c r="J308" i="1"/>
  <c r="J281" i="1" s="1"/>
  <c r="J254" i="1" s="1"/>
  <c r="J227" i="1" s="1"/>
  <c r="J200" i="1" s="1"/>
  <c r="K304" i="1"/>
  <c r="K277" i="1" s="1"/>
  <c r="K250" i="1" s="1"/>
  <c r="K223" i="1" s="1"/>
  <c r="K196" i="1" s="1"/>
  <c r="J304" i="1"/>
  <c r="J277" i="1" s="1"/>
  <c r="J250" i="1" s="1"/>
  <c r="J223" i="1" s="1"/>
  <c r="J196" i="1" s="1"/>
  <c r="K303" i="1"/>
  <c r="K276" i="1" s="1"/>
  <c r="K249" i="1" s="1"/>
  <c r="K222" i="1" s="1"/>
  <c r="K195" i="1" s="1"/>
  <c r="K300" i="1"/>
  <c r="K273" i="1" s="1"/>
  <c r="K246" i="1" s="1"/>
  <c r="K219" i="1" s="1"/>
  <c r="K192" i="1" s="1"/>
  <c r="J300" i="1"/>
  <c r="J273" i="1" s="1"/>
  <c r="J246" i="1" s="1"/>
  <c r="J219" i="1" s="1"/>
  <c r="J192" i="1" s="1"/>
  <c r="A3956" i="15"/>
  <c r="A3957" i="15"/>
  <c r="A3958" i="15"/>
  <c r="A3959" i="15"/>
  <c r="A3960" i="15"/>
  <c r="A3961" i="15"/>
  <c r="A3962" i="15"/>
  <c r="A3963" i="15"/>
  <c r="A3964" i="15"/>
  <c r="A3965" i="15"/>
  <c r="A3966" i="15"/>
  <c r="A3967" i="15"/>
  <c r="A3968" i="15"/>
  <c r="A3969" i="15"/>
  <c r="A3970" i="15"/>
  <c r="A3971" i="15"/>
  <c r="A3972" i="15"/>
  <c r="A3973" i="15"/>
  <c r="A3974" i="15"/>
  <c r="A3975" i="15"/>
  <c r="A3955" i="15"/>
  <c r="A3954" i="15"/>
  <c r="A3953" i="15"/>
  <c r="A3952" i="15"/>
  <c r="A3951" i="15"/>
  <c r="A3950" i="15"/>
  <c r="A3949" i="15"/>
  <c r="A3948" i="15"/>
  <c r="A3947" i="15"/>
  <c r="A3946" i="15"/>
  <c r="A3945" i="15"/>
  <c r="A3944" i="15"/>
  <c r="A3943" i="15"/>
  <c r="A3942" i="15"/>
  <c r="A3941" i="15"/>
  <c r="A3940" i="15"/>
  <c r="A3939" i="15"/>
  <c r="A3938" i="15"/>
  <c r="A3937" i="15"/>
  <c r="A3936" i="15"/>
  <c r="A3935" i="15"/>
  <c r="A3934" i="15"/>
  <c r="A3933" i="15"/>
  <c r="A3932" i="15"/>
  <c r="A3931" i="15"/>
  <c r="A3930" i="15"/>
  <c r="A3929" i="15"/>
  <c r="A3928" i="15"/>
  <c r="A3927" i="15"/>
  <c r="A3926" i="15"/>
  <c r="A3925" i="15"/>
  <c r="A3924" i="15"/>
  <c r="A3923" i="15"/>
  <c r="A3922" i="15"/>
  <c r="A3921" i="15"/>
  <c r="A3920" i="15"/>
  <c r="A3919" i="15"/>
  <c r="A3918" i="15"/>
  <c r="A3917" i="15"/>
  <c r="A3916" i="15"/>
  <c r="A3915" i="15"/>
  <c r="A3914" i="15"/>
  <c r="A3913" i="15"/>
  <c r="A3912" i="15"/>
  <c r="A3911" i="15"/>
  <c r="A3910" i="15"/>
  <c r="A3909" i="15"/>
  <c r="A3908" i="15"/>
  <c r="A3907" i="15"/>
  <c r="A3906" i="15"/>
  <c r="A3905" i="15"/>
  <c r="A3904" i="15"/>
  <c r="A3903" i="15"/>
  <c r="A3902" i="15"/>
  <c r="A3901" i="15"/>
  <c r="A3900" i="15"/>
  <c r="A3899" i="15"/>
  <c r="A3898" i="15"/>
  <c r="A3897" i="15"/>
  <c r="A3896" i="15"/>
  <c r="A3895" i="15"/>
  <c r="A3894" i="15"/>
  <c r="A3893" i="15"/>
  <c r="A3892" i="15"/>
  <c r="A3891" i="15"/>
  <c r="A3890" i="15"/>
  <c r="A3889" i="15"/>
  <c r="A3888" i="15"/>
  <c r="A3887" i="15"/>
  <c r="A3886" i="15"/>
  <c r="A3885" i="15"/>
  <c r="A3884" i="15"/>
  <c r="A3883" i="15"/>
  <c r="A3882" i="15"/>
  <c r="A3881" i="15"/>
  <c r="A3880" i="15"/>
  <c r="A3879" i="15"/>
  <c r="A3878" i="15"/>
  <c r="A3877" i="15"/>
  <c r="A3876" i="15"/>
  <c r="A3875" i="15"/>
  <c r="A3874" i="15"/>
  <c r="A3873" i="15"/>
  <c r="A3872" i="15"/>
  <c r="A3871" i="15"/>
  <c r="A3870" i="15"/>
  <c r="A3869" i="15"/>
  <c r="A3868" i="15"/>
  <c r="A3867" i="15"/>
  <c r="A3866" i="15"/>
  <c r="A3865" i="15"/>
  <c r="A3864" i="15"/>
  <c r="A3863" i="15"/>
  <c r="A3862" i="15"/>
  <c r="A3861" i="15"/>
  <c r="A3860" i="15"/>
  <c r="A3859" i="15"/>
  <c r="A3858" i="15"/>
  <c r="A3857" i="15"/>
  <c r="A3856" i="15"/>
  <c r="A3855" i="15"/>
  <c r="A3854" i="15"/>
  <c r="A3853" i="15"/>
  <c r="A3852" i="15"/>
  <c r="A3851" i="15"/>
  <c r="A3850" i="15"/>
  <c r="A3849" i="15"/>
  <c r="A3848" i="15"/>
  <c r="A3847" i="15"/>
  <c r="A3846" i="15"/>
  <c r="A3845" i="15"/>
  <c r="A3844" i="15"/>
  <c r="A3843" i="15"/>
  <c r="A3842" i="15"/>
  <c r="A3841" i="15"/>
  <c r="A3840" i="15"/>
  <c r="A3839" i="15"/>
  <c r="A3838" i="15"/>
  <c r="A3837" i="15"/>
  <c r="A3836" i="15"/>
  <c r="A3835" i="15"/>
  <c r="A3834" i="15"/>
  <c r="A3833" i="15"/>
  <c r="A3832" i="15"/>
  <c r="A3831" i="15"/>
  <c r="A3830" i="15"/>
  <c r="A3829" i="15"/>
  <c r="A3828" i="15"/>
  <c r="A3827" i="15"/>
  <c r="A3826" i="15"/>
  <c r="A3825" i="15"/>
  <c r="A3824" i="15"/>
  <c r="A3823" i="15"/>
  <c r="A3822" i="15"/>
  <c r="A3821" i="15"/>
  <c r="A3820" i="15"/>
  <c r="A3819" i="15"/>
  <c r="A3818" i="15"/>
  <c r="A3817" i="15"/>
  <c r="A3816" i="15"/>
  <c r="A3815" i="15"/>
  <c r="A3814" i="15"/>
  <c r="A3813" i="15"/>
  <c r="A3812" i="15"/>
  <c r="A3811" i="15"/>
  <c r="A3810" i="15"/>
  <c r="A3809" i="15"/>
  <c r="A3808" i="15"/>
  <c r="A3807" i="15"/>
  <c r="A3806" i="15"/>
  <c r="A3805" i="15"/>
  <c r="A3804" i="15"/>
  <c r="A3803" i="15"/>
  <c r="A3802" i="15"/>
  <c r="A3801" i="15"/>
  <c r="A3800" i="15"/>
  <c r="A3799" i="15"/>
  <c r="A3798" i="15"/>
  <c r="A3797" i="15"/>
  <c r="A3796" i="15"/>
  <c r="A3795" i="15"/>
  <c r="A3794" i="15"/>
  <c r="A3793" i="15"/>
  <c r="A3792" i="15"/>
  <c r="A3791" i="15"/>
  <c r="A3790" i="15"/>
  <c r="A3789" i="15"/>
  <c r="A3788" i="15"/>
  <c r="A3787" i="15"/>
  <c r="A3767" i="15"/>
  <c r="A3768" i="15"/>
  <c r="A3769" i="15"/>
  <c r="A3770" i="15"/>
  <c r="A3771" i="15"/>
  <c r="A3772" i="15"/>
  <c r="A3773" i="15"/>
  <c r="A3774" i="15"/>
  <c r="A3775" i="15"/>
  <c r="A3776" i="15"/>
  <c r="A3777" i="15"/>
  <c r="A3778" i="15"/>
  <c r="A3779" i="15"/>
  <c r="A3780" i="15"/>
  <c r="A3781" i="15"/>
  <c r="A3782" i="15"/>
  <c r="A3783" i="15"/>
  <c r="A3784" i="15"/>
  <c r="A3785" i="15"/>
  <c r="A3786" i="15"/>
  <c r="A3766" i="15"/>
  <c r="A3746" i="15"/>
  <c r="A3747" i="15"/>
  <c r="A3748" i="15"/>
  <c r="A3749" i="15"/>
  <c r="A3750" i="15"/>
  <c r="A3751" i="15"/>
  <c r="A3752" i="15"/>
  <c r="A3753" i="15"/>
  <c r="A3754" i="15"/>
  <c r="A3755" i="15"/>
  <c r="A3756" i="15"/>
  <c r="A3757" i="15"/>
  <c r="A3758" i="15"/>
  <c r="A3759" i="15"/>
  <c r="A3760" i="15"/>
  <c r="A3761" i="15"/>
  <c r="A3762" i="15"/>
  <c r="A3763" i="15"/>
  <c r="A3764" i="15"/>
  <c r="A3765" i="15"/>
  <c r="A3745" i="15"/>
  <c r="A3725" i="15"/>
  <c r="A3726" i="15"/>
  <c r="A3727" i="15"/>
  <c r="A3728" i="15"/>
  <c r="A3729" i="15"/>
  <c r="A3730" i="15"/>
  <c r="A3731" i="15"/>
  <c r="A3732" i="15"/>
  <c r="A3733" i="15"/>
  <c r="A3734" i="15"/>
  <c r="A3735" i="15"/>
  <c r="A3736" i="15"/>
  <c r="A3737" i="15"/>
  <c r="A3738" i="15"/>
  <c r="A3739" i="15"/>
  <c r="A3740" i="15"/>
  <c r="A3741" i="15"/>
  <c r="A3742" i="15"/>
  <c r="A3743" i="15"/>
  <c r="A3744" i="15"/>
  <c r="A3724" i="15"/>
  <c r="J162" i="1"/>
  <c r="J135" i="1" s="1"/>
  <c r="J108" i="1" s="1"/>
  <c r="J81" i="1" s="1"/>
  <c r="J54" i="1" s="1"/>
  <c r="J27" i="1" s="1"/>
  <c r="J161" i="1"/>
  <c r="J134" i="1" s="1"/>
  <c r="J107" i="1" s="1"/>
  <c r="J80" i="1" s="1"/>
  <c r="J53" i="1" s="1"/>
  <c r="J26" i="1" s="1"/>
  <c r="J160" i="1"/>
  <c r="J133" i="1" s="1"/>
  <c r="J106" i="1" s="1"/>
  <c r="J79" i="1" s="1"/>
  <c r="J52" i="1" s="1"/>
  <c r="J25" i="1" s="1"/>
  <c r="J159" i="1"/>
  <c r="J132" i="1" s="1"/>
  <c r="J105" i="1" s="1"/>
  <c r="J78" i="1" s="1"/>
  <c r="J51" i="1" s="1"/>
  <c r="J24" i="1" s="1"/>
  <c r="J158" i="1"/>
  <c r="J131" i="1" s="1"/>
  <c r="J104" i="1" s="1"/>
  <c r="J77" i="1" s="1"/>
  <c r="J50" i="1" s="1"/>
  <c r="J23" i="1" s="1"/>
  <c r="J157" i="1"/>
  <c r="J130" i="1" s="1"/>
  <c r="J103" i="1" s="1"/>
  <c r="J76" i="1" s="1"/>
  <c r="J49" i="1" s="1"/>
  <c r="J22" i="1" s="1"/>
  <c r="J156" i="1"/>
  <c r="J129" i="1" s="1"/>
  <c r="J102" i="1" s="1"/>
  <c r="J75" i="1" s="1"/>
  <c r="J48" i="1" s="1"/>
  <c r="J21" i="1" s="1"/>
  <c r="J155" i="1"/>
  <c r="J128" i="1" s="1"/>
  <c r="J101" i="1" s="1"/>
  <c r="J74" i="1" s="1"/>
  <c r="J47" i="1" s="1"/>
  <c r="J20" i="1" s="1"/>
  <c r="J154" i="1"/>
  <c r="J127" i="1" s="1"/>
  <c r="J100" i="1" s="1"/>
  <c r="J73" i="1" s="1"/>
  <c r="J46" i="1" s="1"/>
  <c r="J19" i="1" s="1"/>
  <c r="J153" i="1"/>
  <c r="J126" i="1" s="1"/>
  <c r="J99" i="1" s="1"/>
  <c r="J72" i="1" s="1"/>
  <c r="J45" i="1" s="1"/>
  <c r="J18" i="1" s="1"/>
  <c r="J152" i="1"/>
  <c r="J151" i="1"/>
  <c r="J124" i="1" s="1"/>
  <c r="J97" i="1" s="1"/>
  <c r="J70" i="1" s="1"/>
  <c r="J43" i="1" s="1"/>
  <c r="J16" i="1" s="1"/>
  <c r="J150" i="1"/>
  <c r="J123" i="1" s="1"/>
  <c r="J96" i="1" s="1"/>
  <c r="J69" i="1" s="1"/>
  <c r="J42" i="1" s="1"/>
  <c r="J15" i="1" s="1"/>
  <c r="J149" i="1"/>
  <c r="J122" i="1" s="1"/>
  <c r="J95" i="1" s="1"/>
  <c r="J68" i="1" s="1"/>
  <c r="J41" i="1" s="1"/>
  <c r="J14" i="1" s="1"/>
  <c r="J148" i="1"/>
  <c r="J121" i="1" s="1"/>
  <c r="J94" i="1" s="1"/>
  <c r="J67" i="1" s="1"/>
  <c r="J40" i="1" s="1"/>
  <c r="J13" i="1" s="1"/>
  <c r="J147" i="1"/>
  <c r="J120" i="1" s="1"/>
  <c r="J93" i="1" s="1"/>
  <c r="J66" i="1" s="1"/>
  <c r="J39" i="1" s="1"/>
  <c r="J12" i="1" s="1"/>
  <c r="J146" i="1"/>
  <c r="J119" i="1" s="1"/>
  <c r="J92" i="1" s="1"/>
  <c r="J65" i="1" s="1"/>
  <c r="J38" i="1" s="1"/>
  <c r="J11" i="1" s="1"/>
  <c r="J145" i="1"/>
  <c r="J118" i="1" s="1"/>
  <c r="J91" i="1" s="1"/>
  <c r="J64" i="1" s="1"/>
  <c r="J37" i="1" s="1"/>
  <c r="J10" i="1" s="1"/>
  <c r="J144" i="1"/>
  <c r="J117" i="1" s="1"/>
  <c r="J90" i="1" s="1"/>
  <c r="J63" i="1" s="1"/>
  <c r="J36" i="1" s="1"/>
  <c r="J9" i="1" s="1"/>
  <c r="J143" i="1"/>
  <c r="J116" i="1" s="1"/>
  <c r="J89" i="1" s="1"/>
  <c r="J62" i="1" s="1"/>
  <c r="J35" i="1" s="1"/>
  <c r="J8" i="1" s="1"/>
  <c r="J142" i="1"/>
  <c r="J115" i="1" s="1"/>
  <c r="J88" i="1" s="1"/>
  <c r="J61" i="1" s="1"/>
  <c r="J34" i="1" s="1"/>
  <c r="J7" i="1" s="1"/>
  <c r="J141" i="1"/>
  <c r="J114" i="1" s="1"/>
  <c r="J87" i="1" s="1"/>
  <c r="J60" i="1" s="1"/>
  <c r="J33" i="1" s="1"/>
  <c r="J6" i="1" s="1"/>
  <c r="J140" i="1"/>
  <c r="J113" i="1" s="1"/>
  <c r="J86" i="1" s="1"/>
  <c r="J59" i="1" s="1"/>
  <c r="J32" i="1" s="1"/>
  <c r="J5" i="1" s="1"/>
  <c r="J139" i="1"/>
  <c r="J112" i="1" s="1"/>
  <c r="J85" i="1" s="1"/>
  <c r="J58" i="1" s="1"/>
  <c r="J31" i="1" s="1"/>
  <c r="J4" i="1" s="1"/>
  <c r="J138" i="1"/>
  <c r="J111" i="1" s="1"/>
  <c r="J84" i="1" s="1"/>
  <c r="J57" i="1" s="1"/>
  <c r="J30" i="1" s="1"/>
  <c r="J3" i="1" s="1"/>
  <c r="J137" i="1"/>
  <c r="J110" i="1" s="1"/>
  <c r="J83" i="1" s="1"/>
  <c r="J56" i="1" s="1"/>
  <c r="J29" i="1" s="1"/>
  <c r="J2" i="1" s="1"/>
  <c r="J125" i="1"/>
  <c r="J98" i="1" s="1"/>
  <c r="J71" i="1" s="1"/>
  <c r="J44" i="1" s="1"/>
  <c r="J17" i="1" s="1"/>
  <c r="J163" i="1"/>
  <c r="J136" i="1" s="1"/>
  <c r="J109" i="1" s="1"/>
  <c r="J82" i="1" s="1"/>
  <c r="J55" i="1" s="1"/>
  <c r="J28" i="1" s="1"/>
  <c r="K162" i="1"/>
  <c r="K135" i="1" s="1"/>
  <c r="K108" i="1" s="1"/>
  <c r="K81" i="1" s="1"/>
  <c r="K54" i="1" s="1"/>
  <c r="K27" i="1" s="1"/>
  <c r="K161" i="1"/>
  <c r="K134" i="1" s="1"/>
  <c r="K107" i="1" s="1"/>
  <c r="K80" i="1" s="1"/>
  <c r="K53" i="1" s="1"/>
  <c r="K26" i="1" s="1"/>
  <c r="K160" i="1"/>
  <c r="K133" i="1" s="1"/>
  <c r="K106" i="1" s="1"/>
  <c r="K79" i="1" s="1"/>
  <c r="K52" i="1" s="1"/>
  <c r="K25" i="1" s="1"/>
  <c r="K159" i="1"/>
  <c r="K132" i="1" s="1"/>
  <c r="K105" i="1" s="1"/>
  <c r="K78" i="1" s="1"/>
  <c r="K51" i="1" s="1"/>
  <c r="K24" i="1" s="1"/>
  <c r="K158" i="1"/>
  <c r="K131" i="1" s="1"/>
  <c r="K104" i="1" s="1"/>
  <c r="K77" i="1" s="1"/>
  <c r="K50" i="1" s="1"/>
  <c r="K23" i="1" s="1"/>
  <c r="K157" i="1"/>
  <c r="K130" i="1" s="1"/>
  <c r="K103" i="1" s="1"/>
  <c r="K76" i="1" s="1"/>
  <c r="K49" i="1" s="1"/>
  <c r="K22" i="1" s="1"/>
  <c r="K156" i="1"/>
  <c r="K129" i="1" s="1"/>
  <c r="K102" i="1" s="1"/>
  <c r="K75" i="1" s="1"/>
  <c r="K48" i="1" s="1"/>
  <c r="K21" i="1" s="1"/>
  <c r="K155" i="1"/>
  <c r="K128" i="1" s="1"/>
  <c r="K101" i="1" s="1"/>
  <c r="K74" i="1" s="1"/>
  <c r="K47" i="1" s="1"/>
  <c r="K20" i="1" s="1"/>
  <c r="K154" i="1"/>
  <c r="K127" i="1" s="1"/>
  <c r="K100" i="1" s="1"/>
  <c r="K73" i="1" s="1"/>
  <c r="K46" i="1" s="1"/>
  <c r="K19" i="1" s="1"/>
  <c r="K153" i="1"/>
  <c r="K126" i="1" s="1"/>
  <c r="K99" i="1" s="1"/>
  <c r="K72" i="1" s="1"/>
  <c r="K45" i="1" s="1"/>
  <c r="K18" i="1" s="1"/>
  <c r="K152" i="1"/>
  <c r="K125" i="1" s="1"/>
  <c r="K98" i="1" s="1"/>
  <c r="K71" i="1" s="1"/>
  <c r="K44" i="1" s="1"/>
  <c r="K17" i="1" s="1"/>
  <c r="K151" i="1"/>
  <c r="K124" i="1" s="1"/>
  <c r="K97" i="1" s="1"/>
  <c r="K70" i="1" s="1"/>
  <c r="K43" i="1" s="1"/>
  <c r="K16" i="1" s="1"/>
  <c r="K150" i="1"/>
  <c r="K123" i="1" s="1"/>
  <c r="K96" i="1" s="1"/>
  <c r="K69" i="1" s="1"/>
  <c r="K42" i="1" s="1"/>
  <c r="K15" i="1" s="1"/>
  <c r="K149" i="1"/>
  <c r="K122" i="1" s="1"/>
  <c r="K95" i="1" s="1"/>
  <c r="K68" i="1" s="1"/>
  <c r="K41" i="1" s="1"/>
  <c r="K14" i="1" s="1"/>
  <c r="K148" i="1"/>
  <c r="K121" i="1" s="1"/>
  <c r="K94" i="1" s="1"/>
  <c r="K67" i="1" s="1"/>
  <c r="K40" i="1" s="1"/>
  <c r="K13" i="1" s="1"/>
  <c r="K147" i="1"/>
  <c r="K120" i="1" s="1"/>
  <c r="K93" i="1" s="1"/>
  <c r="K66" i="1" s="1"/>
  <c r="K39" i="1" s="1"/>
  <c r="K12" i="1" s="1"/>
  <c r="K146" i="1"/>
  <c r="K119" i="1" s="1"/>
  <c r="K92" i="1" s="1"/>
  <c r="K65" i="1" s="1"/>
  <c r="K38" i="1" s="1"/>
  <c r="K11" i="1" s="1"/>
  <c r="K145" i="1"/>
  <c r="K118" i="1" s="1"/>
  <c r="K91" i="1" s="1"/>
  <c r="K64" i="1" s="1"/>
  <c r="K37" i="1" s="1"/>
  <c r="K10" i="1" s="1"/>
  <c r="K144" i="1"/>
  <c r="K117" i="1" s="1"/>
  <c r="K90" i="1" s="1"/>
  <c r="K63" i="1" s="1"/>
  <c r="K36" i="1" s="1"/>
  <c r="K9" i="1" s="1"/>
  <c r="K143" i="1"/>
  <c r="K116" i="1" s="1"/>
  <c r="K89" i="1" s="1"/>
  <c r="K62" i="1" s="1"/>
  <c r="K35" i="1" s="1"/>
  <c r="K8" i="1" s="1"/>
  <c r="K142" i="1"/>
  <c r="K115" i="1" s="1"/>
  <c r="K88" i="1" s="1"/>
  <c r="K61" i="1" s="1"/>
  <c r="K34" i="1" s="1"/>
  <c r="K7" i="1" s="1"/>
  <c r="K141" i="1"/>
  <c r="K114" i="1" s="1"/>
  <c r="K87" i="1" s="1"/>
  <c r="K60" i="1" s="1"/>
  <c r="K33" i="1" s="1"/>
  <c r="K6" i="1" s="1"/>
  <c r="K140" i="1"/>
  <c r="K113" i="1" s="1"/>
  <c r="K86" i="1" s="1"/>
  <c r="K59" i="1" s="1"/>
  <c r="K32" i="1" s="1"/>
  <c r="K5" i="1" s="1"/>
  <c r="K139" i="1"/>
  <c r="K112" i="1" s="1"/>
  <c r="K85" i="1" s="1"/>
  <c r="K58" i="1" s="1"/>
  <c r="K31" i="1" s="1"/>
  <c r="K4" i="1" s="1"/>
  <c r="K138" i="1"/>
  <c r="K111" i="1" s="1"/>
  <c r="K84" i="1" s="1"/>
  <c r="K57" i="1" s="1"/>
  <c r="K30" i="1" s="1"/>
  <c r="K3" i="1" s="1"/>
  <c r="K137" i="1"/>
  <c r="K110" i="1" s="1"/>
  <c r="K83" i="1" s="1"/>
  <c r="K56" i="1" s="1"/>
  <c r="K29" i="1" s="1"/>
  <c r="K2" i="1" s="1"/>
  <c r="K163" i="1"/>
  <c r="K136" i="1" s="1"/>
  <c r="K109" i="1" s="1"/>
  <c r="K82" i="1" s="1"/>
  <c r="K55" i="1" s="1"/>
  <c r="K28" i="1" s="1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A791" i="15"/>
  <c r="A792" i="15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A2258" i="15"/>
  <c r="A2259" i="15"/>
  <c r="A2260" i="15"/>
  <c r="A2261" i="15"/>
  <c r="A2262" i="15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2476" i="15"/>
  <c r="A2477" i="15"/>
  <c r="A2478" i="15"/>
  <c r="A2479" i="15"/>
  <c r="A2480" i="15"/>
  <c r="A2481" i="15"/>
  <c r="A2482" i="15"/>
  <c r="A2483" i="15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A2532" i="15"/>
  <c r="A2533" i="15"/>
  <c r="A2534" i="15"/>
  <c r="A2535" i="15"/>
  <c r="A2536" i="15"/>
  <c r="A2537" i="15"/>
  <c r="A2538" i="15"/>
  <c r="A2539" i="15"/>
  <c r="A2540" i="15"/>
  <c r="A2541" i="15"/>
  <c r="A2542" i="15"/>
  <c r="A2543" i="15"/>
  <c r="A2544" i="15"/>
  <c r="A2545" i="15"/>
  <c r="A2546" i="15"/>
  <c r="A2547" i="15"/>
  <c r="A2548" i="15"/>
  <c r="A2549" i="15"/>
  <c r="A2550" i="15"/>
  <c r="A2551" i="15"/>
  <c r="A2552" i="15"/>
  <c r="A2553" i="15"/>
  <c r="A2554" i="15"/>
  <c r="A2555" i="15"/>
  <c r="A2556" i="15"/>
  <c r="A2557" i="15"/>
  <c r="A2558" i="15"/>
  <c r="A2559" i="15"/>
  <c r="A2560" i="15"/>
  <c r="A2561" i="15"/>
  <c r="A2562" i="15"/>
  <c r="A2563" i="15"/>
  <c r="A2564" i="15"/>
  <c r="A2565" i="15"/>
  <c r="A2566" i="15"/>
  <c r="A2567" i="15"/>
  <c r="A2568" i="15"/>
  <c r="A2569" i="15"/>
  <c r="A2570" i="15"/>
  <c r="A2571" i="15"/>
  <c r="A2572" i="15"/>
  <c r="A2573" i="15"/>
  <c r="A2574" i="15"/>
  <c r="A2575" i="15"/>
  <c r="A2576" i="15"/>
  <c r="A2577" i="15"/>
  <c r="A2578" i="15"/>
  <c r="A2579" i="15"/>
  <c r="A2580" i="15"/>
  <c r="A2581" i="15"/>
  <c r="A2582" i="15"/>
  <c r="A2583" i="15"/>
  <c r="A2584" i="15"/>
  <c r="A2585" i="15"/>
  <c r="A2586" i="15"/>
  <c r="A2587" i="15"/>
  <c r="A2588" i="15"/>
  <c r="A2589" i="15"/>
  <c r="A2590" i="15"/>
  <c r="A2591" i="15"/>
  <c r="A2592" i="15"/>
  <c r="A2593" i="15"/>
  <c r="A2594" i="15"/>
  <c r="A2595" i="15"/>
  <c r="A2596" i="15"/>
  <c r="A2597" i="15"/>
  <c r="A2598" i="15"/>
  <c r="A2599" i="15"/>
  <c r="A2600" i="15"/>
  <c r="A2601" i="15"/>
  <c r="A2602" i="15"/>
  <c r="A2603" i="15"/>
  <c r="A2604" i="15"/>
  <c r="A2605" i="15"/>
  <c r="A2606" i="15"/>
  <c r="A2607" i="15"/>
  <c r="A2608" i="15"/>
  <c r="A2609" i="15"/>
  <c r="A2610" i="15"/>
  <c r="A2611" i="15"/>
  <c r="A2612" i="15"/>
  <c r="A2613" i="15"/>
  <c r="A2614" i="15"/>
  <c r="A2615" i="15"/>
  <c r="A2616" i="15"/>
  <c r="A2617" i="15"/>
  <c r="A2618" i="15"/>
  <c r="A2619" i="15"/>
  <c r="A2620" i="15"/>
  <c r="A2621" i="15"/>
  <c r="A2622" i="15"/>
  <c r="A2623" i="15"/>
  <c r="A2624" i="15"/>
  <c r="A2625" i="15"/>
  <c r="A2626" i="15"/>
  <c r="A2627" i="15"/>
  <c r="A2628" i="15"/>
  <c r="A2629" i="15"/>
  <c r="A2630" i="15"/>
  <c r="A2631" i="15"/>
  <c r="A2632" i="15"/>
  <c r="A2633" i="15"/>
  <c r="A2634" i="15"/>
  <c r="A2635" i="15"/>
  <c r="A2636" i="15"/>
  <c r="A2637" i="15"/>
  <c r="A2638" i="15"/>
  <c r="A2639" i="15"/>
  <c r="A2640" i="15"/>
  <c r="A2641" i="15"/>
  <c r="A2642" i="15"/>
  <c r="A2643" i="15"/>
  <c r="A2644" i="15"/>
  <c r="A2645" i="15"/>
  <c r="A2646" i="15"/>
  <c r="A2647" i="15"/>
  <c r="A2648" i="15"/>
  <c r="A2649" i="15"/>
  <c r="A2650" i="15"/>
  <c r="A2651" i="15"/>
  <c r="A2652" i="15"/>
  <c r="A2653" i="15"/>
  <c r="A2654" i="15"/>
  <c r="A2655" i="15"/>
  <c r="A2656" i="15"/>
  <c r="A2657" i="15"/>
  <c r="A2658" i="15"/>
  <c r="A2659" i="15"/>
  <c r="A2660" i="15"/>
  <c r="A2661" i="15"/>
  <c r="A2662" i="15"/>
  <c r="A2663" i="15"/>
  <c r="A2664" i="15"/>
  <c r="A2665" i="15"/>
  <c r="A2666" i="15"/>
  <c r="A2667" i="15"/>
  <c r="A2668" i="15"/>
  <c r="A2669" i="15"/>
  <c r="A2670" i="15"/>
  <c r="A2671" i="15"/>
  <c r="A2672" i="15"/>
  <c r="A2673" i="15"/>
  <c r="A2674" i="15"/>
  <c r="A2675" i="15"/>
  <c r="A2676" i="15"/>
  <c r="A2677" i="15"/>
  <c r="A2678" i="15"/>
  <c r="A2679" i="15"/>
  <c r="A2680" i="15"/>
  <c r="A2681" i="15"/>
  <c r="A2682" i="15"/>
  <c r="A2683" i="15"/>
  <c r="A2684" i="15"/>
  <c r="A2685" i="15"/>
  <c r="A2686" i="15"/>
  <c r="A2687" i="15"/>
  <c r="A2688" i="15"/>
  <c r="A2689" i="15"/>
  <c r="A2690" i="15"/>
  <c r="A2691" i="15"/>
  <c r="A2692" i="15"/>
  <c r="A2693" i="15"/>
  <c r="A2694" i="15"/>
  <c r="A2695" i="15"/>
  <c r="A2696" i="15"/>
  <c r="A2697" i="15"/>
  <c r="A2698" i="15"/>
  <c r="A2699" i="15"/>
  <c r="A2700" i="15"/>
  <c r="A2701" i="15"/>
  <c r="A2702" i="15"/>
  <c r="A2703" i="15"/>
  <c r="A2704" i="15"/>
  <c r="A2705" i="15"/>
  <c r="A2706" i="15"/>
  <c r="A2707" i="15"/>
  <c r="A2708" i="15"/>
  <c r="A2709" i="15"/>
  <c r="A2710" i="15"/>
  <c r="A2711" i="15"/>
  <c r="A2712" i="15"/>
  <c r="A2713" i="15"/>
  <c r="A2714" i="15"/>
  <c r="A2715" i="15"/>
  <c r="A2716" i="15"/>
  <c r="A2717" i="15"/>
  <c r="A2718" i="15"/>
  <c r="A2719" i="15"/>
  <c r="A2720" i="15"/>
  <c r="A2721" i="15"/>
  <c r="A2722" i="15"/>
  <c r="A2723" i="15"/>
  <c r="A2724" i="15"/>
  <c r="A2725" i="15"/>
  <c r="A2726" i="15"/>
  <c r="A2727" i="15"/>
  <c r="A2728" i="15"/>
  <c r="A2729" i="15"/>
  <c r="A2730" i="15"/>
  <c r="A2731" i="15"/>
  <c r="A2732" i="15"/>
  <c r="A2733" i="15"/>
  <c r="A2734" i="15"/>
  <c r="A2735" i="15"/>
  <c r="A2736" i="15"/>
  <c r="A2737" i="15"/>
  <c r="A2738" i="15"/>
  <c r="A2739" i="15"/>
  <c r="A2740" i="15"/>
  <c r="A2741" i="15"/>
  <c r="A2742" i="15"/>
  <c r="A2743" i="15"/>
  <c r="A2744" i="15"/>
  <c r="A2745" i="15"/>
  <c r="A2746" i="15"/>
  <c r="A2747" i="15"/>
  <c r="A2748" i="15"/>
  <c r="A2749" i="15"/>
  <c r="A2750" i="15"/>
  <c r="A2751" i="15"/>
  <c r="A2752" i="15"/>
  <c r="A2753" i="15"/>
  <c r="A2754" i="15"/>
  <c r="A2755" i="15"/>
  <c r="A2756" i="15"/>
  <c r="A2757" i="15"/>
  <c r="A2758" i="15"/>
  <c r="A2759" i="15"/>
  <c r="A2760" i="15"/>
  <c r="A2761" i="15"/>
  <c r="A2762" i="15"/>
  <c r="A2763" i="15"/>
  <c r="A2764" i="15"/>
  <c r="A2765" i="15"/>
  <c r="A2766" i="15"/>
  <c r="A2767" i="15"/>
  <c r="A2768" i="15"/>
  <c r="A2769" i="15"/>
  <c r="A2770" i="15"/>
  <c r="A2771" i="15"/>
  <c r="A2772" i="15"/>
  <c r="A2773" i="15"/>
  <c r="A2774" i="15"/>
  <c r="A2775" i="15"/>
  <c r="A2776" i="15"/>
  <c r="A2777" i="15"/>
  <c r="A2778" i="15"/>
  <c r="A2779" i="15"/>
  <c r="A2780" i="15"/>
  <c r="A2781" i="15"/>
  <c r="A2782" i="15"/>
  <c r="A2783" i="15"/>
  <c r="A2784" i="15"/>
  <c r="A2785" i="15"/>
  <c r="A2786" i="15"/>
  <c r="A2787" i="15"/>
  <c r="A2788" i="15"/>
  <c r="A2789" i="15"/>
  <c r="A2790" i="15"/>
  <c r="A2791" i="15"/>
  <c r="A2792" i="15"/>
  <c r="A2793" i="15"/>
  <c r="A2794" i="15"/>
  <c r="A2795" i="15"/>
  <c r="A2796" i="15"/>
  <c r="A2797" i="15"/>
  <c r="A2798" i="15"/>
  <c r="A2799" i="15"/>
  <c r="A2800" i="15"/>
  <c r="A2801" i="15"/>
  <c r="A2802" i="15"/>
  <c r="A2803" i="15"/>
  <c r="A2804" i="15"/>
  <c r="A2805" i="15"/>
  <c r="A2806" i="15"/>
  <c r="A2807" i="15"/>
  <c r="A2808" i="15"/>
  <c r="A2809" i="15"/>
  <c r="A2810" i="15"/>
  <c r="A2811" i="15"/>
  <c r="A2812" i="15"/>
  <c r="A2813" i="15"/>
  <c r="A2814" i="15"/>
  <c r="A2815" i="15"/>
  <c r="A2816" i="15"/>
  <c r="A2817" i="15"/>
  <c r="A2818" i="15"/>
  <c r="A2819" i="15"/>
  <c r="A2820" i="15"/>
  <c r="A2821" i="15"/>
  <c r="A2822" i="15"/>
  <c r="A2823" i="15"/>
  <c r="A2824" i="15"/>
  <c r="A2825" i="15"/>
  <c r="A2826" i="15"/>
  <c r="A2827" i="15"/>
  <c r="A2828" i="15"/>
  <c r="A2829" i="15"/>
  <c r="A2830" i="15"/>
  <c r="A2831" i="15"/>
  <c r="A2832" i="15"/>
  <c r="A2833" i="15"/>
  <c r="A2834" i="15"/>
  <c r="A2835" i="15"/>
  <c r="A2836" i="15"/>
  <c r="A2837" i="15"/>
  <c r="A2838" i="15"/>
  <c r="A2839" i="15"/>
  <c r="A2840" i="15"/>
  <c r="A2841" i="15"/>
  <c r="A2842" i="15"/>
  <c r="A2843" i="15"/>
  <c r="A2844" i="15"/>
  <c r="A2845" i="15"/>
  <c r="A2846" i="15"/>
  <c r="A2847" i="15"/>
  <c r="A2848" i="15"/>
  <c r="A2849" i="15"/>
  <c r="A2850" i="15"/>
  <c r="A2851" i="15"/>
  <c r="A2852" i="15"/>
  <c r="A2853" i="15"/>
  <c r="A2854" i="15"/>
  <c r="A2855" i="15"/>
  <c r="A2856" i="15"/>
  <c r="A2857" i="15"/>
  <c r="A2858" i="15"/>
  <c r="A2859" i="15"/>
  <c r="A2860" i="15"/>
  <c r="A2861" i="15"/>
  <c r="A2862" i="15"/>
  <c r="A2863" i="15"/>
  <c r="A2864" i="15"/>
  <c r="A2865" i="15"/>
  <c r="A2866" i="15"/>
  <c r="A2867" i="15"/>
  <c r="A2868" i="15"/>
  <c r="A2869" i="15"/>
  <c r="A2870" i="15"/>
  <c r="A2871" i="15"/>
  <c r="A2872" i="15"/>
  <c r="A2873" i="15"/>
  <c r="A2874" i="15"/>
  <c r="A2875" i="15"/>
  <c r="A2876" i="15"/>
  <c r="A2877" i="15"/>
  <c r="A2878" i="15"/>
  <c r="A2879" i="15"/>
  <c r="A2880" i="15"/>
  <c r="A2881" i="15"/>
  <c r="A2882" i="15"/>
  <c r="A2883" i="15"/>
  <c r="A2884" i="15"/>
  <c r="A2885" i="15"/>
  <c r="A2886" i="15"/>
  <c r="A2887" i="15"/>
  <c r="A2888" i="15"/>
  <c r="A2889" i="15"/>
  <c r="A2890" i="15"/>
  <c r="A2891" i="15"/>
  <c r="A2892" i="15"/>
  <c r="A2893" i="15"/>
  <c r="A2894" i="15"/>
  <c r="A2895" i="15"/>
  <c r="A2896" i="15"/>
  <c r="A2897" i="15"/>
  <c r="A2898" i="15"/>
  <c r="A2899" i="15"/>
  <c r="A2900" i="15"/>
  <c r="A2901" i="15"/>
  <c r="A2902" i="15"/>
  <c r="A2903" i="15"/>
  <c r="A2904" i="15"/>
  <c r="A2905" i="15"/>
  <c r="A2906" i="15"/>
  <c r="A2907" i="15"/>
  <c r="A2908" i="15"/>
  <c r="A2909" i="15"/>
  <c r="A2910" i="15"/>
  <c r="A2911" i="15"/>
  <c r="A2912" i="15"/>
  <c r="A2913" i="15"/>
  <c r="A2914" i="15"/>
  <c r="A2915" i="15"/>
  <c r="A2916" i="15"/>
  <c r="A2917" i="15"/>
  <c r="A2918" i="15"/>
  <c r="A2919" i="15"/>
  <c r="A2920" i="15"/>
  <c r="A2921" i="15"/>
  <c r="A2922" i="15"/>
  <c r="A2923" i="15"/>
  <c r="A2924" i="15"/>
  <c r="A2925" i="15"/>
  <c r="A2926" i="15"/>
  <c r="A2927" i="15"/>
  <c r="A2928" i="15"/>
  <c r="A2929" i="15"/>
  <c r="A2930" i="15"/>
  <c r="A2931" i="15"/>
  <c r="A2932" i="15"/>
  <c r="A2933" i="15"/>
  <c r="A2934" i="15"/>
  <c r="A2935" i="15"/>
  <c r="A2936" i="15"/>
  <c r="A2937" i="15"/>
  <c r="A2938" i="15"/>
  <c r="A2939" i="15"/>
  <c r="A2940" i="15"/>
  <c r="A2941" i="15"/>
  <c r="A2942" i="15"/>
  <c r="A2943" i="15"/>
  <c r="A2944" i="15"/>
  <c r="A2945" i="15"/>
  <c r="A2946" i="15"/>
  <c r="A2947" i="15"/>
  <c r="A2948" i="15"/>
  <c r="A2949" i="15"/>
  <c r="A2950" i="15"/>
  <c r="A2951" i="15"/>
  <c r="A2952" i="15"/>
  <c r="A2953" i="15"/>
  <c r="A2954" i="15"/>
  <c r="A2955" i="15"/>
  <c r="A2956" i="15"/>
  <c r="A2957" i="15"/>
  <c r="A2958" i="15"/>
  <c r="A2959" i="15"/>
  <c r="A2960" i="15"/>
  <c r="A2961" i="15"/>
  <c r="A2962" i="15"/>
  <c r="A2963" i="15"/>
  <c r="A2964" i="15"/>
  <c r="A2965" i="15"/>
  <c r="A2966" i="15"/>
  <c r="A2967" i="15"/>
  <c r="A2968" i="15"/>
  <c r="A2969" i="15"/>
  <c r="A2970" i="15"/>
  <c r="A2971" i="15"/>
  <c r="A2972" i="15"/>
  <c r="A2973" i="15"/>
  <c r="A2974" i="15"/>
  <c r="A2975" i="15"/>
  <c r="A2976" i="15"/>
  <c r="A2977" i="15"/>
  <c r="A2978" i="15"/>
  <c r="A2979" i="15"/>
  <c r="A2980" i="15"/>
  <c r="A2981" i="15"/>
  <c r="A2982" i="15"/>
  <c r="A2983" i="15"/>
  <c r="A2984" i="15"/>
  <c r="A2985" i="15"/>
  <c r="A2986" i="15"/>
  <c r="A2987" i="15"/>
  <c r="A2988" i="15"/>
  <c r="A2989" i="15"/>
  <c r="A2990" i="15"/>
  <c r="A2991" i="15"/>
  <c r="A2992" i="15"/>
  <c r="A2993" i="15"/>
  <c r="A2994" i="15"/>
  <c r="A2995" i="15"/>
  <c r="A2996" i="15"/>
  <c r="A2997" i="15"/>
  <c r="A2998" i="15"/>
  <c r="A2999" i="15"/>
  <c r="A3000" i="15"/>
  <c r="A3001" i="15"/>
  <c r="A3002" i="15"/>
  <c r="A3003" i="15"/>
  <c r="A3004" i="15"/>
  <c r="A3005" i="15"/>
  <c r="A3006" i="15"/>
  <c r="A3007" i="15"/>
  <c r="A3008" i="15"/>
  <c r="A3009" i="15"/>
  <c r="A3010" i="15"/>
  <c r="A3011" i="15"/>
  <c r="A3012" i="15"/>
  <c r="A3013" i="15"/>
  <c r="A3014" i="15"/>
  <c r="A3015" i="15"/>
  <c r="A3016" i="15"/>
  <c r="A3017" i="15"/>
  <c r="A3018" i="15"/>
  <c r="A3019" i="15"/>
  <c r="A3020" i="15"/>
  <c r="A3021" i="15"/>
  <c r="A3022" i="15"/>
  <c r="A3023" i="15"/>
  <c r="A3024" i="15"/>
  <c r="A3025" i="15"/>
  <c r="A3026" i="15"/>
  <c r="A3027" i="15"/>
  <c r="A3028" i="15"/>
  <c r="A3029" i="15"/>
  <c r="A3030" i="15"/>
  <c r="A3031" i="15"/>
  <c r="A3032" i="15"/>
  <c r="A3033" i="15"/>
  <c r="A3034" i="15"/>
  <c r="A3035" i="15"/>
  <c r="A3036" i="15"/>
  <c r="A3037" i="15"/>
  <c r="A3038" i="15"/>
  <c r="A3039" i="15"/>
  <c r="A3040" i="15"/>
  <c r="A3041" i="15"/>
  <c r="A3042" i="15"/>
  <c r="A3043" i="15"/>
  <c r="A3044" i="15"/>
  <c r="A3045" i="15"/>
  <c r="A3046" i="15"/>
  <c r="A3047" i="15"/>
  <c r="A3048" i="15"/>
  <c r="A3049" i="15"/>
  <c r="A3050" i="15"/>
  <c r="A3051" i="15"/>
  <c r="A3052" i="15"/>
  <c r="A3053" i="15"/>
  <c r="A3054" i="15"/>
  <c r="A3055" i="15"/>
  <c r="A3056" i="15"/>
  <c r="A3057" i="15"/>
  <c r="A3058" i="15"/>
  <c r="A3059" i="15"/>
  <c r="A3060" i="15"/>
  <c r="A3061" i="15"/>
  <c r="A3062" i="15"/>
  <c r="A3063" i="15"/>
  <c r="A3064" i="15"/>
  <c r="A3065" i="15"/>
  <c r="A3066" i="15"/>
  <c r="A3067" i="15"/>
  <c r="A3068" i="15"/>
  <c r="A3069" i="15"/>
  <c r="A3070" i="15"/>
  <c r="A3071" i="15"/>
  <c r="A3072" i="15"/>
  <c r="A3073" i="15"/>
  <c r="A3074" i="15"/>
  <c r="A3075" i="15"/>
  <c r="A3076" i="15"/>
  <c r="A3077" i="15"/>
  <c r="A3078" i="15"/>
  <c r="A3079" i="15"/>
  <c r="A3080" i="15"/>
  <c r="A3081" i="15"/>
  <c r="A3082" i="15"/>
  <c r="A3083" i="15"/>
  <c r="A3084" i="15"/>
  <c r="A3085" i="15"/>
  <c r="A3086" i="15"/>
  <c r="A3087" i="15"/>
  <c r="A3088" i="15"/>
  <c r="A3089" i="15"/>
  <c r="A3090" i="15"/>
  <c r="A3091" i="15"/>
  <c r="A3092" i="15"/>
  <c r="A3093" i="15"/>
  <c r="A3094" i="15"/>
  <c r="A3095" i="15"/>
  <c r="A3096" i="15"/>
  <c r="A3097" i="15"/>
  <c r="A3098" i="15"/>
  <c r="A3099" i="15"/>
  <c r="A3100" i="15"/>
  <c r="A3101" i="15"/>
  <c r="A3102" i="15"/>
  <c r="A3103" i="15"/>
  <c r="A3104" i="15"/>
  <c r="A3105" i="15"/>
  <c r="A3106" i="15"/>
  <c r="A3107" i="15"/>
  <c r="A3108" i="15"/>
  <c r="A3109" i="15"/>
  <c r="A3110" i="15"/>
  <c r="A3111" i="15"/>
  <c r="A3112" i="15"/>
  <c r="A3113" i="15"/>
  <c r="A3114" i="15"/>
  <c r="A3115" i="15"/>
  <c r="A3116" i="15"/>
  <c r="A3117" i="15"/>
  <c r="A3118" i="15"/>
  <c r="A3119" i="15"/>
  <c r="A3120" i="15"/>
  <c r="A3121" i="15"/>
  <c r="A3122" i="15"/>
  <c r="A3123" i="15"/>
  <c r="A3124" i="15"/>
  <c r="A3125" i="15"/>
  <c r="A3126" i="15"/>
  <c r="A3127" i="15"/>
  <c r="A3128" i="15"/>
  <c r="A3129" i="15"/>
  <c r="A3130" i="15"/>
  <c r="A3131" i="15"/>
  <c r="A3132" i="15"/>
  <c r="A3133" i="15"/>
  <c r="A3134" i="15"/>
  <c r="A3135" i="15"/>
  <c r="A3136" i="15"/>
  <c r="A3137" i="15"/>
  <c r="A3138" i="15"/>
  <c r="A3139" i="15"/>
  <c r="A3140" i="15"/>
  <c r="A3141" i="15"/>
  <c r="A3142" i="15"/>
  <c r="A3143" i="15"/>
  <c r="A3144" i="15"/>
  <c r="A3145" i="15"/>
  <c r="A3146" i="15"/>
  <c r="A3147" i="15"/>
  <c r="A3148" i="15"/>
  <c r="A3149" i="15"/>
  <c r="A3150" i="15"/>
  <c r="A3151" i="15"/>
  <c r="A3152" i="15"/>
  <c r="A3153" i="15"/>
  <c r="A3154" i="15"/>
  <c r="A3155" i="15"/>
  <c r="A3156" i="15"/>
  <c r="A3157" i="15"/>
  <c r="A3158" i="15"/>
  <c r="A3159" i="15"/>
  <c r="A3160" i="15"/>
  <c r="A3161" i="15"/>
  <c r="A3162" i="15"/>
  <c r="A3163" i="15"/>
  <c r="A3164" i="15"/>
  <c r="A3165" i="15"/>
  <c r="A3166" i="15"/>
  <c r="A3167" i="15"/>
  <c r="A3168" i="15"/>
  <c r="A3169" i="15"/>
  <c r="A3170" i="15"/>
  <c r="A3171" i="15"/>
  <c r="A3172" i="15"/>
  <c r="A3173" i="15"/>
  <c r="A3174" i="15"/>
  <c r="A3175" i="15"/>
  <c r="A3176" i="15"/>
  <c r="A3177" i="15"/>
  <c r="A3178" i="15"/>
  <c r="A3179" i="15"/>
  <c r="A3180" i="15"/>
  <c r="A3181" i="15"/>
  <c r="A3182" i="15"/>
  <c r="A3183" i="15"/>
  <c r="A3184" i="15"/>
  <c r="A3185" i="15"/>
  <c r="A3186" i="15"/>
  <c r="A3187" i="15"/>
  <c r="A3188" i="15"/>
  <c r="A3189" i="15"/>
  <c r="A3190" i="15"/>
  <c r="A3191" i="15"/>
  <c r="A3192" i="15"/>
  <c r="A3193" i="15"/>
  <c r="A3194" i="15"/>
  <c r="A3195" i="15"/>
  <c r="A3196" i="15"/>
  <c r="A3197" i="15"/>
  <c r="A3198" i="15"/>
  <c r="A3199" i="15"/>
  <c r="A3200" i="15"/>
  <c r="A3201" i="15"/>
  <c r="A3202" i="15"/>
  <c r="A3203" i="15"/>
  <c r="A3204" i="15"/>
  <c r="A3205" i="15"/>
  <c r="A3206" i="15"/>
  <c r="A3207" i="15"/>
  <c r="A3208" i="15"/>
  <c r="A3209" i="15"/>
  <c r="A3210" i="15"/>
  <c r="A3211" i="15"/>
  <c r="A3212" i="15"/>
  <c r="A3213" i="15"/>
  <c r="A3214" i="15"/>
  <c r="A3215" i="15"/>
  <c r="A3216" i="15"/>
  <c r="A3217" i="15"/>
  <c r="A3218" i="15"/>
  <c r="A3219" i="15"/>
  <c r="A3220" i="15"/>
  <c r="A3221" i="15"/>
  <c r="A3222" i="15"/>
  <c r="A3223" i="15"/>
  <c r="A3224" i="15"/>
  <c r="A3225" i="15"/>
  <c r="A3226" i="15"/>
  <c r="A3227" i="15"/>
  <c r="A3228" i="15"/>
  <c r="A3229" i="15"/>
  <c r="A3230" i="15"/>
  <c r="A3231" i="15"/>
  <c r="A3232" i="15"/>
  <c r="A3233" i="15"/>
  <c r="A3234" i="15"/>
  <c r="A3235" i="15"/>
  <c r="A3236" i="15"/>
  <c r="A3237" i="15"/>
  <c r="A3238" i="15"/>
  <c r="A3239" i="15"/>
  <c r="A3240" i="15"/>
  <c r="A3241" i="15"/>
  <c r="A3242" i="15"/>
  <c r="A3243" i="15"/>
  <c r="A3244" i="15"/>
  <c r="A3245" i="15"/>
  <c r="A3246" i="15"/>
  <c r="A3247" i="15"/>
  <c r="A3248" i="15"/>
  <c r="A3249" i="15"/>
  <c r="A3250" i="15"/>
  <c r="A3251" i="15"/>
  <c r="A3252" i="15"/>
  <c r="A3253" i="15"/>
  <c r="A3254" i="15"/>
  <c r="A3255" i="15"/>
  <c r="A3256" i="15"/>
  <c r="A3257" i="15"/>
  <c r="A3258" i="15"/>
  <c r="A3259" i="15"/>
  <c r="A3260" i="15"/>
  <c r="A3261" i="15"/>
  <c r="A3262" i="15"/>
  <c r="A3263" i="15"/>
  <c r="A3264" i="15"/>
  <c r="A3265" i="15"/>
  <c r="A3266" i="15"/>
  <c r="A3267" i="15"/>
  <c r="A3268" i="15"/>
  <c r="A3269" i="15"/>
  <c r="A3270" i="15"/>
  <c r="A3271" i="15"/>
  <c r="A3272" i="15"/>
  <c r="A3273" i="15"/>
  <c r="A3274" i="15"/>
  <c r="A3275" i="15"/>
  <c r="A3276" i="15"/>
  <c r="A3277" i="15"/>
  <c r="A3278" i="15"/>
  <c r="A3279" i="15"/>
  <c r="A3280" i="15"/>
  <c r="A3281" i="15"/>
  <c r="A3282" i="15"/>
  <c r="A3283" i="15"/>
  <c r="A3284" i="15"/>
  <c r="A3285" i="15"/>
  <c r="A3286" i="15"/>
  <c r="A3287" i="15"/>
  <c r="A3288" i="15"/>
  <c r="A3289" i="15"/>
  <c r="A3290" i="15"/>
  <c r="A3291" i="15"/>
  <c r="A3292" i="15"/>
  <c r="A3293" i="15"/>
  <c r="A3294" i="15"/>
  <c r="A3295" i="15"/>
  <c r="A3296" i="15"/>
  <c r="A3297" i="15"/>
  <c r="A3298" i="15"/>
  <c r="A3299" i="15"/>
  <c r="A3300" i="15"/>
  <c r="A3301" i="15"/>
  <c r="A3302" i="15"/>
  <c r="A3303" i="15"/>
  <c r="A3304" i="15"/>
  <c r="A3305" i="15"/>
  <c r="A3306" i="15"/>
  <c r="A3307" i="15"/>
  <c r="A3308" i="15"/>
  <c r="A3309" i="15"/>
  <c r="A3310" i="15"/>
  <c r="A3311" i="15"/>
  <c r="A3312" i="15"/>
  <c r="A3313" i="15"/>
  <c r="A3314" i="15"/>
  <c r="A3315" i="15"/>
  <c r="A3316" i="15"/>
  <c r="A3317" i="15"/>
  <c r="A3318" i="15"/>
  <c r="A3319" i="15"/>
  <c r="A3320" i="15"/>
  <c r="A3321" i="15"/>
  <c r="A3322" i="15"/>
  <c r="A3323" i="15"/>
  <c r="A3324" i="15"/>
  <c r="A3325" i="15"/>
  <c r="A3326" i="15"/>
  <c r="A3327" i="15"/>
  <c r="A3328" i="15"/>
  <c r="A3329" i="15"/>
  <c r="A3330" i="15"/>
  <c r="A3331" i="15"/>
  <c r="A3332" i="15"/>
  <c r="A3333" i="15"/>
  <c r="A3334" i="15"/>
  <c r="A3335" i="15"/>
  <c r="A3336" i="15"/>
  <c r="A3337" i="15"/>
  <c r="A3338" i="15"/>
  <c r="A3339" i="15"/>
  <c r="A3340" i="15"/>
  <c r="A3341" i="15"/>
  <c r="A3342" i="15"/>
  <c r="A3343" i="15"/>
  <c r="A3344" i="15"/>
  <c r="A3345" i="15"/>
  <c r="A3346" i="15"/>
  <c r="A3347" i="15"/>
  <c r="A3348" i="15"/>
  <c r="A3349" i="15"/>
  <c r="A3350" i="15"/>
  <c r="A3351" i="15"/>
  <c r="A3352" i="15"/>
  <c r="A3353" i="15"/>
  <c r="A3354" i="15"/>
  <c r="A3355" i="15"/>
  <c r="A3356" i="15"/>
  <c r="A3357" i="15"/>
  <c r="A3358" i="15"/>
  <c r="A3359" i="15"/>
  <c r="A3360" i="15"/>
  <c r="A3361" i="15"/>
  <c r="A3362" i="15"/>
  <c r="A3363" i="15"/>
  <c r="A3364" i="15"/>
  <c r="A3365" i="15"/>
  <c r="A3366" i="15"/>
  <c r="A3367" i="15"/>
  <c r="A3368" i="15"/>
  <c r="A3369" i="15"/>
  <c r="A3370" i="15"/>
  <c r="A3371" i="15"/>
  <c r="A3372" i="15"/>
  <c r="A3373" i="15"/>
  <c r="A3374" i="15"/>
  <c r="A3375" i="15"/>
  <c r="A3376" i="15"/>
  <c r="A3377" i="15"/>
  <c r="A3378" i="15"/>
  <c r="A3379" i="15"/>
  <c r="A3380" i="15"/>
  <c r="A3381" i="15"/>
  <c r="A3382" i="15"/>
  <c r="A3383" i="15"/>
  <c r="A3384" i="15"/>
  <c r="A3385" i="15"/>
  <c r="A3386" i="15"/>
  <c r="A3387" i="15"/>
  <c r="A3388" i="15"/>
  <c r="A3389" i="15"/>
  <c r="A3390" i="15"/>
  <c r="A3391" i="15"/>
  <c r="A3392" i="15"/>
  <c r="A3393" i="15"/>
  <c r="A3394" i="15"/>
  <c r="A3395" i="15"/>
  <c r="A3396" i="15"/>
  <c r="A3397" i="15"/>
  <c r="A3398" i="15"/>
  <c r="A3399" i="15"/>
  <c r="A3400" i="15"/>
  <c r="A3401" i="15"/>
  <c r="A3402" i="15"/>
  <c r="A3403" i="15"/>
  <c r="A3404" i="15"/>
  <c r="A3405" i="15"/>
  <c r="A3406" i="15"/>
  <c r="A3407" i="15"/>
  <c r="A3408" i="15"/>
  <c r="A3409" i="15"/>
  <c r="A3410" i="15"/>
  <c r="A3411" i="15"/>
  <c r="A3412" i="15"/>
  <c r="A3413" i="15"/>
  <c r="A3414" i="15"/>
  <c r="A3415" i="15"/>
  <c r="A3416" i="15"/>
  <c r="A3417" i="15"/>
  <c r="A3418" i="15"/>
  <c r="A3419" i="15"/>
  <c r="A3420" i="15"/>
  <c r="A3421" i="15"/>
  <c r="A3422" i="15"/>
  <c r="A3423" i="15"/>
  <c r="A3424" i="15"/>
  <c r="A3425" i="15"/>
  <c r="A3426" i="15"/>
  <c r="A3427" i="15"/>
  <c r="A3428" i="15"/>
  <c r="A3429" i="15"/>
  <c r="A3430" i="15"/>
  <c r="A3431" i="15"/>
  <c r="A3432" i="15"/>
  <c r="A3433" i="15"/>
  <c r="A3434" i="15"/>
  <c r="A3435" i="15"/>
  <c r="A3436" i="15"/>
  <c r="A3437" i="15"/>
  <c r="A3438" i="15"/>
  <c r="A3439" i="15"/>
  <c r="A3440" i="15"/>
  <c r="A3441" i="15"/>
  <c r="A3442" i="15"/>
  <c r="A3443" i="15"/>
  <c r="A3444" i="15"/>
  <c r="A3445" i="15"/>
  <c r="A3446" i="15"/>
  <c r="A3447" i="15"/>
  <c r="A3448" i="15"/>
  <c r="A3449" i="15"/>
  <c r="A3450" i="15"/>
  <c r="A3451" i="15"/>
  <c r="A3452" i="15"/>
  <c r="A3453" i="15"/>
  <c r="A3454" i="15"/>
  <c r="A3455" i="15"/>
  <c r="A3456" i="15"/>
  <c r="A3457" i="15"/>
  <c r="A3458" i="15"/>
  <c r="A3459" i="15"/>
  <c r="A3460" i="15"/>
  <c r="A3461" i="15"/>
  <c r="A3462" i="15"/>
  <c r="A3463" i="15"/>
  <c r="A3464" i="15"/>
  <c r="A3465" i="15"/>
  <c r="A3466" i="15"/>
  <c r="A3467" i="15"/>
  <c r="A3468" i="15"/>
  <c r="A3469" i="15"/>
  <c r="A3470" i="15"/>
  <c r="A3471" i="15"/>
  <c r="A3472" i="15"/>
  <c r="A3473" i="15"/>
  <c r="A3474" i="15"/>
  <c r="A3475" i="15"/>
  <c r="A3476" i="15"/>
  <c r="A3477" i="15"/>
  <c r="A3478" i="15"/>
  <c r="A3479" i="15"/>
  <c r="A3480" i="15"/>
  <c r="A3481" i="15"/>
  <c r="A3482" i="15"/>
  <c r="A3483" i="15"/>
  <c r="A3484" i="15"/>
  <c r="A3485" i="15"/>
  <c r="A3486" i="15"/>
  <c r="A3487" i="15"/>
  <c r="A3488" i="15"/>
  <c r="A3489" i="15"/>
  <c r="A3490" i="15"/>
  <c r="A3491" i="15"/>
  <c r="A3492" i="15"/>
  <c r="A3493" i="15"/>
  <c r="A3494" i="15"/>
  <c r="A3495" i="15"/>
  <c r="A3496" i="15"/>
  <c r="A3497" i="15"/>
  <c r="A3498" i="15"/>
  <c r="A3499" i="15"/>
  <c r="A3500" i="15"/>
  <c r="A3501" i="15"/>
  <c r="A3502" i="15"/>
  <c r="A3503" i="15"/>
  <c r="A3504" i="15"/>
  <c r="A3505" i="15"/>
  <c r="A3506" i="15"/>
  <c r="A3507" i="15"/>
  <c r="A3508" i="15"/>
  <c r="A3509" i="15"/>
  <c r="A3510" i="15"/>
  <c r="A3511" i="15"/>
  <c r="A3512" i="15"/>
  <c r="A3513" i="15"/>
  <c r="A3514" i="15"/>
  <c r="A3515" i="15"/>
  <c r="A3516" i="15"/>
  <c r="A3517" i="15"/>
  <c r="A3518" i="15"/>
  <c r="A3519" i="15"/>
  <c r="A3520" i="15"/>
  <c r="A3521" i="15"/>
  <c r="A3522" i="15"/>
  <c r="A3523" i="15"/>
  <c r="A3524" i="15"/>
  <c r="A3525" i="15"/>
  <c r="A3526" i="15"/>
  <c r="A3527" i="15"/>
  <c r="A3528" i="15"/>
  <c r="A3529" i="15"/>
  <c r="A3530" i="15"/>
  <c r="A3531" i="15"/>
  <c r="A3532" i="15"/>
  <c r="A3533" i="15"/>
  <c r="A3534" i="15"/>
  <c r="A3535" i="15"/>
  <c r="A3536" i="15"/>
  <c r="A3537" i="15"/>
  <c r="A3538" i="15"/>
  <c r="A3539" i="15"/>
  <c r="A3540" i="15"/>
  <c r="A3541" i="15"/>
  <c r="A3542" i="15"/>
  <c r="A3543" i="15"/>
  <c r="A3544" i="15"/>
  <c r="A3545" i="15"/>
  <c r="A3546" i="15"/>
  <c r="A3547" i="15"/>
  <c r="A3548" i="15"/>
  <c r="A3549" i="15"/>
  <c r="A3550" i="15"/>
  <c r="A3551" i="15"/>
  <c r="A3552" i="15"/>
  <c r="A3553" i="15"/>
  <c r="A3554" i="15"/>
  <c r="A3555" i="15"/>
  <c r="A3556" i="15"/>
  <c r="A3557" i="15"/>
  <c r="A3558" i="15"/>
  <c r="A3559" i="15"/>
  <c r="A3560" i="15"/>
  <c r="A3561" i="15"/>
  <c r="A3562" i="15"/>
  <c r="A3563" i="15"/>
  <c r="A3564" i="15"/>
  <c r="A3565" i="15"/>
  <c r="A3566" i="15"/>
  <c r="A3567" i="15"/>
  <c r="A3568" i="15"/>
  <c r="A3569" i="15"/>
  <c r="A3570" i="15"/>
  <c r="A3571" i="15"/>
  <c r="A3572" i="15"/>
  <c r="A3573" i="15"/>
  <c r="A3574" i="15"/>
  <c r="A3575" i="15"/>
  <c r="A3576" i="15"/>
  <c r="A3577" i="15"/>
  <c r="A3578" i="15"/>
  <c r="A3579" i="15"/>
  <c r="A3580" i="15"/>
  <c r="A3581" i="15"/>
  <c r="A3582" i="15"/>
  <c r="A3583" i="15"/>
  <c r="A3584" i="15"/>
  <c r="A3585" i="15"/>
  <c r="A3586" i="15"/>
  <c r="A3587" i="15"/>
  <c r="A3588" i="15"/>
  <c r="A3589" i="15"/>
  <c r="A3590" i="15"/>
  <c r="A3591" i="15"/>
  <c r="A3592" i="15"/>
  <c r="A3593" i="15"/>
  <c r="A3594" i="15"/>
  <c r="A3595" i="15"/>
  <c r="A3596" i="15"/>
  <c r="A3597" i="15"/>
  <c r="A3598" i="15"/>
  <c r="A3599" i="15"/>
  <c r="A3600" i="15"/>
  <c r="A3601" i="15"/>
  <c r="A3602" i="15"/>
  <c r="A3603" i="15"/>
  <c r="A3604" i="15"/>
  <c r="A3605" i="15"/>
  <c r="A3606" i="15"/>
  <c r="A3607" i="15"/>
  <c r="A3608" i="15"/>
  <c r="A3609" i="15"/>
  <c r="A3610" i="15"/>
  <c r="A3611" i="15"/>
  <c r="A3612" i="15"/>
  <c r="A3613" i="15"/>
  <c r="A3614" i="15"/>
  <c r="A3615" i="15"/>
  <c r="A3616" i="15"/>
  <c r="A3617" i="15"/>
  <c r="A3618" i="15"/>
  <c r="A3619" i="15"/>
  <c r="A3620" i="15"/>
  <c r="A3621" i="15"/>
  <c r="A3622" i="15"/>
  <c r="A3623" i="15"/>
  <c r="A3624" i="15"/>
  <c r="A3625" i="15"/>
  <c r="A3626" i="15"/>
  <c r="A3627" i="15"/>
  <c r="A3628" i="15"/>
  <c r="A3629" i="15"/>
  <c r="A3630" i="15"/>
  <c r="A3631" i="15"/>
  <c r="A3632" i="15"/>
  <c r="A3633" i="15"/>
  <c r="A3634" i="15"/>
  <c r="A3635" i="15"/>
  <c r="A3636" i="15"/>
  <c r="A3637" i="15"/>
  <c r="A3638" i="15"/>
  <c r="A3639" i="15"/>
  <c r="A3640" i="15"/>
  <c r="A3641" i="15"/>
  <c r="A3642" i="15"/>
  <c r="A3643" i="15"/>
  <c r="A3644" i="15"/>
  <c r="A3645" i="15"/>
  <c r="A3646" i="15"/>
  <c r="A3647" i="15"/>
  <c r="A3648" i="15"/>
  <c r="A3649" i="15"/>
  <c r="A3650" i="15"/>
  <c r="A3651" i="15"/>
  <c r="A3652" i="15"/>
  <c r="A3653" i="15"/>
  <c r="A3654" i="15"/>
  <c r="A3655" i="15"/>
  <c r="A3656" i="15"/>
  <c r="A3657" i="15"/>
  <c r="A3658" i="15"/>
  <c r="A3659" i="15"/>
  <c r="A3660" i="15"/>
  <c r="A3661" i="15"/>
  <c r="A3662" i="15"/>
  <c r="A3663" i="15"/>
  <c r="A3664" i="15"/>
  <c r="A3665" i="15"/>
  <c r="A3666" i="15"/>
  <c r="A3667" i="15"/>
  <c r="A3668" i="15"/>
  <c r="A3669" i="15"/>
  <c r="A3670" i="15"/>
  <c r="A3671" i="15"/>
  <c r="A3672" i="15"/>
  <c r="A3673" i="15"/>
  <c r="A3674" i="15"/>
  <c r="A3675" i="15"/>
  <c r="A3676" i="15"/>
  <c r="A3677" i="15"/>
  <c r="A3678" i="15"/>
  <c r="A3679" i="15"/>
  <c r="A3680" i="15"/>
  <c r="A3681" i="15"/>
  <c r="A3682" i="15"/>
  <c r="A3683" i="15"/>
  <c r="A3684" i="15"/>
  <c r="A3685" i="15"/>
  <c r="A3686" i="15"/>
  <c r="A3687" i="15"/>
  <c r="A3688" i="15"/>
  <c r="A3689" i="15"/>
  <c r="A3690" i="15"/>
  <c r="A3691" i="15"/>
  <c r="A3692" i="15"/>
  <c r="A3693" i="15"/>
  <c r="A3694" i="15"/>
  <c r="A3695" i="15"/>
  <c r="A3696" i="15"/>
  <c r="A3697" i="15"/>
  <c r="A3698" i="15"/>
  <c r="A3699" i="15"/>
  <c r="A3700" i="15"/>
  <c r="A3701" i="15"/>
  <c r="A3702" i="15"/>
  <c r="A3703" i="15"/>
  <c r="A3704" i="15"/>
  <c r="A3705" i="15"/>
  <c r="A3706" i="15"/>
  <c r="A3707" i="15"/>
  <c r="A3708" i="15"/>
  <c r="A3709" i="15"/>
  <c r="A3710" i="15"/>
  <c r="A3711" i="15"/>
  <c r="A3712" i="15"/>
  <c r="A3713" i="15"/>
  <c r="A3714" i="15"/>
  <c r="A3715" i="15"/>
  <c r="A3716" i="15"/>
  <c r="A3717" i="15"/>
  <c r="A3718" i="15"/>
  <c r="A3719" i="15"/>
  <c r="A3720" i="15"/>
  <c r="A3721" i="15"/>
  <c r="A3722" i="15"/>
  <c r="A3723" i="15"/>
  <c r="A2" i="15"/>
  <c r="C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G10" i="1" l="1"/>
  <c r="AB10" i="1"/>
  <c r="R10" i="1"/>
  <c r="Z10" i="1"/>
  <c r="S10" i="1"/>
  <c r="AA10" i="1"/>
  <c r="T10" i="1"/>
  <c r="M10" i="1"/>
  <c r="U10" i="1"/>
  <c r="AC10" i="1"/>
  <c r="N10" i="1"/>
  <c r="V10" i="1"/>
  <c r="AD10" i="1"/>
  <c r="O10" i="1"/>
  <c r="W10" i="1"/>
  <c r="AE10" i="1"/>
  <c r="P10" i="1"/>
  <c r="X10" i="1"/>
  <c r="AF10" i="1"/>
  <c r="Q10" i="1"/>
  <c r="Y10" i="1"/>
  <c r="M12" i="1"/>
  <c r="M19" i="1"/>
  <c r="R11" i="1"/>
  <c r="Z11" i="1"/>
  <c r="N12" i="1"/>
  <c r="V12" i="1"/>
  <c r="AD12" i="1"/>
  <c r="R13" i="1"/>
  <c r="Z13" i="1"/>
  <c r="N14" i="1"/>
  <c r="V14" i="1"/>
  <c r="AD14" i="1"/>
  <c r="R15" i="1"/>
  <c r="Z15" i="1"/>
  <c r="N16" i="1"/>
  <c r="V16" i="1"/>
  <c r="AD16" i="1"/>
  <c r="R17" i="1"/>
  <c r="Z17" i="1"/>
  <c r="N18" i="1"/>
  <c r="V18" i="1"/>
  <c r="AD18" i="1"/>
  <c r="R19" i="1"/>
  <c r="Z19" i="1"/>
  <c r="S11" i="1"/>
  <c r="AA11" i="1"/>
  <c r="O12" i="1"/>
  <c r="W12" i="1"/>
  <c r="AE12" i="1"/>
  <c r="S13" i="1"/>
  <c r="AA13" i="1"/>
  <c r="O14" i="1"/>
  <c r="W14" i="1"/>
  <c r="AE14" i="1"/>
  <c r="S15" i="1"/>
  <c r="AA15" i="1"/>
  <c r="O16" i="1"/>
  <c r="W16" i="1"/>
  <c r="AE16" i="1"/>
  <c r="S17" i="1"/>
  <c r="AA17" i="1"/>
  <c r="O18" i="1"/>
  <c r="W18" i="1"/>
  <c r="AE18" i="1"/>
  <c r="S19" i="1"/>
  <c r="AA19" i="1"/>
  <c r="M13" i="1"/>
  <c r="T11" i="1"/>
  <c r="AB11" i="1"/>
  <c r="P12" i="1"/>
  <c r="X12" i="1"/>
  <c r="AF12" i="1"/>
  <c r="T13" i="1"/>
  <c r="AB13" i="1"/>
  <c r="P14" i="1"/>
  <c r="X14" i="1"/>
  <c r="AF14" i="1"/>
  <c r="T15" i="1"/>
  <c r="AB15" i="1"/>
  <c r="P16" i="1"/>
  <c r="X16" i="1"/>
  <c r="AF16" i="1"/>
  <c r="T17" i="1"/>
  <c r="AB17" i="1"/>
  <c r="P18" i="1"/>
  <c r="X18" i="1"/>
  <c r="AF18" i="1"/>
  <c r="T19" i="1"/>
  <c r="AB19" i="1"/>
  <c r="M14" i="1"/>
  <c r="M11" i="1"/>
  <c r="U11" i="1"/>
  <c r="AC11" i="1"/>
  <c r="Q12" i="1"/>
  <c r="Y12" i="1"/>
  <c r="AG12" i="1"/>
  <c r="U13" i="1"/>
  <c r="AC13" i="1"/>
  <c r="Q14" i="1"/>
  <c r="Y14" i="1"/>
  <c r="AG14" i="1"/>
  <c r="U15" i="1"/>
  <c r="AC15" i="1"/>
  <c r="Q16" i="1"/>
  <c r="Y16" i="1"/>
  <c r="AG16" i="1"/>
  <c r="U17" i="1"/>
  <c r="AC17" i="1"/>
  <c r="Q18" i="1"/>
  <c r="Y18" i="1"/>
  <c r="AG18" i="1"/>
  <c r="U19" i="1"/>
  <c r="AC19" i="1"/>
  <c r="M15" i="1"/>
  <c r="N11" i="1"/>
  <c r="V11" i="1"/>
  <c r="AD11" i="1"/>
  <c r="R12" i="1"/>
  <c r="Z12" i="1"/>
  <c r="N13" i="1"/>
  <c r="V13" i="1"/>
  <c r="AD13" i="1"/>
  <c r="R14" i="1"/>
  <c r="Z14" i="1"/>
  <c r="N15" i="1"/>
  <c r="V15" i="1"/>
  <c r="AD15" i="1"/>
  <c r="R16" i="1"/>
  <c r="Z16" i="1"/>
  <c r="N17" i="1"/>
  <c r="V17" i="1"/>
  <c r="AD17" i="1"/>
  <c r="R18" i="1"/>
  <c r="Z18" i="1"/>
  <c r="N19" i="1"/>
  <c r="V19" i="1"/>
  <c r="AD19" i="1"/>
  <c r="M16" i="1"/>
  <c r="O11" i="1"/>
  <c r="W11" i="1"/>
  <c r="AE11" i="1"/>
  <c r="S12" i="1"/>
  <c r="AA12" i="1"/>
  <c r="O13" i="1"/>
  <c r="W13" i="1"/>
  <c r="AE13" i="1"/>
  <c r="S14" i="1"/>
  <c r="AA14" i="1"/>
  <c r="O15" i="1"/>
  <c r="W15" i="1"/>
  <c r="AE15" i="1"/>
  <c r="S16" i="1"/>
  <c r="AA16" i="1"/>
  <c r="O17" i="1"/>
  <c r="W17" i="1"/>
  <c r="AE17" i="1"/>
  <c r="S18" i="1"/>
  <c r="AA18" i="1"/>
  <c r="O19" i="1"/>
  <c r="W19" i="1"/>
  <c r="AE19" i="1"/>
  <c r="M17" i="1"/>
  <c r="P11" i="1"/>
  <c r="X11" i="1"/>
  <c r="AF11" i="1"/>
  <c r="T12" i="1"/>
  <c r="AB12" i="1"/>
  <c r="P13" i="1"/>
  <c r="X13" i="1"/>
  <c r="AF13" i="1"/>
  <c r="T14" i="1"/>
  <c r="AB14" i="1"/>
  <c r="P15" i="1"/>
  <c r="X15" i="1"/>
  <c r="AF15" i="1"/>
  <c r="T16" i="1"/>
  <c r="AB16" i="1"/>
  <c r="P17" i="1"/>
  <c r="X17" i="1"/>
  <c r="AF17" i="1"/>
  <c r="T18" i="1"/>
  <c r="AB18" i="1"/>
  <c r="P19" i="1"/>
  <c r="X19" i="1"/>
  <c r="AF19" i="1"/>
  <c r="M18" i="1"/>
  <c r="Q11" i="1"/>
  <c r="Y11" i="1"/>
  <c r="AG11" i="1"/>
  <c r="U12" i="1"/>
  <c r="AC12" i="1"/>
  <c r="Q13" i="1"/>
  <c r="Y13" i="1"/>
  <c r="AG13" i="1"/>
  <c r="U14" i="1"/>
  <c r="AC14" i="1"/>
  <c r="Q15" i="1"/>
  <c r="Y15" i="1"/>
  <c r="AG15" i="1"/>
  <c r="U16" i="1"/>
  <c r="AC16" i="1"/>
  <c r="Q17" i="1"/>
  <c r="Y17" i="1"/>
  <c r="AG17" i="1"/>
  <c r="U18" i="1"/>
  <c r="AC18" i="1"/>
  <c r="Q19" i="1"/>
  <c r="Y19" i="1"/>
  <c r="AG19" i="1"/>
  <c r="AG21" i="1"/>
  <c r="Z21" i="1"/>
  <c r="T22" i="1"/>
  <c r="AB22" i="1"/>
  <c r="R21" i="1"/>
  <c r="M22" i="1"/>
  <c r="U22" i="1"/>
  <c r="AC22" i="1"/>
  <c r="S21" i="1"/>
  <c r="AA21" i="1"/>
  <c r="N22" i="1"/>
  <c r="V22" i="1"/>
  <c r="AD22" i="1"/>
  <c r="T21" i="1"/>
  <c r="AB21" i="1"/>
  <c r="O22" i="1"/>
  <c r="W22" i="1"/>
  <c r="AE22" i="1"/>
  <c r="M21" i="1"/>
  <c r="U21" i="1"/>
  <c r="AC21" i="1"/>
  <c r="P22" i="1"/>
  <c r="X22" i="1"/>
  <c r="AF22" i="1"/>
  <c r="N21" i="1"/>
  <c r="V21" i="1"/>
  <c r="AD21" i="1"/>
  <c r="Q22" i="1"/>
  <c r="Y22" i="1"/>
  <c r="AG22" i="1"/>
  <c r="O21" i="1"/>
  <c r="W21" i="1"/>
  <c r="AE21" i="1"/>
  <c r="R22" i="1"/>
  <c r="Z22" i="1"/>
  <c r="P21" i="1"/>
  <c r="X21" i="1"/>
  <c r="AF21" i="1"/>
  <c r="S22" i="1"/>
  <c r="AA22" i="1"/>
  <c r="Q21" i="1"/>
  <c r="Y21" i="1"/>
  <c r="Q4" i="1"/>
  <c r="R7" i="1"/>
  <c r="S20" i="1"/>
  <c r="AC23" i="1"/>
  <c r="U23" i="1"/>
  <c r="M23" i="1"/>
  <c r="Z20" i="1"/>
  <c r="R20" i="1"/>
  <c r="AE9" i="1"/>
  <c r="W9" i="1"/>
  <c r="O9" i="1"/>
  <c r="AB8" i="1"/>
  <c r="T8" i="1"/>
  <c r="AG7" i="1"/>
  <c r="Y7" i="1"/>
  <c r="Q7" i="1"/>
  <c r="AD6" i="1"/>
  <c r="V6" i="1"/>
  <c r="N6" i="1"/>
  <c r="AA5" i="1"/>
  <c r="S5" i="1"/>
  <c r="AF4" i="1"/>
  <c r="X4" i="1"/>
  <c r="P4" i="1"/>
  <c r="AC3" i="1"/>
  <c r="U3" i="1"/>
  <c r="M3" i="1"/>
  <c r="Z2" i="1"/>
  <c r="R2" i="1"/>
  <c r="AB23" i="1"/>
  <c r="T23" i="1"/>
  <c r="AG20" i="1"/>
  <c r="Y20" i="1"/>
  <c r="Q20" i="1"/>
  <c r="AD9" i="1"/>
  <c r="V9" i="1"/>
  <c r="N9" i="1"/>
  <c r="AA8" i="1"/>
  <c r="S8" i="1"/>
  <c r="AF7" i="1"/>
  <c r="X7" i="1"/>
  <c r="P7" i="1"/>
  <c r="AC6" i="1"/>
  <c r="U6" i="1"/>
  <c r="M6" i="1"/>
  <c r="Z5" i="1"/>
  <c r="R5" i="1"/>
  <c r="AE4" i="1"/>
  <c r="W4" i="1"/>
  <c r="O4" i="1"/>
  <c r="AB3" i="1"/>
  <c r="T3" i="1"/>
  <c r="AG2" i="1"/>
  <c r="Y2" i="1"/>
  <c r="Q2" i="1"/>
  <c r="AA23" i="1"/>
  <c r="S23" i="1"/>
  <c r="AF20" i="1"/>
  <c r="X20" i="1"/>
  <c r="P20" i="1"/>
  <c r="AC9" i="1"/>
  <c r="U9" i="1"/>
  <c r="M9" i="1"/>
  <c r="Z8" i="1"/>
  <c r="R8" i="1"/>
  <c r="AE7" i="1"/>
  <c r="W7" i="1"/>
  <c r="O7" i="1"/>
  <c r="AB6" i="1"/>
  <c r="T6" i="1"/>
  <c r="AG5" i="1"/>
  <c r="Y5" i="1"/>
  <c r="Q5" i="1"/>
  <c r="AD4" i="1"/>
  <c r="V4" i="1"/>
  <c r="N4" i="1"/>
  <c r="AA3" i="1"/>
  <c r="S3" i="1"/>
  <c r="AF2" i="1"/>
  <c r="X2" i="1"/>
  <c r="P2" i="1"/>
  <c r="Z23" i="1"/>
  <c r="R23" i="1"/>
  <c r="AE20" i="1"/>
  <c r="W20" i="1"/>
  <c r="O20" i="1"/>
  <c r="AB9" i="1"/>
  <c r="T9" i="1"/>
  <c r="AG8" i="1"/>
  <c r="Y8" i="1"/>
  <c r="Q8" i="1"/>
  <c r="AD7" i="1"/>
  <c r="V7" i="1"/>
  <c r="N7" i="1"/>
  <c r="AA6" i="1"/>
  <c r="S6" i="1"/>
  <c r="AF5" i="1"/>
  <c r="X5" i="1"/>
  <c r="P5" i="1"/>
  <c r="AC4" i="1"/>
  <c r="U4" i="1"/>
  <c r="M4" i="1"/>
  <c r="Z3" i="1"/>
  <c r="R3" i="1"/>
  <c r="AE2" i="1"/>
  <c r="W2" i="1"/>
  <c r="O2" i="1"/>
  <c r="AG23" i="1"/>
  <c r="Y23" i="1"/>
  <c r="Q23" i="1"/>
  <c r="AD20" i="1"/>
  <c r="V20" i="1"/>
  <c r="N20" i="1"/>
  <c r="AA9" i="1"/>
  <c r="S9" i="1"/>
  <c r="AF8" i="1"/>
  <c r="X8" i="1"/>
  <c r="P8" i="1"/>
  <c r="AC7" i="1"/>
  <c r="U7" i="1"/>
  <c r="M7" i="1"/>
  <c r="Z6" i="1"/>
  <c r="R6" i="1"/>
  <c r="AE5" i="1"/>
  <c r="W5" i="1"/>
  <c r="O5" i="1"/>
  <c r="AB4" i="1"/>
  <c r="T4" i="1"/>
  <c r="AG3" i="1"/>
  <c r="Y3" i="1"/>
  <c r="Q3" i="1"/>
  <c r="AD2" i="1"/>
  <c r="V2" i="1"/>
  <c r="N2" i="1"/>
  <c r="AF23" i="1"/>
  <c r="X23" i="1"/>
  <c r="P23" i="1"/>
  <c r="AC20" i="1"/>
  <c r="U20" i="1"/>
  <c r="M20" i="1"/>
  <c r="Z9" i="1"/>
  <c r="R9" i="1"/>
  <c r="AE8" i="1"/>
  <c r="W8" i="1"/>
  <c r="O8" i="1"/>
  <c r="AB7" i="1"/>
  <c r="T7" i="1"/>
  <c r="AG6" i="1"/>
  <c r="Y6" i="1"/>
  <c r="Q6" i="1"/>
  <c r="AD5" i="1"/>
  <c r="V5" i="1"/>
  <c r="N5" i="1"/>
  <c r="AA4" i="1"/>
  <c r="S4" i="1"/>
  <c r="AF3" i="1"/>
  <c r="X3" i="1"/>
  <c r="P3" i="1"/>
  <c r="AC2" i="1"/>
  <c r="U2" i="1"/>
  <c r="M2" i="1"/>
  <c r="AE23" i="1"/>
  <c r="W23" i="1"/>
  <c r="O23" i="1"/>
  <c r="AB20" i="1"/>
  <c r="T20" i="1"/>
  <c r="AG9" i="1"/>
  <c r="Y9" i="1"/>
  <c r="Q9" i="1"/>
  <c r="AD8" i="1"/>
  <c r="V8" i="1"/>
  <c r="N8" i="1"/>
  <c r="AA7" i="1"/>
  <c r="S7" i="1"/>
  <c r="AF6" i="1"/>
  <c r="X6" i="1"/>
  <c r="P6" i="1"/>
  <c r="AC5" i="1"/>
  <c r="U5" i="1"/>
  <c r="M5" i="1"/>
  <c r="Z4" i="1"/>
  <c r="R4" i="1"/>
  <c r="AE3" i="1"/>
  <c r="W3" i="1"/>
  <c r="O3" i="1"/>
  <c r="AB2" i="1"/>
  <c r="T2" i="1"/>
  <c r="Y4" i="1"/>
  <c r="Z7" i="1"/>
  <c r="AA20" i="1"/>
  <c r="AG4" i="1"/>
  <c r="M8" i="1"/>
  <c r="N23" i="1"/>
  <c r="S2" i="1"/>
  <c r="T5" i="1"/>
  <c r="U8" i="1"/>
  <c r="V23" i="1"/>
  <c r="AA2" i="1"/>
  <c r="AB5" i="1"/>
  <c r="AC8" i="1"/>
  <c r="AD23" i="1"/>
  <c r="N3" i="1"/>
  <c r="O6" i="1"/>
  <c r="P9" i="1"/>
  <c r="V3" i="1"/>
  <c r="W6" i="1"/>
  <c r="X9" i="1"/>
  <c r="AD3" i="1"/>
  <c r="AE6" i="1"/>
  <c r="AF9" i="1"/>
  <c r="A24" i="1"/>
  <c r="A25" i="1" l="1"/>
  <c r="AD24" i="1"/>
  <c r="V24" i="1"/>
  <c r="AF24" i="1"/>
  <c r="N24" i="1"/>
  <c r="X24" i="1"/>
  <c r="AC24" i="1"/>
  <c r="P24" i="1"/>
  <c r="U24" i="1"/>
  <c r="W24" i="1"/>
  <c r="O24" i="1"/>
  <c r="T24" i="1"/>
  <c r="AB24" i="1"/>
  <c r="Y24" i="1"/>
  <c r="Z24" i="1"/>
  <c r="M24" i="1"/>
  <c r="AA24" i="1"/>
  <c r="Q24" i="1"/>
  <c r="AG24" i="1"/>
  <c r="S24" i="1"/>
  <c r="AE24" i="1"/>
  <c r="R24" i="1"/>
  <c r="A26" i="1" l="1"/>
  <c r="T25" i="1"/>
  <c r="AA25" i="1"/>
  <c r="AF25" i="1"/>
  <c r="S25" i="1"/>
  <c r="X25" i="1"/>
  <c r="P25" i="1"/>
  <c r="Z25" i="1"/>
  <c r="AE25" i="1"/>
  <c r="R25" i="1"/>
  <c r="W25" i="1"/>
  <c r="Y25" i="1"/>
  <c r="Q25" i="1"/>
  <c r="V25" i="1"/>
  <c r="AD25" i="1"/>
  <c r="N25" i="1"/>
  <c r="AB25" i="1"/>
  <c r="AG25" i="1"/>
  <c r="AC25" i="1"/>
  <c r="M25" i="1"/>
  <c r="O25" i="1"/>
  <c r="U25" i="1"/>
  <c r="A27" i="1" l="1"/>
  <c r="AC26" i="1"/>
  <c r="U26" i="1"/>
  <c r="M26" i="1"/>
  <c r="R26" i="1"/>
  <c r="AB26" i="1"/>
  <c r="T26" i="1"/>
  <c r="V26" i="1"/>
  <c r="AA26" i="1"/>
  <c r="N26" i="1"/>
  <c r="S26" i="1"/>
  <c r="AD26" i="1"/>
  <c r="Z26" i="1"/>
  <c r="X26" i="1"/>
  <c r="AE26" i="1"/>
  <c r="O26" i="1"/>
  <c r="Q26" i="1"/>
  <c r="P26" i="1"/>
  <c r="W26" i="1"/>
  <c r="Y26" i="1"/>
  <c r="AF26" i="1"/>
  <c r="AG26" i="1"/>
  <c r="A28" i="1" l="1"/>
  <c r="AE27" i="1"/>
  <c r="W27" i="1"/>
  <c r="AG27" i="1"/>
  <c r="O27" i="1"/>
  <c r="Y27" i="1"/>
  <c r="AD27" i="1"/>
  <c r="Q27" i="1"/>
  <c r="V27" i="1"/>
  <c r="X27" i="1"/>
  <c r="P27" i="1"/>
  <c r="U27" i="1"/>
  <c r="N27" i="1"/>
  <c r="R27" i="1"/>
  <c r="M27" i="1"/>
  <c r="AB27" i="1"/>
  <c r="Z27" i="1"/>
  <c r="AA27" i="1"/>
  <c r="S27" i="1"/>
  <c r="AF27" i="1"/>
  <c r="T27" i="1"/>
  <c r="AC27" i="1"/>
  <c r="A29" i="1" l="1"/>
  <c r="AB28" i="1"/>
  <c r="AG28" i="1"/>
  <c r="T28" i="1"/>
  <c r="Y28" i="1"/>
  <c r="Q28" i="1"/>
  <c r="AA28" i="1"/>
  <c r="AF28" i="1"/>
  <c r="S28" i="1"/>
  <c r="X28" i="1"/>
  <c r="Z28" i="1"/>
  <c r="R28" i="1"/>
  <c r="W28" i="1"/>
  <c r="AC28" i="1"/>
  <c r="M28" i="1"/>
  <c r="N28" i="1"/>
  <c r="AE28" i="1"/>
  <c r="O28" i="1"/>
  <c r="U28" i="1"/>
  <c r="AD28" i="1"/>
  <c r="P28" i="1"/>
  <c r="V28" i="1"/>
  <c r="A30" i="1" l="1"/>
  <c r="AD29" i="1"/>
  <c r="V29" i="1"/>
  <c r="N29" i="1"/>
  <c r="S29" i="1"/>
  <c r="AC29" i="1"/>
  <c r="U29" i="1"/>
  <c r="W29" i="1"/>
  <c r="AB29" i="1"/>
  <c r="O29" i="1"/>
  <c r="T29" i="1"/>
  <c r="Y29" i="1"/>
  <c r="AE29" i="1"/>
  <c r="Z29" i="1"/>
  <c r="AF29" i="1"/>
  <c r="R29" i="1"/>
  <c r="X29" i="1"/>
  <c r="AG29" i="1"/>
  <c r="M29" i="1"/>
  <c r="Q29" i="1"/>
  <c r="AA29" i="1"/>
  <c r="P29" i="1"/>
  <c r="A31" i="1" l="1"/>
  <c r="AF30" i="1"/>
  <c r="X30" i="1"/>
  <c r="P30" i="1"/>
  <c r="Z30" i="1"/>
  <c r="AE30" i="1"/>
  <c r="R30" i="1"/>
  <c r="W30" i="1"/>
  <c r="Y30" i="1"/>
  <c r="Q30" i="1"/>
  <c r="V30" i="1"/>
  <c r="AD30" i="1"/>
  <c r="AB30" i="1"/>
  <c r="O30" i="1"/>
  <c r="N30" i="1"/>
  <c r="AG30" i="1"/>
  <c r="AC30" i="1"/>
  <c r="AA30" i="1"/>
  <c r="S30" i="1"/>
  <c r="U30" i="1"/>
  <c r="M30" i="1"/>
  <c r="T30" i="1"/>
  <c r="A32" i="1" l="1"/>
  <c r="AC31" i="1"/>
  <c r="U31" i="1"/>
  <c r="Z31" i="1"/>
  <c r="M31" i="1"/>
  <c r="R31" i="1"/>
  <c r="AB31" i="1"/>
  <c r="AG31" i="1"/>
  <c r="T31" i="1"/>
  <c r="Y31" i="1"/>
  <c r="AA31" i="1"/>
  <c r="S31" i="1"/>
  <c r="X31" i="1"/>
  <c r="AD31" i="1"/>
  <c r="Q31" i="1"/>
  <c r="AF31" i="1"/>
  <c r="P31" i="1"/>
  <c r="V31" i="1"/>
  <c r="AE31" i="1"/>
  <c r="N31" i="1"/>
  <c r="O31" i="1"/>
  <c r="W31" i="1"/>
  <c r="A33" i="1" l="1"/>
  <c r="AE32" i="1"/>
  <c r="M32" i="1"/>
  <c r="W32" i="1"/>
  <c r="O32" i="1"/>
  <c r="T32" i="1"/>
  <c r="AD32" i="1"/>
  <c r="V32" i="1"/>
  <c r="X32" i="1"/>
  <c r="AC32" i="1"/>
  <c r="P32" i="1"/>
  <c r="U32" i="1"/>
  <c r="AB32" i="1"/>
  <c r="N32" i="1"/>
  <c r="Z32" i="1"/>
  <c r="Q32" i="1"/>
  <c r="R32" i="1"/>
  <c r="AA32" i="1"/>
  <c r="AG32" i="1"/>
  <c r="S32" i="1"/>
  <c r="AF32" i="1"/>
  <c r="Y32" i="1"/>
  <c r="A34" i="1" l="1"/>
  <c r="AG33" i="1"/>
  <c r="Y33" i="1"/>
  <c r="Q33" i="1"/>
  <c r="AA33" i="1"/>
  <c r="AF33" i="1"/>
  <c r="S33" i="1"/>
  <c r="X33" i="1"/>
  <c r="Z33" i="1"/>
  <c r="R33" i="1"/>
  <c r="W33" i="1"/>
  <c r="P33" i="1"/>
  <c r="AB33" i="1"/>
  <c r="T33" i="1"/>
  <c r="AD33" i="1"/>
  <c r="O33" i="1"/>
  <c r="AC33" i="1"/>
  <c r="M33" i="1"/>
  <c r="V33" i="1"/>
  <c r="AE33" i="1"/>
  <c r="N33" i="1"/>
  <c r="U33" i="1"/>
  <c r="A35" i="1" l="1"/>
  <c r="AD34" i="1"/>
  <c r="V34" i="1"/>
  <c r="AA34" i="1"/>
  <c r="N34" i="1"/>
  <c r="S34" i="1"/>
  <c r="AC34" i="1"/>
  <c r="U34" i="1"/>
  <c r="Z34" i="1"/>
  <c r="AB34" i="1"/>
  <c r="T34" i="1"/>
  <c r="Y34" i="1"/>
  <c r="AE34" i="1"/>
  <c r="O34" i="1"/>
  <c r="P34" i="1"/>
  <c r="M34" i="1"/>
  <c r="Q34" i="1"/>
  <c r="W34" i="1"/>
  <c r="AF34" i="1"/>
  <c r="AG34" i="1"/>
  <c r="R34" i="1"/>
  <c r="X34" i="1"/>
  <c r="A36" i="1" l="1"/>
  <c r="AF35" i="1"/>
  <c r="N35" i="1"/>
  <c r="X35" i="1"/>
  <c r="P35" i="1"/>
  <c r="U35" i="1"/>
  <c r="AE35" i="1"/>
  <c r="M35" i="1"/>
  <c r="W35" i="1"/>
  <c r="Y35" i="1"/>
  <c r="AD35" i="1"/>
  <c r="Q35" i="1"/>
  <c r="V35" i="1"/>
  <c r="AA35" i="1"/>
  <c r="AB35" i="1"/>
  <c r="T35" i="1"/>
  <c r="O35" i="1"/>
  <c r="S35" i="1"/>
  <c r="AC35" i="1"/>
  <c r="Z35" i="1"/>
  <c r="R35" i="1"/>
  <c r="AG35" i="1"/>
  <c r="A37" i="1" l="1"/>
  <c r="Z36" i="1"/>
  <c r="R36" i="1"/>
  <c r="AB36" i="1"/>
  <c r="AG36" i="1"/>
  <c r="T36" i="1"/>
  <c r="Y36" i="1"/>
  <c r="AA36" i="1"/>
  <c r="S36" i="1"/>
  <c r="X36" i="1"/>
  <c r="AF36" i="1"/>
  <c r="U36" i="1"/>
  <c r="Q36" i="1"/>
  <c r="AD36" i="1"/>
  <c r="M36" i="1"/>
  <c r="P36" i="1"/>
  <c r="AE36" i="1"/>
  <c r="AC36" i="1"/>
  <c r="V36" i="1"/>
  <c r="N36" i="1"/>
  <c r="W36" i="1"/>
  <c r="O36" i="1"/>
  <c r="AE37" i="1" l="1"/>
  <c r="M37" i="1"/>
  <c r="W37" i="1"/>
  <c r="AB37" i="1"/>
  <c r="O37" i="1"/>
  <c r="T37" i="1"/>
  <c r="AD37" i="1"/>
  <c r="V37" i="1"/>
  <c r="AA37" i="1"/>
  <c r="AC37" i="1"/>
  <c r="U37" i="1"/>
  <c r="N37" i="1"/>
  <c r="Z37" i="1"/>
  <c r="AF37" i="1"/>
  <c r="P37" i="1"/>
  <c r="R37" i="1"/>
  <c r="X37" i="1"/>
  <c r="AG37" i="1"/>
  <c r="Q37" i="1"/>
  <c r="S37" i="1"/>
  <c r="Y37" i="1"/>
  <c r="A38" i="1"/>
  <c r="A39" i="1" l="1"/>
  <c r="AG38" i="1"/>
  <c r="O38" i="1"/>
  <c r="Y38" i="1"/>
  <c r="Q38" i="1"/>
  <c r="V38" i="1"/>
  <c r="AF38" i="1"/>
  <c r="N38" i="1"/>
  <c r="X38" i="1"/>
  <c r="Z38" i="1"/>
  <c r="AE38" i="1"/>
  <c r="R38" i="1"/>
  <c r="W38" i="1"/>
  <c r="P38" i="1"/>
  <c r="AD38" i="1"/>
  <c r="AB38" i="1"/>
  <c r="AA38" i="1"/>
  <c r="M38" i="1"/>
  <c r="S38" i="1"/>
  <c r="T38" i="1"/>
  <c r="AC38" i="1"/>
  <c r="U38" i="1"/>
  <c r="A40" i="1" l="1"/>
  <c r="AA39" i="1"/>
  <c r="S39" i="1"/>
  <c r="AC39" i="1"/>
  <c r="U39" i="1"/>
  <c r="Z39" i="1"/>
  <c r="AB39" i="1"/>
  <c r="T39" i="1"/>
  <c r="Y39" i="1"/>
  <c r="Q39" i="1"/>
  <c r="N39" i="1"/>
  <c r="W39" i="1"/>
  <c r="M39" i="1"/>
  <c r="AF39" i="1"/>
  <c r="AD39" i="1"/>
  <c r="V39" i="1"/>
  <c r="AE39" i="1"/>
  <c r="O39" i="1"/>
  <c r="X39" i="1"/>
  <c r="R39" i="1"/>
  <c r="AG39" i="1"/>
  <c r="P39" i="1"/>
  <c r="A41" i="1" l="1"/>
  <c r="AF40" i="1"/>
  <c r="N40" i="1"/>
  <c r="X40" i="1"/>
  <c r="AC40" i="1"/>
  <c r="P40" i="1"/>
  <c r="U40" i="1"/>
  <c r="AE40" i="1"/>
  <c r="M40" i="1"/>
  <c r="W40" i="1"/>
  <c r="AB40" i="1"/>
  <c r="AD40" i="1"/>
  <c r="V40" i="1"/>
  <c r="AA40" i="1"/>
  <c r="AG40" i="1"/>
  <c r="Q40" i="1"/>
  <c r="R40" i="1"/>
  <c r="O40" i="1"/>
  <c r="S40" i="1"/>
  <c r="Y40" i="1"/>
  <c r="T40" i="1"/>
  <c r="Z40" i="1"/>
  <c r="AA41" i="1" l="1"/>
  <c r="S41" i="1"/>
  <c r="P41" i="1"/>
  <c r="Z41" i="1"/>
  <c r="R41" i="1"/>
  <c r="W41" i="1"/>
  <c r="AG41" i="1"/>
  <c r="O41" i="1"/>
  <c r="Y41" i="1"/>
  <c r="AF41" i="1"/>
  <c r="X41" i="1"/>
  <c r="AC41" i="1"/>
  <c r="N41" i="1"/>
  <c r="U41" i="1"/>
  <c r="AE41" i="1"/>
  <c r="M41" i="1"/>
  <c r="Q41" i="1"/>
  <c r="AD41" i="1"/>
  <c r="V41" i="1"/>
  <c r="AB41" i="1"/>
  <c r="T41" i="1"/>
  <c r="A42" i="1"/>
  <c r="A43" i="1" l="1"/>
  <c r="AD42" i="1"/>
  <c r="N42" i="1"/>
  <c r="M42" i="1"/>
  <c r="AB42" i="1"/>
  <c r="T42" i="1"/>
  <c r="AA42" i="1"/>
  <c r="AC42" i="1"/>
  <c r="V42" i="1"/>
  <c r="U42" i="1"/>
  <c r="Z42" i="1"/>
  <c r="W42" i="1"/>
  <c r="AF42" i="1"/>
  <c r="O42" i="1"/>
  <c r="P42" i="1"/>
  <c r="R42" i="1"/>
  <c r="AG42" i="1"/>
  <c r="AE42" i="1"/>
  <c r="S42" i="1"/>
  <c r="Y42" i="1"/>
  <c r="Q42" i="1"/>
  <c r="X42" i="1"/>
  <c r="AG43" i="1" l="1"/>
  <c r="O43" i="1"/>
  <c r="AD43" i="1"/>
  <c r="V43" i="1"/>
  <c r="AF43" i="1"/>
  <c r="N43" i="1"/>
  <c r="X43" i="1"/>
  <c r="AC43" i="1"/>
  <c r="Q43" i="1"/>
  <c r="AE43" i="1"/>
  <c r="W43" i="1"/>
  <c r="P43" i="1"/>
  <c r="M43" i="1"/>
  <c r="AB43" i="1"/>
  <c r="Y43" i="1"/>
  <c r="T43" i="1"/>
  <c r="Z43" i="1"/>
  <c r="R43" i="1"/>
  <c r="S43" i="1"/>
  <c r="U43" i="1"/>
  <c r="AA43" i="1"/>
  <c r="A44" i="1"/>
  <c r="A45" i="1" l="1"/>
  <c r="AB44" i="1"/>
  <c r="Q44" i="1"/>
  <c r="AA44" i="1"/>
  <c r="S44" i="1"/>
  <c r="X44" i="1"/>
  <c r="P44" i="1"/>
  <c r="T44" i="1"/>
  <c r="Z44" i="1"/>
  <c r="AG44" i="1"/>
  <c r="Y44" i="1"/>
  <c r="AF44" i="1"/>
  <c r="AD44" i="1"/>
  <c r="M44" i="1"/>
  <c r="AE44" i="1"/>
  <c r="W44" i="1"/>
  <c r="O44" i="1"/>
  <c r="U44" i="1"/>
  <c r="V44" i="1"/>
  <c r="N44" i="1"/>
  <c r="R44" i="1"/>
  <c r="AC44" i="1"/>
  <c r="A46" i="1" l="1"/>
  <c r="AE45" i="1"/>
  <c r="O45" i="1"/>
  <c r="N45" i="1"/>
  <c r="AC45" i="1"/>
  <c r="U45" i="1"/>
  <c r="W45" i="1"/>
  <c r="M45" i="1"/>
  <c r="AB45" i="1"/>
  <c r="AD45" i="1"/>
  <c r="V45" i="1"/>
  <c r="AA45" i="1"/>
  <c r="X45" i="1"/>
  <c r="S45" i="1"/>
  <c r="P45" i="1"/>
  <c r="T45" i="1"/>
  <c r="AF45" i="1"/>
  <c r="AG45" i="1"/>
  <c r="Q45" i="1"/>
  <c r="Z45" i="1"/>
  <c r="R45" i="1"/>
  <c r="Y45" i="1"/>
  <c r="A47" i="1" l="1"/>
  <c r="P46" i="1"/>
  <c r="Z46" i="1"/>
  <c r="AE46" i="1"/>
  <c r="R46" i="1"/>
  <c r="W46" i="1"/>
  <c r="AG46" i="1"/>
  <c r="O46" i="1"/>
  <c r="Y46" i="1"/>
  <c r="AD46" i="1"/>
  <c r="AF46" i="1"/>
  <c r="X46" i="1"/>
  <c r="AC46" i="1"/>
  <c r="S46" i="1"/>
  <c r="Q46" i="1"/>
  <c r="U46" i="1"/>
  <c r="AA46" i="1"/>
  <c r="M46" i="1"/>
  <c r="T46" i="1"/>
  <c r="V46" i="1"/>
  <c r="AB46" i="1"/>
  <c r="N46" i="1"/>
  <c r="A48" i="1" l="1"/>
  <c r="AC47" i="1"/>
  <c r="M47" i="1"/>
  <c r="U47" i="1"/>
  <c r="R47" i="1"/>
  <c r="AB47" i="1"/>
  <c r="T47" i="1"/>
  <c r="Y47" i="1"/>
  <c r="Q47" i="1"/>
  <c r="AA47" i="1"/>
  <c r="Z47" i="1"/>
  <c r="AE47" i="1"/>
  <c r="N47" i="1"/>
  <c r="P47" i="1"/>
  <c r="W47" i="1"/>
  <c r="AG47" i="1"/>
  <c r="O47" i="1"/>
  <c r="AF47" i="1"/>
  <c r="X47" i="1"/>
  <c r="AD47" i="1"/>
  <c r="V47" i="1"/>
  <c r="S47" i="1"/>
  <c r="A49" i="1" l="1"/>
  <c r="AA48" i="1"/>
  <c r="AG48" i="1"/>
  <c r="W48" i="1"/>
  <c r="Y48" i="1"/>
  <c r="P48" i="1"/>
  <c r="O48" i="1"/>
  <c r="Z48" i="1"/>
  <c r="V48" i="1"/>
  <c r="N48" i="1"/>
  <c r="AE48" i="1"/>
  <c r="M48" i="1"/>
  <c r="AB48" i="1"/>
  <c r="X48" i="1"/>
  <c r="AC48" i="1"/>
  <c r="Q48" i="1"/>
  <c r="U48" i="1"/>
  <c r="T48" i="1"/>
  <c r="R48" i="1"/>
  <c r="AF48" i="1"/>
  <c r="S48" i="1"/>
  <c r="AD48" i="1"/>
  <c r="A50" i="1" l="1"/>
  <c r="N49" i="1"/>
  <c r="AE49" i="1"/>
  <c r="AD49" i="1"/>
  <c r="X49" i="1"/>
  <c r="V49" i="1"/>
  <c r="U49" i="1"/>
  <c r="Z49" i="1"/>
  <c r="W49" i="1"/>
  <c r="AC49" i="1"/>
  <c r="AB49" i="1"/>
  <c r="M49" i="1"/>
  <c r="T49" i="1"/>
  <c r="Q49" i="1"/>
  <c r="P49" i="1"/>
  <c r="S49" i="1"/>
  <c r="O49" i="1"/>
  <c r="R49" i="1"/>
  <c r="AG49" i="1"/>
  <c r="AA49" i="1"/>
  <c r="AF49" i="1"/>
  <c r="Y49" i="1"/>
  <c r="A51" i="1" l="1"/>
  <c r="AG50" i="1"/>
  <c r="Z50" i="1"/>
  <c r="Y50" i="1"/>
  <c r="AF50" i="1"/>
  <c r="Q50" i="1"/>
  <c r="X50" i="1"/>
  <c r="AC50" i="1"/>
  <c r="R50" i="1"/>
  <c r="P50" i="1"/>
  <c r="AE50" i="1"/>
  <c r="U50" i="1"/>
  <c r="O50" i="1"/>
  <c r="S50" i="1"/>
  <c r="N50" i="1"/>
  <c r="M50" i="1"/>
  <c r="V50" i="1"/>
  <c r="W50" i="1"/>
  <c r="AA50" i="1"/>
  <c r="AB50" i="1"/>
  <c r="AD50" i="1"/>
  <c r="T50" i="1"/>
  <c r="A52" i="1" l="1"/>
  <c r="AC51" i="1"/>
  <c r="AB51" i="1"/>
  <c r="M51" i="1"/>
  <c r="S51" i="1"/>
  <c r="X51" i="1"/>
  <c r="T51" i="1"/>
  <c r="Z51" i="1"/>
  <c r="U51" i="1"/>
  <c r="R51" i="1"/>
  <c r="AF51" i="1"/>
  <c r="O51" i="1"/>
  <c r="P51" i="1"/>
  <c r="V51" i="1"/>
  <c r="AG51" i="1"/>
  <c r="AA51" i="1"/>
  <c r="Q51" i="1"/>
  <c r="W51" i="1"/>
  <c r="AE51" i="1"/>
  <c r="N51" i="1"/>
  <c r="Y51" i="1"/>
  <c r="AD51" i="1"/>
  <c r="A53" i="1" l="1"/>
  <c r="P52" i="1"/>
  <c r="O52" i="1"/>
  <c r="AF52" i="1"/>
  <c r="AE52" i="1"/>
  <c r="W52" i="1"/>
  <c r="M52" i="1"/>
  <c r="X52" i="1"/>
  <c r="V52" i="1"/>
  <c r="AA52" i="1"/>
  <c r="Y52" i="1"/>
  <c r="S52" i="1"/>
  <c r="Q52" i="1"/>
  <c r="T52" i="1"/>
  <c r="N52" i="1"/>
  <c r="U52" i="1"/>
  <c r="R52" i="1"/>
  <c r="AD52" i="1"/>
  <c r="AC52" i="1"/>
  <c r="Z52" i="1"/>
  <c r="AG52" i="1"/>
  <c r="AB52" i="1"/>
  <c r="A54" i="1" l="1"/>
  <c r="AA53" i="1"/>
  <c r="Z53" i="1"/>
  <c r="R53" i="1"/>
  <c r="S53" i="1"/>
  <c r="AG53" i="1"/>
  <c r="Y53" i="1"/>
  <c r="AD53" i="1"/>
  <c r="Q53" i="1"/>
  <c r="AF53" i="1"/>
  <c r="V53" i="1"/>
  <c r="P53" i="1"/>
  <c r="N53" i="1"/>
  <c r="O53" i="1"/>
  <c r="U53" i="1"/>
  <c r="M53" i="1"/>
  <c r="X53" i="1"/>
  <c r="W53" i="1"/>
  <c r="AE53" i="1"/>
  <c r="AB53" i="1"/>
  <c r="AC53" i="1"/>
  <c r="T53" i="1"/>
  <c r="A55" i="1" l="1"/>
  <c r="AD54" i="1"/>
  <c r="AC54" i="1"/>
  <c r="N54" i="1"/>
  <c r="M54" i="1"/>
  <c r="V54" i="1"/>
  <c r="T54" i="1"/>
  <c r="Y54" i="1"/>
  <c r="AA54" i="1"/>
  <c r="S54" i="1"/>
  <c r="X54" i="1"/>
  <c r="W54" i="1"/>
  <c r="O54" i="1"/>
  <c r="AB54" i="1"/>
  <c r="R54" i="1"/>
  <c r="AG54" i="1"/>
  <c r="U54" i="1"/>
  <c r="Q54" i="1"/>
  <c r="P54" i="1"/>
  <c r="AE54" i="1"/>
  <c r="AF54" i="1"/>
  <c r="Z54" i="1"/>
  <c r="A56" i="1" l="1"/>
  <c r="Q55" i="1"/>
  <c r="P55" i="1"/>
  <c r="AG55" i="1"/>
  <c r="AF55" i="1"/>
  <c r="N55" i="1"/>
  <c r="Z55" i="1"/>
  <c r="X55" i="1"/>
  <c r="W55" i="1"/>
  <c r="AB55" i="1"/>
  <c r="U55" i="1"/>
  <c r="AE55" i="1"/>
  <c r="AD55" i="1"/>
  <c r="O55" i="1"/>
  <c r="V55" i="1"/>
  <c r="S55" i="1"/>
  <c r="R55" i="1"/>
  <c r="Y55" i="1"/>
  <c r="M55" i="1"/>
  <c r="T55" i="1"/>
  <c r="AA55" i="1"/>
  <c r="AC55" i="1"/>
  <c r="A57" i="1" l="1"/>
  <c r="AB56" i="1"/>
  <c r="AA56" i="1"/>
  <c r="Z56" i="1"/>
  <c r="AE56" i="1"/>
  <c r="R56" i="1"/>
  <c r="AG56" i="1"/>
  <c r="W56" i="1"/>
  <c r="T56" i="1"/>
  <c r="Q56" i="1"/>
  <c r="Y56" i="1"/>
  <c r="U56" i="1"/>
  <c r="X56" i="1"/>
  <c r="O56" i="1"/>
  <c r="S56" i="1"/>
  <c r="V56" i="1"/>
  <c r="P56" i="1"/>
  <c r="AC56" i="1"/>
  <c r="N56" i="1"/>
  <c r="AF56" i="1"/>
  <c r="M56" i="1"/>
  <c r="AD56" i="1"/>
  <c r="A58" i="1" l="1"/>
  <c r="AE57" i="1"/>
  <c r="AD57" i="1"/>
  <c r="O57" i="1"/>
  <c r="N57" i="1"/>
  <c r="U57" i="1"/>
  <c r="Z57" i="1"/>
  <c r="Y57" i="1"/>
  <c r="M57" i="1"/>
  <c r="AB57" i="1"/>
  <c r="T57" i="1"/>
  <c r="V57" i="1"/>
  <c r="AC57" i="1"/>
  <c r="S57" i="1"/>
  <c r="R57" i="1"/>
  <c r="Q57" i="1"/>
  <c r="W57" i="1"/>
  <c r="X57" i="1"/>
  <c r="P57" i="1"/>
  <c r="AG57" i="1"/>
  <c r="AA57" i="1"/>
  <c r="AF57" i="1"/>
  <c r="A59" i="1" l="1"/>
  <c r="R58" i="1"/>
  <c r="Q58" i="1"/>
  <c r="AA58" i="1"/>
  <c r="AG58" i="1"/>
  <c r="O58" i="1"/>
  <c r="Y58" i="1"/>
  <c r="Z58" i="1"/>
  <c r="X58" i="1"/>
  <c r="AC58" i="1"/>
  <c r="P58" i="1"/>
  <c r="W58" i="1"/>
  <c r="T58" i="1"/>
  <c r="U58" i="1"/>
  <c r="M58" i="1"/>
  <c r="AB58" i="1"/>
  <c r="S58" i="1"/>
  <c r="AF58" i="1"/>
  <c r="AE58" i="1"/>
  <c r="AD58" i="1"/>
  <c r="V58" i="1"/>
  <c r="N58" i="1"/>
  <c r="A60" i="1" l="1"/>
  <c r="AD59" i="1"/>
  <c r="V59" i="1"/>
  <c r="AC59" i="1"/>
  <c r="AB59" i="1"/>
  <c r="M59" i="1"/>
  <c r="N59" i="1"/>
  <c r="T59" i="1"/>
  <c r="U59" i="1"/>
  <c r="AA59" i="1"/>
  <c r="AF59" i="1"/>
  <c r="S59" i="1"/>
  <c r="X59" i="1"/>
  <c r="R59" i="1"/>
  <c r="P59" i="1"/>
  <c r="Y59" i="1"/>
  <c r="AG59" i="1"/>
  <c r="Z59" i="1"/>
  <c r="AE59" i="1"/>
  <c r="Q59" i="1"/>
  <c r="O59" i="1"/>
  <c r="W59" i="1"/>
  <c r="A61" i="1" l="1"/>
  <c r="AG60" i="1"/>
  <c r="Y60" i="1"/>
  <c r="AF60" i="1"/>
  <c r="AE60" i="1"/>
  <c r="P60" i="1"/>
  <c r="O60" i="1"/>
  <c r="Q60" i="1"/>
  <c r="W60" i="1"/>
  <c r="V60" i="1"/>
  <c r="AA60" i="1"/>
  <c r="X60" i="1"/>
  <c r="N60" i="1"/>
  <c r="AC60" i="1"/>
  <c r="U60" i="1"/>
  <c r="M60" i="1"/>
  <c r="R60" i="1"/>
  <c r="AD60" i="1"/>
  <c r="S60" i="1"/>
  <c r="AB60" i="1"/>
  <c r="T60" i="1"/>
  <c r="Z60" i="1"/>
  <c r="A62" i="1" l="1"/>
  <c r="T61" i="1"/>
  <c r="AB61" i="1"/>
  <c r="S61" i="1"/>
  <c r="R61" i="1"/>
  <c r="Z61" i="1"/>
  <c r="AA61" i="1"/>
  <c r="P61" i="1"/>
  <c r="Y61" i="1"/>
  <c r="AD61" i="1"/>
  <c r="AC61" i="1"/>
  <c r="O61" i="1"/>
  <c r="W61" i="1"/>
  <c r="AG61" i="1"/>
  <c r="AF61" i="1"/>
  <c r="M61" i="1"/>
  <c r="N61" i="1"/>
  <c r="U61" i="1"/>
  <c r="AE61" i="1"/>
  <c r="X61" i="1"/>
  <c r="Q61" i="1"/>
  <c r="V61" i="1"/>
  <c r="A63" i="1" l="1"/>
  <c r="AD62" i="1"/>
  <c r="AC62" i="1"/>
  <c r="W62" i="1"/>
  <c r="N62" i="1"/>
  <c r="M62" i="1"/>
  <c r="V62" i="1"/>
  <c r="AB62" i="1"/>
  <c r="AG62" i="1"/>
  <c r="T62" i="1"/>
  <c r="Y62" i="1"/>
  <c r="AE62" i="1"/>
  <c r="S62" i="1"/>
  <c r="Z62" i="1"/>
  <c r="O62" i="1"/>
  <c r="AA62" i="1"/>
  <c r="X62" i="1"/>
  <c r="Q62" i="1"/>
  <c r="U62" i="1"/>
  <c r="R62" i="1"/>
  <c r="AF62" i="1"/>
  <c r="P62" i="1"/>
  <c r="A64" i="1" l="1"/>
  <c r="AG63" i="1"/>
  <c r="AF63" i="1"/>
  <c r="Z63" i="1"/>
  <c r="Q63" i="1"/>
  <c r="P63" i="1"/>
  <c r="R63" i="1"/>
  <c r="W63" i="1"/>
  <c r="AB63" i="1"/>
  <c r="O63" i="1"/>
  <c r="AD63" i="1"/>
  <c r="V63" i="1"/>
  <c r="N63" i="1"/>
  <c r="X63" i="1"/>
  <c r="S63" i="1"/>
  <c r="M63" i="1"/>
  <c r="AE63" i="1"/>
  <c r="T63" i="1"/>
  <c r="Y63" i="1"/>
  <c r="AC63" i="1"/>
  <c r="AA63" i="1"/>
  <c r="U63" i="1"/>
  <c r="A65" i="1" l="1"/>
  <c r="U64" i="1"/>
  <c r="M64" i="1"/>
  <c r="T64" i="1"/>
  <c r="S64" i="1"/>
  <c r="Q64" i="1"/>
  <c r="AD64" i="1"/>
  <c r="AB64" i="1"/>
  <c r="Z64" i="1"/>
  <c r="AE64" i="1"/>
  <c r="AG64" i="1"/>
  <c r="W64" i="1"/>
  <c r="X64" i="1"/>
  <c r="AC64" i="1"/>
  <c r="R64" i="1"/>
  <c r="Y64" i="1"/>
  <c r="O64" i="1"/>
  <c r="N64" i="1"/>
  <c r="AA64" i="1"/>
  <c r="V64" i="1"/>
  <c r="P64" i="1"/>
  <c r="AF64" i="1"/>
  <c r="A66" i="1" l="1"/>
  <c r="X65" i="1"/>
  <c r="P65" i="1"/>
  <c r="AE65" i="1"/>
  <c r="AD65" i="1"/>
  <c r="O65" i="1"/>
  <c r="N65" i="1"/>
  <c r="AC65" i="1"/>
  <c r="AF65" i="1"/>
  <c r="V65" i="1"/>
  <c r="U65" i="1"/>
  <c r="Z65" i="1"/>
  <c r="T65" i="1"/>
  <c r="AB65" i="1"/>
  <c r="R65" i="1"/>
  <c r="M65" i="1"/>
  <c r="AG65" i="1"/>
  <c r="W65" i="1"/>
  <c r="AA65" i="1"/>
  <c r="Q65" i="1"/>
  <c r="S65" i="1"/>
  <c r="Y65" i="1"/>
  <c r="A67" i="1" l="1"/>
  <c r="AG66" i="1"/>
  <c r="R66" i="1"/>
  <c r="Q66" i="1"/>
  <c r="S66" i="1"/>
  <c r="X66" i="1"/>
  <c r="AC66" i="1"/>
  <c r="P66" i="1"/>
  <c r="AE66" i="1"/>
  <c r="AA66" i="1"/>
  <c r="Y66" i="1"/>
  <c r="W66" i="1"/>
  <c r="M66" i="1"/>
  <c r="T66" i="1"/>
  <c r="Z66" i="1"/>
  <c r="O66" i="1"/>
  <c r="AF66" i="1"/>
  <c r="N66" i="1"/>
  <c r="U66" i="1"/>
  <c r="V66" i="1"/>
  <c r="AB66" i="1"/>
  <c r="AD66" i="1"/>
  <c r="A68" i="1" l="1"/>
  <c r="V67" i="1"/>
  <c r="N67" i="1"/>
  <c r="M67" i="1"/>
  <c r="AC67" i="1"/>
  <c r="T67" i="1"/>
  <c r="U67" i="1"/>
  <c r="AD67" i="1"/>
  <c r="R67" i="1"/>
  <c r="AB67" i="1"/>
  <c r="AA67" i="1"/>
  <c r="AF67" i="1"/>
  <c r="O67" i="1"/>
  <c r="W67" i="1"/>
  <c r="P67" i="1"/>
  <c r="S67" i="1"/>
  <c r="Z67" i="1"/>
  <c r="AE67" i="1"/>
  <c r="Y67" i="1"/>
  <c r="AG67" i="1"/>
  <c r="Q67" i="1"/>
  <c r="X67" i="1"/>
  <c r="A69" i="1" l="1"/>
  <c r="AG68" i="1"/>
  <c r="Q68" i="1"/>
  <c r="AE68" i="1"/>
  <c r="X68" i="1"/>
  <c r="O68" i="1"/>
  <c r="W68" i="1"/>
  <c r="Y68" i="1"/>
  <c r="AF68" i="1"/>
  <c r="P68" i="1"/>
  <c r="AD68" i="1"/>
  <c r="V68" i="1"/>
  <c r="AA68" i="1"/>
  <c r="U68" i="1"/>
  <c r="S68" i="1"/>
  <c r="AB68" i="1"/>
  <c r="N68" i="1"/>
  <c r="M68" i="1"/>
  <c r="Z68" i="1"/>
  <c r="T68" i="1"/>
  <c r="AC68" i="1"/>
  <c r="R68" i="1"/>
  <c r="T69" i="1" l="1"/>
  <c r="AA69" i="1"/>
  <c r="R69" i="1"/>
  <c r="S69" i="1"/>
  <c r="Z69" i="1"/>
  <c r="AB69" i="1"/>
  <c r="Y69" i="1"/>
  <c r="AD69" i="1"/>
  <c r="U69" i="1"/>
  <c r="Q69" i="1"/>
  <c r="AF69" i="1"/>
  <c r="X69" i="1"/>
  <c r="N69" i="1"/>
  <c r="P69" i="1"/>
  <c r="M69" i="1"/>
  <c r="V69" i="1"/>
  <c r="O69" i="1"/>
  <c r="AE69" i="1"/>
  <c r="W69" i="1"/>
  <c r="AC69" i="1"/>
  <c r="AG69" i="1"/>
  <c r="A70" i="1"/>
  <c r="A71" i="1" l="1"/>
  <c r="W70" i="1"/>
  <c r="V70" i="1"/>
  <c r="O70" i="1"/>
  <c r="N70" i="1"/>
  <c r="U70" i="1"/>
  <c r="M70" i="1"/>
  <c r="AE70" i="1"/>
  <c r="AD70" i="1"/>
  <c r="S70" i="1"/>
  <c r="AB70" i="1"/>
  <c r="AG70" i="1"/>
  <c r="X70" i="1"/>
  <c r="Y70" i="1"/>
  <c r="Q70" i="1"/>
  <c r="AC70" i="1"/>
  <c r="R70" i="1"/>
  <c r="T70" i="1"/>
  <c r="AA70" i="1"/>
  <c r="AF70" i="1"/>
  <c r="P70" i="1"/>
  <c r="Z70" i="1"/>
  <c r="A72" i="1" l="1"/>
  <c r="Y71" i="1"/>
  <c r="Q71" i="1"/>
  <c r="Z71" i="1"/>
  <c r="AF71" i="1"/>
  <c r="P71" i="1"/>
  <c r="R71" i="1"/>
  <c r="AG71" i="1"/>
  <c r="AE71" i="1"/>
  <c r="W71" i="1"/>
  <c r="AB71" i="1"/>
  <c r="X71" i="1"/>
  <c r="V71" i="1"/>
  <c r="T71" i="1"/>
  <c r="AD71" i="1"/>
  <c r="AC71" i="1"/>
  <c r="O71" i="1"/>
  <c r="N71" i="1"/>
  <c r="AA71" i="1"/>
  <c r="M71" i="1"/>
  <c r="U71" i="1"/>
  <c r="S71" i="1"/>
  <c r="A73" i="1" l="1"/>
  <c r="AC72" i="1"/>
  <c r="M72" i="1"/>
  <c r="S72" i="1"/>
  <c r="T72" i="1"/>
  <c r="Z72" i="1"/>
  <c r="AE72" i="1"/>
  <c r="R72" i="1"/>
  <c r="AG72" i="1"/>
  <c r="Y72" i="1"/>
  <c r="O72" i="1"/>
  <c r="Q72" i="1"/>
  <c r="AF72" i="1"/>
  <c r="P72" i="1"/>
  <c r="U72" i="1"/>
  <c r="X72" i="1"/>
  <c r="AA72" i="1"/>
  <c r="N72" i="1"/>
  <c r="AB72" i="1"/>
  <c r="AD72" i="1"/>
  <c r="W72" i="1"/>
  <c r="V72" i="1"/>
  <c r="A74" i="1" l="1"/>
  <c r="X73" i="1"/>
  <c r="W73" i="1"/>
  <c r="P73" i="1"/>
  <c r="O73" i="1"/>
  <c r="AF73" i="1"/>
  <c r="V73" i="1"/>
  <c r="N73" i="1"/>
  <c r="AE73" i="1"/>
  <c r="T73" i="1"/>
  <c r="AA73" i="1"/>
  <c r="S73" i="1"/>
  <c r="AD73" i="1"/>
  <c r="AC73" i="1"/>
  <c r="U73" i="1"/>
  <c r="AB73" i="1"/>
  <c r="M73" i="1"/>
  <c r="R73" i="1"/>
  <c r="Q73" i="1"/>
  <c r="Y73" i="1"/>
  <c r="Z73" i="1"/>
  <c r="AG73" i="1"/>
  <c r="R74" i="1" l="1"/>
  <c r="AG74" i="1"/>
  <c r="AA74" i="1"/>
  <c r="Q74" i="1"/>
  <c r="N74" i="1"/>
  <c r="Y74" i="1"/>
  <c r="AF74" i="1"/>
  <c r="X74" i="1"/>
  <c r="AC74" i="1"/>
  <c r="S74" i="1"/>
  <c r="Z74" i="1"/>
  <c r="W74" i="1"/>
  <c r="M74" i="1"/>
  <c r="P74" i="1"/>
  <c r="O74" i="1"/>
  <c r="V74" i="1"/>
  <c r="U74" i="1"/>
  <c r="AB74" i="1"/>
  <c r="AE74" i="1"/>
  <c r="AD74" i="1"/>
  <c r="T74" i="1"/>
  <c r="A75" i="1"/>
  <c r="A76" i="1" l="1"/>
  <c r="U75" i="1"/>
  <c r="M75" i="1"/>
  <c r="AD75" i="1"/>
  <c r="T75" i="1"/>
  <c r="V75" i="1"/>
  <c r="AA75" i="1"/>
  <c r="AF75" i="1"/>
  <c r="AB75" i="1"/>
  <c r="S75" i="1"/>
  <c r="Z75" i="1"/>
  <c r="P75" i="1"/>
  <c r="R75" i="1"/>
  <c r="AG75" i="1"/>
  <c r="Q75" i="1"/>
  <c r="N75" i="1"/>
  <c r="O75" i="1"/>
  <c r="AC75" i="1"/>
  <c r="X75" i="1"/>
  <c r="AE75" i="1"/>
  <c r="Y75" i="1"/>
  <c r="W75" i="1"/>
  <c r="A77" i="1" l="1"/>
  <c r="Y76" i="1"/>
  <c r="X76" i="1"/>
  <c r="Q76" i="1"/>
  <c r="P76" i="1"/>
  <c r="W76" i="1"/>
  <c r="O76" i="1"/>
  <c r="AF76" i="1"/>
  <c r="AE76" i="1"/>
  <c r="U76" i="1"/>
  <c r="M76" i="1"/>
  <c r="AB76" i="1"/>
  <c r="T76" i="1"/>
  <c r="AG76" i="1"/>
  <c r="AD76" i="1"/>
  <c r="R76" i="1"/>
  <c r="AA76" i="1"/>
  <c r="S76" i="1"/>
  <c r="V76" i="1"/>
  <c r="AC76" i="1"/>
  <c r="N76" i="1"/>
  <c r="Z76" i="1"/>
  <c r="A78" i="1" l="1"/>
  <c r="AB77" i="1"/>
  <c r="T77" i="1"/>
  <c r="AA77" i="1"/>
  <c r="R77" i="1"/>
  <c r="Z77" i="1"/>
  <c r="O77" i="1"/>
  <c r="AG77" i="1"/>
  <c r="S77" i="1"/>
  <c r="Y77" i="1"/>
  <c r="AD77" i="1"/>
  <c r="X77" i="1"/>
  <c r="N77" i="1"/>
  <c r="V77" i="1"/>
  <c r="AC77" i="1"/>
  <c r="AF77" i="1"/>
  <c r="AE77" i="1"/>
  <c r="U77" i="1"/>
  <c r="M77" i="1"/>
  <c r="Q77" i="1"/>
  <c r="P77" i="1"/>
  <c r="W77" i="1"/>
  <c r="A79" i="1" l="1"/>
  <c r="AD78" i="1"/>
  <c r="N78" i="1"/>
  <c r="U78" i="1"/>
  <c r="M78" i="1"/>
  <c r="W78" i="1"/>
  <c r="AB78" i="1"/>
  <c r="AG78" i="1"/>
  <c r="AE78" i="1"/>
  <c r="T78" i="1"/>
  <c r="O78" i="1"/>
  <c r="V78" i="1"/>
  <c r="AA78" i="1"/>
  <c r="Q78" i="1"/>
  <c r="S78" i="1"/>
  <c r="R78" i="1"/>
  <c r="P78" i="1"/>
  <c r="AC78" i="1"/>
  <c r="AF78" i="1"/>
  <c r="Z78" i="1"/>
  <c r="Y78" i="1"/>
  <c r="X78" i="1"/>
  <c r="A80" i="1" l="1"/>
  <c r="Z79" i="1"/>
  <c r="Y79" i="1"/>
  <c r="R79" i="1"/>
  <c r="Q79" i="1"/>
  <c r="AG79" i="1"/>
  <c r="X79" i="1"/>
  <c r="P79" i="1"/>
  <c r="V79" i="1"/>
  <c r="N79" i="1"/>
  <c r="AC79" i="1"/>
  <c r="U79" i="1"/>
  <c r="M79" i="1"/>
  <c r="AF79" i="1"/>
  <c r="AE79" i="1"/>
  <c r="W79" i="1"/>
  <c r="AD79" i="1"/>
  <c r="O79" i="1"/>
  <c r="S79" i="1"/>
  <c r="T79" i="1"/>
  <c r="AA79" i="1"/>
  <c r="AB79" i="1"/>
  <c r="A81" i="1" l="1"/>
  <c r="U80" i="1"/>
  <c r="M80" i="1"/>
  <c r="AB80" i="1"/>
  <c r="S80" i="1"/>
  <c r="AC80" i="1"/>
  <c r="P80" i="1"/>
  <c r="T80" i="1"/>
  <c r="Z80" i="1"/>
  <c r="AE80" i="1"/>
  <c r="Y80" i="1"/>
  <c r="O80" i="1"/>
  <c r="AA80" i="1"/>
  <c r="AG80" i="1"/>
  <c r="AF80" i="1"/>
  <c r="R80" i="1"/>
  <c r="Q80" i="1"/>
  <c r="X80" i="1"/>
  <c r="AD80" i="1"/>
  <c r="W80" i="1"/>
  <c r="N80" i="1"/>
  <c r="V80" i="1"/>
  <c r="A82" i="1" l="1"/>
  <c r="X81" i="1"/>
  <c r="P81" i="1"/>
  <c r="AE81" i="1"/>
  <c r="V81" i="1"/>
  <c r="W81" i="1"/>
  <c r="N81" i="1"/>
  <c r="AF81" i="1"/>
  <c r="O81" i="1"/>
  <c r="AC81" i="1"/>
  <c r="U81" i="1"/>
  <c r="M81" i="1"/>
  <c r="AB81" i="1"/>
  <c r="R81" i="1"/>
  <c r="AD81" i="1"/>
  <c r="T81" i="1"/>
  <c r="S81" i="1"/>
  <c r="AA81" i="1"/>
  <c r="AG81" i="1"/>
  <c r="Z81" i="1"/>
  <c r="Y81" i="1"/>
  <c r="Q81" i="1"/>
  <c r="A83" i="1" l="1"/>
  <c r="AA82" i="1"/>
  <c r="Z82" i="1"/>
  <c r="S82" i="1"/>
  <c r="R82" i="1"/>
  <c r="Y82" i="1"/>
  <c r="Q82" i="1"/>
  <c r="W82" i="1"/>
  <c r="M82" i="1"/>
  <c r="O82" i="1"/>
  <c r="AD82" i="1"/>
  <c r="AG82" i="1"/>
  <c r="V82" i="1"/>
  <c r="N82" i="1"/>
  <c r="T82" i="1"/>
  <c r="AF82" i="1"/>
  <c r="X82" i="1"/>
  <c r="AE82" i="1"/>
  <c r="P82" i="1"/>
  <c r="AC82" i="1"/>
  <c r="U82" i="1"/>
  <c r="AB82" i="1"/>
  <c r="A84" i="1" l="1"/>
  <c r="AC83" i="1"/>
  <c r="U83" i="1"/>
  <c r="AD83" i="1"/>
  <c r="N83" i="1"/>
  <c r="T83" i="1"/>
  <c r="M83" i="1"/>
  <c r="Q83" i="1"/>
  <c r="AB83" i="1"/>
  <c r="AA83" i="1"/>
  <c r="AF83" i="1"/>
  <c r="Z83" i="1"/>
  <c r="P83" i="1"/>
  <c r="X83" i="1"/>
  <c r="AG83" i="1"/>
  <c r="V83" i="1"/>
  <c r="S83" i="1"/>
  <c r="R83" i="1"/>
  <c r="Y83" i="1"/>
  <c r="O83" i="1"/>
  <c r="W83" i="1"/>
  <c r="AE83" i="1"/>
  <c r="A85" i="1" l="1"/>
  <c r="AG84" i="1"/>
  <c r="Q84" i="1"/>
  <c r="W84" i="1"/>
  <c r="O84" i="1"/>
  <c r="X84" i="1"/>
  <c r="AE84" i="1"/>
  <c r="AD84" i="1"/>
  <c r="V84" i="1"/>
  <c r="N84" i="1"/>
  <c r="AC84" i="1"/>
  <c r="S84" i="1"/>
  <c r="U84" i="1"/>
  <c r="Y84" i="1"/>
  <c r="AF84" i="1"/>
  <c r="T84" i="1"/>
  <c r="P84" i="1"/>
  <c r="Z84" i="1"/>
  <c r="M84" i="1"/>
  <c r="R84" i="1"/>
  <c r="AA84" i="1"/>
  <c r="AB84" i="1"/>
  <c r="A86" i="1" l="1"/>
  <c r="AB85" i="1"/>
  <c r="AA85" i="1"/>
  <c r="T85" i="1"/>
  <c r="S85" i="1"/>
  <c r="Z85" i="1"/>
  <c r="R85" i="1"/>
  <c r="X85" i="1"/>
  <c r="N85" i="1"/>
  <c r="P85" i="1"/>
  <c r="AE85" i="1"/>
  <c r="W85" i="1"/>
  <c r="U85" i="1"/>
  <c r="O85" i="1"/>
  <c r="AG85" i="1"/>
  <c r="M85" i="1"/>
  <c r="Q85" i="1"/>
  <c r="V85" i="1"/>
  <c r="AD85" i="1"/>
  <c r="AC85" i="1"/>
  <c r="Y85" i="1"/>
  <c r="AF85" i="1"/>
  <c r="A87" i="1" l="1"/>
  <c r="O86" i="1"/>
  <c r="V86" i="1"/>
  <c r="N86" i="1"/>
  <c r="AE86" i="1"/>
  <c r="U86" i="1"/>
  <c r="M86" i="1"/>
  <c r="R86" i="1"/>
  <c r="AB86" i="1"/>
  <c r="AG86" i="1"/>
  <c r="AA86" i="1"/>
  <c r="Q86" i="1"/>
  <c r="AD86" i="1"/>
  <c r="AF86" i="1"/>
  <c r="T86" i="1"/>
  <c r="S86" i="1"/>
  <c r="Z86" i="1"/>
  <c r="Y86" i="1"/>
  <c r="W86" i="1"/>
  <c r="AC86" i="1"/>
  <c r="P86" i="1"/>
  <c r="X86" i="1"/>
  <c r="A88" i="1" l="1"/>
  <c r="Y87" i="1"/>
  <c r="Q87" i="1"/>
  <c r="X87" i="1"/>
  <c r="Z87" i="1"/>
  <c r="P87" i="1"/>
  <c r="AE87" i="1"/>
  <c r="W87" i="1"/>
  <c r="O87" i="1"/>
  <c r="AD87" i="1"/>
  <c r="T87" i="1"/>
  <c r="R87" i="1"/>
  <c r="AG87" i="1"/>
  <c r="V87" i="1"/>
  <c r="AF87" i="1"/>
  <c r="U87" i="1"/>
  <c r="AC87" i="1"/>
  <c r="AA87" i="1"/>
  <c r="N87" i="1"/>
  <c r="M87" i="1"/>
  <c r="AB87" i="1"/>
  <c r="S87" i="1"/>
  <c r="A89" i="1" l="1"/>
  <c r="AC88" i="1"/>
  <c r="AB88" i="1"/>
  <c r="U88" i="1"/>
  <c r="T88" i="1"/>
  <c r="AA88" i="1"/>
  <c r="S88" i="1"/>
  <c r="M88" i="1"/>
  <c r="Y88" i="1"/>
  <c r="O88" i="1"/>
  <c r="Q88" i="1"/>
  <c r="AF88" i="1"/>
  <c r="X88" i="1"/>
  <c r="P88" i="1"/>
  <c r="AE88" i="1"/>
  <c r="Z88" i="1"/>
  <c r="AG88" i="1"/>
  <c r="W88" i="1"/>
  <c r="R88" i="1"/>
  <c r="V88" i="1"/>
  <c r="N88" i="1"/>
  <c r="AD88" i="1"/>
  <c r="A90" i="1" l="1"/>
  <c r="AF89" i="1"/>
  <c r="X89" i="1"/>
  <c r="AE89" i="1"/>
  <c r="O89" i="1"/>
  <c r="V89" i="1"/>
  <c r="S89" i="1"/>
  <c r="P89" i="1"/>
  <c r="W89" i="1"/>
  <c r="AD89" i="1"/>
  <c r="AC89" i="1"/>
  <c r="M89" i="1"/>
  <c r="AB89" i="1"/>
  <c r="R89" i="1"/>
  <c r="Z89" i="1"/>
  <c r="U89" i="1"/>
  <c r="T89" i="1"/>
  <c r="AA89" i="1"/>
  <c r="N89" i="1"/>
  <c r="AG89" i="1"/>
  <c r="Y89" i="1"/>
  <c r="Q89" i="1"/>
  <c r="A91" i="1" l="1"/>
  <c r="R90" i="1"/>
  <c r="Y90" i="1"/>
  <c r="Q90" i="1"/>
  <c r="AA90" i="1"/>
  <c r="AF90" i="1"/>
  <c r="S90" i="1"/>
  <c r="Z90" i="1"/>
  <c r="X90" i="1"/>
  <c r="AG90" i="1"/>
  <c r="P90" i="1"/>
  <c r="AE90" i="1"/>
  <c r="U90" i="1"/>
  <c r="W90" i="1"/>
  <c r="M90" i="1"/>
  <c r="V90" i="1"/>
  <c r="O90" i="1"/>
  <c r="N90" i="1"/>
  <c r="AB90" i="1"/>
  <c r="T90" i="1"/>
  <c r="AD90" i="1"/>
  <c r="AC90" i="1"/>
  <c r="A92" i="1" l="1"/>
  <c r="AD91" i="1"/>
  <c r="AC91" i="1"/>
  <c r="V91" i="1"/>
  <c r="U91" i="1"/>
  <c r="AB91" i="1"/>
  <c r="M91" i="1"/>
  <c r="T91" i="1"/>
  <c r="N91" i="1"/>
  <c r="Z91" i="1"/>
  <c r="P91" i="1"/>
  <c r="W91" i="1"/>
  <c r="R91" i="1"/>
  <c r="AG91" i="1"/>
  <c r="Y91" i="1"/>
  <c r="Q91" i="1"/>
  <c r="S91" i="1"/>
  <c r="X91" i="1"/>
  <c r="O91" i="1"/>
  <c r="AA91" i="1"/>
  <c r="AF91" i="1"/>
  <c r="AE91" i="1"/>
  <c r="A93" i="1" l="1"/>
  <c r="P92" i="1"/>
  <c r="Y92" i="1"/>
  <c r="Q92" i="1"/>
  <c r="AF92" i="1"/>
  <c r="W92" i="1"/>
  <c r="AG92" i="1"/>
  <c r="X92" i="1"/>
  <c r="AE92" i="1"/>
  <c r="T92" i="1"/>
  <c r="O92" i="1"/>
  <c r="AD92" i="1"/>
  <c r="N92" i="1"/>
  <c r="AC92" i="1"/>
  <c r="S92" i="1"/>
  <c r="AA92" i="1"/>
  <c r="V92" i="1"/>
  <c r="U92" i="1"/>
  <c r="AB92" i="1"/>
  <c r="M92" i="1"/>
  <c r="R92" i="1"/>
  <c r="Z92" i="1"/>
  <c r="A94" i="1" l="1"/>
  <c r="AB93" i="1"/>
  <c r="T93" i="1"/>
  <c r="Z93" i="1"/>
  <c r="AA93" i="1"/>
  <c r="R93" i="1"/>
  <c r="S93" i="1"/>
  <c r="AG93" i="1"/>
  <c r="Y93" i="1"/>
  <c r="Q93" i="1"/>
  <c r="AF93" i="1"/>
  <c r="V93" i="1"/>
  <c r="X93" i="1"/>
  <c r="N93" i="1"/>
  <c r="W93" i="1"/>
  <c r="AC93" i="1"/>
  <c r="AD93" i="1"/>
  <c r="U93" i="1"/>
  <c r="AE93" i="1"/>
  <c r="M93" i="1"/>
  <c r="P93" i="1"/>
  <c r="O93" i="1"/>
  <c r="A95" i="1" l="1"/>
  <c r="AE94" i="1"/>
  <c r="AD94" i="1"/>
  <c r="W94" i="1"/>
  <c r="V94" i="1"/>
  <c r="AC94" i="1"/>
  <c r="U94" i="1"/>
  <c r="N94" i="1"/>
  <c r="M94" i="1"/>
  <c r="AA94" i="1"/>
  <c r="Q94" i="1"/>
  <c r="S94" i="1"/>
  <c r="Z94" i="1"/>
  <c r="R94" i="1"/>
  <c r="AG94" i="1"/>
  <c r="Y94" i="1"/>
  <c r="X94" i="1"/>
  <c r="AB94" i="1"/>
  <c r="AF94" i="1"/>
  <c r="T94" i="1"/>
  <c r="P94" i="1"/>
  <c r="O94" i="1"/>
  <c r="A96" i="1" l="1"/>
  <c r="AG95" i="1"/>
  <c r="Y95" i="1"/>
  <c r="R95" i="1"/>
  <c r="X95" i="1"/>
  <c r="U95" i="1"/>
  <c r="M95" i="1"/>
  <c r="AE95" i="1"/>
  <c r="Z95" i="1"/>
  <c r="AF95" i="1"/>
  <c r="O95" i="1"/>
  <c r="AD95" i="1"/>
  <c r="T95" i="1"/>
  <c r="AB95" i="1"/>
  <c r="W95" i="1"/>
  <c r="V95" i="1"/>
  <c r="AC95" i="1"/>
  <c r="N95" i="1"/>
  <c r="Q95" i="1"/>
  <c r="P95" i="1"/>
  <c r="AA95" i="1"/>
  <c r="S95" i="1"/>
  <c r="A97" i="1" l="1"/>
  <c r="U96" i="1"/>
  <c r="AA96" i="1"/>
  <c r="M96" i="1"/>
  <c r="S96" i="1"/>
  <c r="AB96" i="1"/>
  <c r="Z96" i="1"/>
  <c r="R96" i="1"/>
  <c r="AG96" i="1"/>
  <c r="W96" i="1"/>
  <c r="Y96" i="1"/>
  <c r="O96" i="1"/>
  <c r="T96" i="1"/>
  <c r="X96" i="1"/>
  <c r="AF96" i="1"/>
  <c r="Q96" i="1"/>
  <c r="P96" i="1"/>
  <c r="V96" i="1"/>
  <c r="AC96" i="1"/>
  <c r="AE96" i="1"/>
  <c r="AD96" i="1"/>
  <c r="N96" i="1"/>
  <c r="A98" i="1" l="1"/>
  <c r="AF97" i="1"/>
  <c r="AE97" i="1"/>
  <c r="X97" i="1"/>
  <c r="W97" i="1"/>
  <c r="AD97" i="1"/>
  <c r="P97" i="1"/>
  <c r="V97" i="1"/>
  <c r="M97" i="1"/>
  <c r="AB97" i="1"/>
  <c r="R97" i="1"/>
  <c r="T97" i="1"/>
  <c r="AA97" i="1"/>
  <c r="S97" i="1"/>
  <c r="AC97" i="1"/>
  <c r="Y97" i="1"/>
  <c r="U97" i="1"/>
  <c r="N97" i="1"/>
  <c r="Q97" i="1"/>
  <c r="O97" i="1"/>
  <c r="Z97" i="1"/>
  <c r="AG97" i="1"/>
  <c r="A99" i="1" l="1"/>
  <c r="S98" i="1"/>
  <c r="Z98" i="1"/>
  <c r="R98" i="1"/>
  <c r="Y98" i="1"/>
  <c r="V98" i="1"/>
  <c r="N98" i="1"/>
  <c r="AG98" i="1"/>
  <c r="AA98" i="1"/>
  <c r="Q98" i="1"/>
  <c r="AF98" i="1"/>
  <c r="P98" i="1"/>
  <c r="AE98" i="1"/>
  <c r="U98" i="1"/>
  <c r="X98" i="1"/>
  <c r="W98" i="1"/>
  <c r="AD98" i="1"/>
  <c r="O98" i="1"/>
  <c r="AC98" i="1"/>
  <c r="M98" i="1"/>
  <c r="AB98" i="1"/>
  <c r="T98" i="1"/>
  <c r="A100" i="1" l="1"/>
  <c r="AC99" i="1"/>
  <c r="U99" i="1"/>
  <c r="AB99" i="1"/>
  <c r="AD99" i="1"/>
  <c r="T99" i="1"/>
  <c r="N99" i="1"/>
  <c r="AA99" i="1"/>
  <c r="V99" i="1"/>
  <c r="S99" i="1"/>
  <c r="X99" i="1"/>
  <c r="M99" i="1"/>
  <c r="Z99" i="1"/>
  <c r="P99" i="1"/>
  <c r="Y99" i="1"/>
  <c r="W99" i="1"/>
  <c r="AF99" i="1"/>
  <c r="O99" i="1"/>
  <c r="AG99" i="1"/>
  <c r="AE99" i="1"/>
  <c r="R99" i="1"/>
  <c r="Q99" i="1"/>
  <c r="A101" i="1" l="1"/>
  <c r="AG100" i="1"/>
  <c r="AF100" i="1"/>
  <c r="Y100" i="1"/>
  <c r="X100" i="1"/>
  <c r="AE100" i="1"/>
  <c r="W100" i="1"/>
  <c r="Q100" i="1"/>
  <c r="N100" i="1"/>
  <c r="AC100" i="1"/>
  <c r="S100" i="1"/>
  <c r="O100" i="1"/>
  <c r="U100" i="1"/>
  <c r="P100" i="1"/>
  <c r="M100" i="1"/>
  <c r="AB100" i="1"/>
  <c r="T100" i="1"/>
  <c r="Z100" i="1"/>
  <c r="AA100" i="1"/>
  <c r="R100" i="1"/>
  <c r="AD100" i="1"/>
  <c r="V100" i="1"/>
  <c r="A102" i="1" l="1"/>
  <c r="AB101" i="1"/>
  <c r="S101" i="1"/>
  <c r="Z101" i="1"/>
  <c r="R101" i="1"/>
  <c r="W101" i="1"/>
  <c r="T101" i="1"/>
  <c r="AA101" i="1"/>
  <c r="O101" i="1"/>
  <c r="AG101" i="1"/>
  <c r="Q101" i="1"/>
  <c r="AF101" i="1"/>
  <c r="V101" i="1"/>
  <c r="AD101" i="1"/>
  <c r="N101" i="1"/>
  <c r="P101" i="1"/>
  <c r="Y101" i="1"/>
  <c r="X101" i="1"/>
  <c r="AE101" i="1"/>
  <c r="AC101" i="1"/>
  <c r="U101" i="1"/>
  <c r="M101" i="1"/>
  <c r="A103" i="1" l="1"/>
  <c r="O102" i="1"/>
  <c r="V102" i="1"/>
  <c r="AC102" i="1"/>
  <c r="N102" i="1"/>
  <c r="U102" i="1"/>
  <c r="AE102" i="1"/>
  <c r="T102" i="1"/>
  <c r="M102" i="1"/>
  <c r="W102" i="1"/>
  <c r="AD102" i="1"/>
  <c r="AB102" i="1"/>
  <c r="Y102" i="1"/>
  <c r="AA102" i="1"/>
  <c r="Q102" i="1"/>
  <c r="Z102" i="1"/>
  <c r="X102" i="1"/>
  <c r="P102" i="1"/>
  <c r="S102" i="1"/>
  <c r="R102" i="1"/>
  <c r="AG102" i="1"/>
  <c r="AF102" i="1"/>
  <c r="A104" i="1" l="1"/>
  <c r="AG103" i="1"/>
  <c r="Z103" i="1"/>
  <c r="Y103" i="1"/>
  <c r="AF103" i="1"/>
  <c r="Q103" i="1"/>
  <c r="X103" i="1"/>
  <c r="W103" i="1"/>
  <c r="O103" i="1"/>
  <c r="R103" i="1"/>
  <c r="AD103" i="1"/>
  <c r="T103" i="1"/>
  <c r="AE103" i="1"/>
  <c r="V103" i="1"/>
  <c r="N103" i="1"/>
  <c r="AC103" i="1"/>
  <c r="U103" i="1"/>
  <c r="AA103" i="1"/>
  <c r="S103" i="1"/>
  <c r="P103" i="1"/>
  <c r="M103" i="1"/>
  <c r="AB103" i="1"/>
  <c r="A105" i="1" l="1"/>
  <c r="M104" i="1"/>
  <c r="T104" i="1"/>
  <c r="AC104" i="1"/>
  <c r="U104" i="1"/>
  <c r="AA104" i="1"/>
  <c r="AB104" i="1"/>
  <c r="R104" i="1"/>
  <c r="X104" i="1"/>
  <c r="P104" i="1"/>
  <c r="S104" i="1"/>
  <c r="AG104" i="1"/>
  <c r="W104" i="1"/>
  <c r="Y104" i="1"/>
  <c r="AF104" i="1"/>
  <c r="Q104" i="1"/>
  <c r="Z104" i="1"/>
  <c r="AE104" i="1"/>
  <c r="O104" i="1"/>
  <c r="AD104" i="1"/>
  <c r="V104" i="1"/>
  <c r="N104" i="1"/>
  <c r="A106" i="1" l="1"/>
  <c r="AF105" i="1"/>
  <c r="X105" i="1"/>
  <c r="AD105" i="1"/>
  <c r="AE105" i="1"/>
  <c r="V105" i="1"/>
  <c r="O105" i="1"/>
  <c r="U105" i="1"/>
  <c r="Z105" i="1"/>
  <c r="AB105" i="1"/>
  <c r="R105" i="1"/>
  <c r="AC105" i="1"/>
  <c r="AA105" i="1"/>
  <c r="T105" i="1"/>
  <c r="S105" i="1"/>
  <c r="N105" i="1"/>
  <c r="Q105" i="1"/>
  <c r="P105" i="1"/>
  <c r="M105" i="1"/>
  <c r="AG105" i="1"/>
  <c r="Y105" i="1"/>
  <c r="W105" i="1"/>
  <c r="A107" i="1" l="1"/>
  <c r="AA106" i="1"/>
  <c r="Z106" i="1"/>
  <c r="AG106" i="1"/>
  <c r="Y106" i="1"/>
  <c r="R106" i="1"/>
  <c r="X106" i="1"/>
  <c r="P106" i="1"/>
  <c r="AE106" i="1"/>
  <c r="U106" i="1"/>
  <c r="W106" i="1"/>
  <c r="O106" i="1"/>
  <c r="AD106" i="1"/>
  <c r="Q106" i="1"/>
  <c r="V106" i="1"/>
  <c r="AB106" i="1"/>
  <c r="S106" i="1"/>
  <c r="N106" i="1"/>
  <c r="T106" i="1"/>
  <c r="AF106" i="1"/>
  <c r="AC106" i="1"/>
  <c r="M106" i="1"/>
  <c r="A108" i="1" l="1"/>
  <c r="N107" i="1"/>
  <c r="M107" i="1"/>
  <c r="AA107" i="1"/>
  <c r="AC107" i="1"/>
  <c r="V107" i="1"/>
  <c r="AB107" i="1"/>
  <c r="Y107" i="1"/>
  <c r="Q107" i="1"/>
  <c r="T107" i="1"/>
  <c r="S107" i="1"/>
  <c r="U107" i="1"/>
  <c r="X107" i="1"/>
  <c r="R107" i="1"/>
  <c r="AF107" i="1"/>
  <c r="P107" i="1"/>
  <c r="AD107" i="1"/>
  <c r="Z107" i="1"/>
  <c r="AG107" i="1"/>
  <c r="W107" i="1"/>
  <c r="AE107" i="1"/>
  <c r="O107" i="1"/>
  <c r="A109" i="1" l="1"/>
  <c r="AD108" i="1"/>
  <c r="P108" i="1"/>
  <c r="Y108" i="1"/>
  <c r="AF108" i="1"/>
  <c r="Q108" i="1"/>
  <c r="W108" i="1"/>
  <c r="AG108" i="1"/>
  <c r="V108" i="1"/>
  <c r="O108" i="1"/>
  <c r="AE108" i="1"/>
  <c r="N108" i="1"/>
  <c r="AA108" i="1"/>
  <c r="AC108" i="1"/>
  <c r="S108" i="1"/>
  <c r="M108" i="1"/>
  <c r="AB108" i="1"/>
  <c r="X108" i="1"/>
  <c r="U108" i="1"/>
  <c r="T108" i="1"/>
  <c r="Z108" i="1"/>
  <c r="R108" i="1"/>
  <c r="A110" i="1" l="1"/>
  <c r="AG109" i="1"/>
  <c r="AF109" i="1"/>
  <c r="W109" i="1"/>
  <c r="Y109" i="1"/>
  <c r="X109" i="1"/>
  <c r="Z109" i="1"/>
  <c r="Q109" i="1"/>
  <c r="P109" i="1"/>
  <c r="R109" i="1"/>
  <c r="AC109" i="1"/>
  <c r="U109" i="1"/>
  <c r="M109" i="1"/>
  <c r="V109" i="1"/>
  <c r="AE109" i="1"/>
  <c r="AB109" i="1"/>
  <c r="AD109" i="1"/>
  <c r="AA109" i="1"/>
  <c r="N109" i="1"/>
  <c r="O109" i="1"/>
  <c r="S109" i="1"/>
  <c r="T109" i="1"/>
  <c r="A111" i="1" l="1"/>
  <c r="U110" i="1"/>
  <c r="M110" i="1"/>
  <c r="Y110" i="1"/>
  <c r="Q110" i="1"/>
  <c r="T110" i="1"/>
  <c r="AA110" i="1"/>
  <c r="Z110" i="1"/>
  <c r="S110" i="1"/>
  <c r="R110" i="1"/>
  <c r="P110" i="1"/>
  <c r="W110" i="1"/>
  <c r="AB110" i="1"/>
  <c r="O110" i="1"/>
  <c r="AG110" i="1"/>
  <c r="N110" i="1"/>
  <c r="AF110" i="1"/>
  <c r="X110" i="1"/>
  <c r="AE110" i="1"/>
  <c r="V110" i="1"/>
  <c r="AD110" i="1"/>
  <c r="AC110" i="1"/>
  <c r="A112" i="1" l="1"/>
  <c r="AB111" i="1"/>
  <c r="T111" i="1"/>
  <c r="AE111" i="1"/>
  <c r="AD111" i="1"/>
  <c r="U111" i="1"/>
  <c r="AF111" i="1"/>
  <c r="W111" i="1"/>
  <c r="V111" i="1"/>
  <c r="M111" i="1"/>
  <c r="P111" i="1"/>
  <c r="O111" i="1"/>
  <c r="AC111" i="1"/>
  <c r="Q111" i="1"/>
  <c r="X111" i="1"/>
  <c r="AA111" i="1"/>
  <c r="R111" i="1"/>
  <c r="N111" i="1"/>
  <c r="AG111" i="1"/>
  <c r="Y111" i="1"/>
  <c r="Z111" i="1"/>
  <c r="S111" i="1"/>
  <c r="A113" i="1" l="1"/>
  <c r="AG112" i="1"/>
  <c r="X112" i="1"/>
  <c r="Z112" i="1"/>
  <c r="Y112" i="1"/>
  <c r="P112" i="1"/>
  <c r="AA112" i="1"/>
  <c r="R112" i="1"/>
  <c r="Q112" i="1"/>
  <c r="S112" i="1"/>
  <c r="AF112" i="1"/>
  <c r="AE112" i="1"/>
  <c r="AD112" i="1"/>
  <c r="U112" i="1"/>
  <c r="W112" i="1"/>
  <c r="V112" i="1"/>
  <c r="M112" i="1"/>
  <c r="O112" i="1"/>
  <c r="N112" i="1"/>
  <c r="AC112" i="1"/>
  <c r="AB112" i="1"/>
  <c r="T112" i="1"/>
  <c r="A114" i="1" l="1"/>
  <c r="V113" i="1"/>
  <c r="M113" i="1"/>
  <c r="N113" i="1"/>
  <c r="Z113" i="1"/>
  <c r="R113" i="1"/>
  <c r="AD113" i="1"/>
  <c r="AC113" i="1"/>
  <c r="T113" i="1"/>
  <c r="AE113" i="1"/>
  <c r="U113" i="1"/>
  <c r="S113" i="1"/>
  <c r="AG113" i="1"/>
  <c r="Y113" i="1"/>
  <c r="AF113" i="1"/>
  <c r="W113" i="1"/>
  <c r="P113" i="1"/>
  <c r="O113" i="1"/>
  <c r="AB113" i="1"/>
  <c r="Q113" i="1"/>
  <c r="X113" i="1"/>
  <c r="AA113" i="1"/>
  <c r="A115" i="1" l="1"/>
  <c r="AC114" i="1"/>
  <c r="U114" i="1"/>
  <c r="AF114" i="1"/>
  <c r="AE114" i="1"/>
  <c r="V114" i="1"/>
  <c r="AG114" i="1"/>
  <c r="X114" i="1"/>
  <c r="W114" i="1"/>
  <c r="N114" i="1"/>
  <c r="Y114" i="1"/>
  <c r="O114" i="1"/>
  <c r="R114" i="1"/>
  <c r="S114" i="1"/>
  <c r="Q114" i="1"/>
  <c r="AD114" i="1"/>
  <c r="AB114" i="1"/>
  <c r="M114" i="1"/>
  <c r="P114" i="1"/>
  <c r="Z114" i="1"/>
  <c r="AA114" i="1"/>
  <c r="T114" i="1"/>
  <c r="A116" i="1" l="1"/>
  <c r="Y115" i="1"/>
  <c r="AA115" i="1"/>
  <c r="Z115" i="1"/>
  <c r="Q115" i="1"/>
  <c r="AB115" i="1"/>
  <c r="S115" i="1"/>
  <c r="R115" i="1"/>
  <c r="T115" i="1"/>
  <c r="P115" i="1"/>
  <c r="AE115" i="1"/>
  <c r="V115" i="1"/>
  <c r="W115" i="1"/>
  <c r="N115" i="1"/>
  <c r="AF115" i="1"/>
  <c r="X115" i="1"/>
  <c r="AD115" i="1"/>
  <c r="AC115" i="1"/>
  <c r="U115" i="1"/>
  <c r="O115" i="1"/>
  <c r="AG115" i="1"/>
  <c r="M115" i="1"/>
  <c r="A117" i="1" l="1"/>
  <c r="W116" i="1"/>
  <c r="N116" i="1"/>
  <c r="M116" i="1"/>
  <c r="O116" i="1"/>
  <c r="AA116" i="1"/>
  <c r="S116" i="1"/>
  <c r="V116" i="1"/>
  <c r="AC116" i="1"/>
  <c r="AB116" i="1"/>
  <c r="AF116" i="1"/>
  <c r="AE116" i="1"/>
  <c r="AD116" i="1"/>
  <c r="T116" i="1"/>
  <c r="X116" i="1"/>
  <c r="U116" i="1"/>
  <c r="Z116" i="1"/>
  <c r="AG116" i="1"/>
  <c r="R116" i="1"/>
  <c r="Y116" i="1"/>
  <c r="P116" i="1"/>
  <c r="Q116" i="1"/>
  <c r="A118" i="1" l="1"/>
  <c r="AD117" i="1"/>
  <c r="V117" i="1"/>
  <c r="AG117" i="1"/>
  <c r="AF117" i="1"/>
  <c r="W117" i="1"/>
  <c r="Y117" i="1"/>
  <c r="X117" i="1"/>
  <c r="O117" i="1"/>
  <c r="R117" i="1"/>
  <c r="Q117" i="1"/>
  <c r="S117" i="1"/>
  <c r="P117" i="1"/>
  <c r="AC117" i="1"/>
  <c r="U117" i="1"/>
  <c r="AB117" i="1"/>
  <c r="AE117" i="1"/>
  <c r="N117" i="1"/>
  <c r="M117" i="1"/>
  <c r="T117" i="1"/>
  <c r="Z117" i="1"/>
  <c r="AA117" i="1"/>
  <c r="A119" i="1" l="1"/>
  <c r="Z118" i="1"/>
  <c r="AB118" i="1"/>
  <c r="AA118" i="1"/>
  <c r="R118" i="1"/>
  <c r="AC118" i="1"/>
  <c r="T118" i="1"/>
  <c r="S118" i="1"/>
  <c r="U118" i="1"/>
  <c r="M118" i="1"/>
  <c r="AG118" i="1"/>
  <c r="AF118" i="1"/>
  <c r="W118" i="1"/>
  <c r="Y118" i="1"/>
  <c r="X118" i="1"/>
  <c r="O118" i="1"/>
  <c r="AE118" i="1"/>
  <c r="Q118" i="1"/>
  <c r="P118" i="1"/>
  <c r="V118" i="1"/>
  <c r="AD118" i="1"/>
  <c r="N118" i="1"/>
  <c r="A120" i="1" l="1"/>
  <c r="X119" i="1"/>
  <c r="O119" i="1"/>
  <c r="N119" i="1"/>
  <c r="P119" i="1"/>
  <c r="AB119" i="1"/>
  <c r="T119" i="1"/>
  <c r="AF119" i="1"/>
  <c r="AE119" i="1"/>
  <c r="M119" i="1"/>
  <c r="V119" i="1"/>
  <c r="U119" i="1"/>
  <c r="AG119" i="1"/>
  <c r="W119" i="1"/>
  <c r="S119" i="1"/>
  <c r="Z119" i="1"/>
  <c r="Y119" i="1"/>
  <c r="Q119" i="1"/>
  <c r="AA119" i="1"/>
  <c r="R119" i="1"/>
  <c r="AD119" i="1"/>
  <c r="AC119" i="1"/>
  <c r="A121" i="1" l="1"/>
  <c r="AE120" i="1"/>
  <c r="W120" i="1"/>
  <c r="AG120" i="1"/>
  <c r="X120" i="1"/>
  <c r="Z120" i="1"/>
  <c r="Y120" i="1"/>
  <c r="P120" i="1"/>
  <c r="AA120" i="1"/>
  <c r="Q120" i="1"/>
  <c r="T120" i="1"/>
  <c r="S120" i="1"/>
  <c r="AF120" i="1"/>
  <c r="V120" i="1"/>
  <c r="AC120" i="1"/>
  <c r="N120" i="1"/>
  <c r="U120" i="1"/>
  <c r="AD120" i="1"/>
  <c r="M120" i="1"/>
  <c r="R120" i="1"/>
  <c r="O120" i="1"/>
  <c r="AB120" i="1"/>
  <c r="A122" i="1" l="1"/>
  <c r="AA121" i="1"/>
  <c r="AC121" i="1"/>
  <c r="AB121" i="1"/>
  <c r="S121" i="1"/>
  <c r="AD121" i="1"/>
  <c r="U121" i="1"/>
  <c r="T121" i="1"/>
  <c r="V121" i="1"/>
  <c r="M121" i="1"/>
  <c r="N121" i="1"/>
  <c r="R121" i="1"/>
  <c r="AG121" i="1"/>
  <c r="X121" i="1"/>
  <c r="Y121" i="1"/>
  <c r="P121" i="1"/>
  <c r="Q121" i="1"/>
  <c r="Z121" i="1"/>
  <c r="AF121" i="1"/>
  <c r="W121" i="1"/>
  <c r="O121" i="1"/>
  <c r="AE121" i="1"/>
  <c r="A123" i="1" l="1"/>
  <c r="Y122" i="1"/>
  <c r="P122" i="1"/>
  <c r="O122" i="1"/>
  <c r="Q122" i="1"/>
  <c r="AC122" i="1"/>
  <c r="U122" i="1"/>
  <c r="X122" i="1"/>
  <c r="AE122" i="1"/>
  <c r="AD122" i="1"/>
  <c r="V122" i="1"/>
  <c r="AG122" i="1"/>
  <c r="N122" i="1"/>
  <c r="T122" i="1"/>
  <c r="AA122" i="1"/>
  <c r="R122" i="1"/>
  <c r="W122" i="1"/>
  <c r="S122" i="1"/>
  <c r="M122" i="1"/>
  <c r="AF122" i="1"/>
  <c r="Z122" i="1"/>
  <c r="AB122" i="1"/>
  <c r="AF123" i="1" l="1"/>
  <c r="X123" i="1"/>
  <c r="Y123" i="1"/>
  <c r="AA123" i="1"/>
  <c r="Z123" i="1"/>
  <c r="Q123" i="1"/>
  <c r="T123" i="1"/>
  <c r="S123" i="1"/>
  <c r="AB123" i="1"/>
  <c r="R123" i="1"/>
  <c r="M123" i="1"/>
  <c r="AE123" i="1"/>
  <c r="O123" i="1"/>
  <c r="V123" i="1"/>
  <c r="U123" i="1"/>
  <c r="AG123" i="1"/>
  <c r="P123" i="1"/>
  <c r="W123" i="1"/>
  <c r="AD123" i="1"/>
  <c r="N123" i="1"/>
  <c r="AC123" i="1"/>
  <c r="A124" i="1"/>
  <c r="A125" i="1" l="1"/>
  <c r="AB124" i="1"/>
  <c r="AD124" i="1"/>
  <c r="AC124" i="1"/>
  <c r="T124" i="1"/>
  <c r="AE124" i="1"/>
  <c r="V124" i="1"/>
  <c r="U124" i="1"/>
  <c r="W124" i="1"/>
  <c r="N124" i="1"/>
  <c r="M124" i="1"/>
  <c r="O124" i="1"/>
  <c r="Y124" i="1"/>
  <c r="AA124" i="1"/>
  <c r="Z124" i="1"/>
  <c r="Q124" i="1"/>
  <c r="S124" i="1"/>
  <c r="R124" i="1"/>
  <c r="AG124" i="1"/>
  <c r="AF124" i="1"/>
  <c r="X124" i="1"/>
  <c r="P124" i="1"/>
  <c r="A126" i="1" l="1"/>
  <c r="Z125" i="1"/>
  <c r="Q125" i="1"/>
  <c r="P125" i="1"/>
  <c r="R125" i="1"/>
  <c r="AD125" i="1"/>
  <c r="V125" i="1"/>
  <c r="X125" i="1"/>
  <c r="O125" i="1"/>
  <c r="AG125" i="1"/>
  <c r="N125" i="1"/>
  <c r="M125" i="1"/>
  <c r="Y125" i="1"/>
  <c r="AF125" i="1"/>
  <c r="AC125" i="1"/>
  <c r="T125" i="1"/>
  <c r="W125" i="1"/>
  <c r="AE125" i="1"/>
  <c r="U125" i="1"/>
  <c r="AA125" i="1"/>
  <c r="S125" i="1"/>
  <c r="AB125" i="1"/>
  <c r="A127" i="1" l="1"/>
  <c r="AG126" i="1"/>
  <c r="Y126" i="1"/>
  <c r="Z126" i="1"/>
  <c r="AB126" i="1"/>
  <c r="AA126" i="1"/>
  <c r="R126" i="1"/>
  <c r="AC126" i="1"/>
  <c r="M126" i="1"/>
  <c r="S126" i="1"/>
  <c r="Q126" i="1"/>
  <c r="P126" i="1"/>
  <c r="W126" i="1"/>
  <c r="O126" i="1"/>
  <c r="T126" i="1"/>
  <c r="AF126" i="1"/>
  <c r="V126" i="1"/>
  <c r="N126" i="1"/>
  <c r="X126" i="1"/>
  <c r="AE126" i="1"/>
  <c r="AD126" i="1"/>
  <c r="U126" i="1"/>
  <c r="A128" i="1" l="1"/>
  <c r="AC127" i="1"/>
  <c r="AE127" i="1"/>
  <c r="AD127" i="1"/>
  <c r="U127" i="1"/>
  <c r="AF127" i="1"/>
  <c r="W127" i="1"/>
  <c r="V127" i="1"/>
  <c r="X127" i="1"/>
  <c r="O127" i="1"/>
  <c r="N127" i="1"/>
  <c r="P127" i="1"/>
  <c r="T127" i="1"/>
  <c r="Z127" i="1"/>
  <c r="AA127" i="1"/>
  <c r="R127" i="1"/>
  <c r="M127" i="1"/>
  <c r="S127" i="1"/>
  <c r="Q127" i="1"/>
  <c r="AG127" i="1"/>
  <c r="Y127" i="1"/>
  <c r="AB127" i="1"/>
  <c r="A129" i="1" l="1"/>
  <c r="AA128" i="1"/>
  <c r="R128" i="1"/>
  <c r="Q128" i="1"/>
  <c r="S128" i="1"/>
  <c r="AE128" i="1"/>
  <c r="W128" i="1"/>
  <c r="P128" i="1"/>
  <c r="Z128" i="1"/>
  <c r="AG128" i="1"/>
  <c r="AF128" i="1"/>
  <c r="N128" i="1"/>
  <c r="X128" i="1"/>
  <c r="AD128" i="1"/>
  <c r="V128" i="1"/>
  <c r="AC128" i="1"/>
  <c r="AB128" i="1"/>
  <c r="O128" i="1"/>
  <c r="M128" i="1"/>
  <c r="T128" i="1"/>
  <c r="U128" i="1"/>
  <c r="Y128" i="1"/>
  <c r="A130" i="1" l="1"/>
  <c r="AG129" i="1"/>
  <c r="Y129" i="1"/>
  <c r="AF129" i="1"/>
  <c r="AE129" i="1"/>
  <c r="AC129" i="1"/>
  <c r="AB129" i="1"/>
  <c r="AD129" i="1"/>
  <c r="T129" i="1"/>
  <c r="S129" i="1"/>
  <c r="W129" i="1"/>
  <c r="V129" i="1"/>
  <c r="AA129" i="1"/>
  <c r="O129" i="1"/>
  <c r="P129" i="1"/>
  <c r="N129" i="1"/>
  <c r="U129" i="1"/>
  <c r="M129" i="1"/>
  <c r="Q129" i="1"/>
  <c r="Z129" i="1"/>
  <c r="X129" i="1"/>
  <c r="R129" i="1"/>
  <c r="A131" i="1" l="1"/>
  <c r="Z130" i="1"/>
  <c r="AB130" i="1"/>
  <c r="AA130" i="1"/>
  <c r="R130" i="1"/>
  <c r="T130" i="1"/>
  <c r="S130" i="1"/>
  <c r="AE130" i="1"/>
  <c r="Y130" i="1"/>
  <c r="AF130" i="1"/>
  <c r="W130" i="1"/>
  <c r="X130" i="1"/>
  <c r="O130" i="1"/>
  <c r="AG130" i="1"/>
  <c r="AD130" i="1"/>
  <c r="N130" i="1"/>
  <c r="M130" i="1"/>
  <c r="V130" i="1"/>
  <c r="U130" i="1"/>
  <c r="AC130" i="1"/>
  <c r="P130" i="1"/>
  <c r="Q130" i="1"/>
  <c r="A132" i="1" l="1"/>
  <c r="AE131" i="1"/>
  <c r="AA131" i="1"/>
  <c r="AC131" i="1"/>
  <c r="S131" i="1"/>
  <c r="AD131" i="1"/>
  <c r="O131" i="1"/>
  <c r="N131" i="1"/>
  <c r="M131" i="1"/>
  <c r="AB131" i="1"/>
  <c r="AG131" i="1"/>
  <c r="AF131" i="1"/>
  <c r="W131" i="1"/>
  <c r="P131" i="1"/>
  <c r="V131" i="1"/>
  <c r="R131" i="1"/>
  <c r="U131" i="1"/>
  <c r="T131" i="1"/>
  <c r="Z131" i="1"/>
  <c r="Y131" i="1"/>
  <c r="X131" i="1"/>
  <c r="Q131" i="1"/>
  <c r="Y132" i="1" l="1"/>
  <c r="P132" i="1"/>
  <c r="Z132" i="1"/>
  <c r="Q132" i="1"/>
  <c r="R132" i="1"/>
  <c r="N132" i="1"/>
  <c r="AB132" i="1"/>
  <c r="AE132" i="1"/>
  <c r="AC132" i="1"/>
  <c r="O132" i="1"/>
  <c r="U132" i="1"/>
  <c r="AF132" i="1"/>
  <c r="M132" i="1"/>
  <c r="V132" i="1"/>
  <c r="T132" i="1"/>
  <c r="AA132" i="1"/>
  <c r="W132" i="1"/>
  <c r="AG132" i="1"/>
  <c r="AD132" i="1"/>
  <c r="X132" i="1"/>
  <c r="S132" i="1"/>
  <c r="A133" i="1"/>
  <c r="U133" i="1" l="1"/>
  <c r="M133" i="1"/>
  <c r="X133" i="1"/>
  <c r="AA133" i="1"/>
  <c r="Q133" i="1"/>
  <c r="AB133" i="1"/>
  <c r="S133" i="1"/>
  <c r="AC133" i="1"/>
  <c r="AE133" i="1"/>
  <c r="AF133" i="1"/>
  <c r="N133" i="1"/>
  <c r="P133" i="1"/>
  <c r="O133" i="1"/>
  <c r="AG133" i="1"/>
  <c r="T133" i="1"/>
  <c r="Y133" i="1"/>
  <c r="AD133" i="1"/>
  <c r="Z133" i="1"/>
  <c r="W133" i="1"/>
  <c r="V133" i="1"/>
  <c r="R133" i="1"/>
  <c r="A134" i="1"/>
  <c r="A135" i="1" l="1"/>
  <c r="AF134" i="1"/>
  <c r="AB134" i="1"/>
  <c r="AD134" i="1"/>
  <c r="T134" i="1"/>
  <c r="AE134" i="1"/>
  <c r="X134" i="1"/>
  <c r="O134" i="1"/>
  <c r="P134" i="1"/>
  <c r="S134" i="1"/>
  <c r="M134" i="1"/>
  <c r="Q134" i="1"/>
  <c r="V134" i="1"/>
  <c r="W134" i="1"/>
  <c r="N134" i="1"/>
  <c r="Z134" i="1"/>
  <c r="AA134" i="1"/>
  <c r="AG134" i="1"/>
  <c r="Y134" i="1"/>
  <c r="U134" i="1"/>
  <c r="AC134" i="1"/>
  <c r="R134" i="1"/>
  <c r="A136" i="1" l="1"/>
  <c r="AA135" i="1"/>
  <c r="S135" i="1"/>
  <c r="Z135" i="1"/>
  <c r="Q135" i="1"/>
  <c r="R135" i="1"/>
  <c r="P135" i="1"/>
  <c r="AG135" i="1"/>
  <c r="AE135" i="1"/>
  <c r="Y135" i="1"/>
  <c r="W135" i="1"/>
  <c r="O135" i="1"/>
  <c r="AB135" i="1"/>
  <c r="AD135" i="1"/>
  <c r="V135" i="1"/>
  <c r="AC135" i="1"/>
  <c r="X135" i="1"/>
  <c r="M135" i="1"/>
  <c r="T135" i="1"/>
  <c r="U135" i="1"/>
  <c r="N135" i="1"/>
  <c r="AF135" i="1"/>
  <c r="A137" i="1" l="1"/>
  <c r="Y136" i="1"/>
  <c r="AD136" i="1"/>
  <c r="V136" i="1"/>
  <c r="AB136" i="1"/>
  <c r="R136" i="1"/>
  <c r="AC136" i="1"/>
  <c r="T136" i="1"/>
  <c r="Z136" i="1"/>
  <c r="U136" i="1"/>
  <c r="AG136" i="1"/>
  <c r="N136" i="1"/>
  <c r="M136" i="1"/>
  <c r="Q136" i="1"/>
  <c r="AE136" i="1"/>
  <c r="P136" i="1"/>
  <c r="O136" i="1"/>
  <c r="AF136" i="1"/>
  <c r="S136" i="1"/>
  <c r="AA136" i="1"/>
  <c r="X136" i="1"/>
  <c r="W136" i="1"/>
  <c r="A138" i="1" l="1"/>
  <c r="AG137" i="1"/>
  <c r="Y137" i="1"/>
  <c r="Q137" i="1"/>
  <c r="AC137" i="1"/>
  <c r="AE137" i="1"/>
  <c r="U137" i="1"/>
  <c r="AF137" i="1"/>
  <c r="P137" i="1"/>
  <c r="O137" i="1"/>
  <c r="AB137" i="1"/>
  <c r="X137" i="1"/>
  <c r="T137" i="1"/>
  <c r="AA137" i="1"/>
  <c r="AD137" i="1"/>
  <c r="M137" i="1"/>
  <c r="W137" i="1"/>
  <c r="R137" i="1"/>
  <c r="N137" i="1"/>
  <c r="Z137" i="1"/>
  <c r="V137" i="1"/>
  <c r="S137" i="1"/>
  <c r="A139" i="1" l="1"/>
  <c r="AB138" i="1"/>
  <c r="T138" i="1"/>
  <c r="AA138" i="1"/>
  <c r="R138" i="1"/>
  <c r="S138" i="1"/>
  <c r="AC138" i="1"/>
  <c r="AG138" i="1"/>
  <c r="AF138" i="1"/>
  <c r="N138" i="1"/>
  <c r="M138" i="1"/>
  <c r="X138" i="1"/>
  <c r="AE138" i="1"/>
  <c r="O138" i="1"/>
  <c r="Q138" i="1"/>
  <c r="P138" i="1"/>
  <c r="W138" i="1"/>
  <c r="AD138" i="1"/>
  <c r="Y138" i="1"/>
  <c r="V138" i="1"/>
  <c r="Z138" i="1"/>
  <c r="U138" i="1"/>
  <c r="A140" i="1" l="1"/>
  <c r="Z139" i="1"/>
  <c r="AE139" i="1"/>
  <c r="AC139" i="1"/>
  <c r="S139" i="1"/>
  <c r="W139" i="1"/>
  <c r="AD139" i="1"/>
  <c r="U139" i="1"/>
  <c r="O139" i="1"/>
  <c r="N139" i="1"/>
  <c r="AF139" i="1"/>
  <c r="AG139" i="1"/>
  <c r="AA139" i="1"/>
  <c r="P139" i="1"/>
  <c r="R139" i="1"/>
  <c r="Q139" i="1"/>
  <c r="M139" i="1"/>
  <c r="V139" i="1"/>
  <c r="AB139" i="1"/>
  <c r="X139" i="1"/>
  <c r="T139" i="1"/>
  <c r="Y139" i="1"/>
  <c r="A141" i="1" l="1"/>
  <c r="AD140" i="1"/>
  <c r="AF140" i="1"/>
  <c r="V140" i="1"/>
  <c r="Z140" i="1"/>
  <c r="AG140" i="1"/>
  <c r="Q140" i="1"/>
  <c r="AE140" i="1"/>
  <c r="AC140" i="1"/>
  <c r="R140" i="1"/>
  <c r="N140" i="1"/>
  <c r="U140" i="1"/>
  <c r="O140" i="1"/>
  <c r="X140" i="1"/>
  <c r="M140" i="1"/>
  <c r="S140" i="1"/>
  <c r="P140" i="1"/>
  <c r="W140" i="1"/>
  <c r="AA140" i="1"/>
  <c r="Y140" i="1"/>
  <c r="AB140" i="1"/>
  <c r="T140" i="1"/>
  <c r="A142" i="1" l="1"/>
  <c r="AC141" i="1"/>
  <c r="U141" i="1"/>
  <c r="M141" i="1"/>
  <c r="AB141" i="1"/>
  <c r="S141" i="1"/>
  <c r="T141" i="1"/>
  <c r="Y141" i="1"/>
  <c r="P141" i="1"/>
  <c r="Q141" i="1"/>
  <c r="O141" i="1"/>
  <c r="N141" i="1"/>
  <c r="AA141" i="1"/>
  <c r="R141" i="1"/>
  <c r="AE141" i="1"/>
  <c r="AG141" i="1"/>
  <c r="X141" i="1"/>
  <c r="Z141" i="1"/>
  <c r="AD141" i="1"/>
  <c r="AF141" i="1"/>
  <c r="V141" i="1"/>
  <c r="W141" i="1"/>
  <c r="A143" i="1" l="1"/>
  <c r="AF142" i="1"/>
  <c r="X142" i="1"/>
  <c r="AA142" i="1"/>
  <c r="P142" i="1"/>
  <c r="AD142" i="1"/>
  <c r="T142" i="1"/>
  <c r="AE142" i="1"/>
  <c r="V142" i="1"/>
  <c r="Q142" i="1"/>
  <c r="M142" i="1"/>
  <c r="N142" i="1"/>
  <c r="R142" i="1"/>
  <c r="W142" i="1"/>
  <c r="AC142" i="1"/>
  <c r="O142" i="1"/>
  <c r="S142" i="1"/>
  <c r="AG142" i="1"/>
  <c r="AB142" i="1"/>
  <c r="Z142" i="1"/>
  <c r="Y142" i="1"/>
  <c r="U142" i="1"/>
  <c r="A144" i="1" l="1"/>
  <c r="AE143" i="1"/>
  <c r="AG143" i="1"/>
  <c r="W143" i="1"/>
  <c r="R143" i="1"/>
  <c r="AA143" i="1"/>
  <c r="S143" i="1"/>
  <c r="Q143" i="1"/>
  <c r="T143" i="1"/>
  <c r="AD143" i="1"/>
  <c r="Z143" i="1"/>
  <c r="V143" i="1"/>
  <c r="AC143" i="1"/>
  <c r="N143" i="1"/>
  <c r="O143" i="1"/>
  <c r="Y143" i="1"/>
  <c r="AB143" i="1"/>
  <c r="P143" i="1"/>
  <c r="AF143" i="1"/>
  <c r="M143" i="1"/>
  <c r="X143" i="1"/>
  <c r="U143" i="1"/>
  <c r="A145" i="1" l="1"/>
  <c r="AD144" i="1"/>
  <c r="V144" i="1"/>
  <c r="N144" i="1"/>
  <c r="AC144" i="1"/>
  <c r="T144" i="1"/>
  <c r="U144" i="1"/>
  <c r="M144" i="1"/>
  <c r="Y144" i="1"/>
  <c r="Q144" i="1"/>
  <c r="Z144" i="1"/>
  <c r="R144" i="1"/>
  <c r="AF144" i="1"/>
  <c r="AG144" i="1"/>
  <c r="O144" i="1"/>
  <c r="P144" i="1"/>
  <c r="AE144" i="1"/>
  <c r="AA144" i="1"/>
  <c r="AB144" i="1"/>
  <c r="S144" i="1"/>
  <c r="W144" i="1"/>
  <c r="X144" i="1"/>
  <c r="A146" i="1" l="1"/>
  <c r="AB145" i="1"/>
  <c r="AG145" i="1"/>
  <c r="Q145" i="1"/>
  <c r="AE145" i="1"/>
  <c r="U145" i="1"/>
  <c r="AF145" i="1"/>
  <c r="W145" i="1"/>
  <c r="Y145" i="1"/>
  <c r="X145" i="1"/>
  <c r="AC145" i="1"/>
  <c r="AD145" i="1"/>
  <c r="P145" i="1"/>
  <c r="M145" i="1"/>
  <c r="O145" i="1"/>
  <c r="S145" i="1"/>
  <c r="R145" i="1"/>
  <c r="V145" i="1"/>
  <c r="N145" i="1"/>
  <c r="Z145" i="1"/>
  <c r="T145" i="1"/>
  <c r="AA145" i="1"/>
  <c r="A147" i="1" l="1"/>
  <c r="AB146" i="1"/>
  <c r="AF146" i="1"/>
  <c r="T146" i="1"/>
  <c r="X146" i="1"/>
  <c r="S146" i="1"/>
  <c r="AA146" i="1"/>
  <c r="P146" i="1"/>
  <c r="AD146" i="1"/>
  <c r="AG146" i="1"/>
  <c r="Z146" i="1"/>
  <c r="AE146" i="1"/>
  <c r="M146" i="1"/>
  <c r="R146" i="1"/>
  <c r="W146" i="1"/>
  <c r="Q146" i="1"/>
  <c r="N146" i="1"/>
  <c r="O146" i="1"/>
  <c r="U146" i="1"/>
  <c r="AC146" i="1"/>
  <c r="Y146" i="1"/>
  <c r="V146" i="1"/>
  <c r="A148" i="1" l="1"/>
  <c r="AE147" i="1"/>
  <c r="W147" i="1"/>
  <c r="O147" i="1"/>
  <c r="AD147" i="1"/>
  <c r="U147" i="1"/>
  <c r="V147" i="1"/>
  <c r="M147" i="1"/>
  <c r="N147" i="1"/>
  <c r="Z147" i="1"/>
  <c r="AG147" i="1"/>
  <c r="AC147" i="1"/>
  <c r="R147" i="1"/>
  <c r="Q147" i="1"/>
  <c r="P147" i="1"/>
  <c r="T147" i="1"/>
  <c r="S147" i="1"/>
  <c r="Y147" i="1"/>
  <c r="X147" i="1"/>
  <c r="AF147" i="1"/>
  <c r="AA147" i="1"/>
  <c r="AB147" i="1"/>
  <c r="A149" i="1" l="1"/>
  <c r="R148" i="1"/>
  <c r="AC148" i="1"/>
  <c r="AF148" i="1"/>
  <c r="V148" i="1"/>
  <c r="AG148" i="1"/>
  <c r="X148" i="1"/>
  <c r="Z148" i="1"/>
  <c r="M148" i="1"/>
  <c r="P148" i="1"/>
  <c r="S148" i="1"/>
  <c r="O148" i="1"/>
  <c r="T148" i="1"/>
  <c r="AD148" i="1"/>
  <c r="N148" i="1"/>
  <c r="Q148" i="1"/>
  <c r="U148" i="1"/>
  <c r="AA148" i="1"/>
  <c r="Y148" i="1"/>
  <c r="AE148" i="1"/>
  <c r="AB148" i="1"/>
  <c r="W148" i="1"/>
  <c r="A150" i="1" l="1"/>
  <c r="AG149" i="1"/>
  <c r="Y149" i="1"/>
  <c r="U149" i="1"/>
  <c r="T149" i="1"/>
  <c r="M149" i="1"/>
  <c r="AC149" i="1"/>
  <c r="S149" i="1"/>
  <c r="N149" i="1"/>
  <c r="R149" i="1"/>
  <c r="O149" i="1"/>
  <c r="V149" i="1"/>
  <c r="Q149" i="1"/>
  <c r="AF149" i="1"/>
  <c r="AB149" i="1"/>
  <c r="X149" i="1"/>
  <c r="AA149" i="1"/>
  <c r="AE149" i="1"/>
  <c r="AD149" i="1"/>
  <c r="P149" i="1"/>
  <c r="Z149" i="1"/>
  <c r="W149" i="1"/>
  <c r="A151" i="1" l="1"/>
  <c r="AF150" i="1"/>
  <c r="X150" i="1"/>
  <c r="P150" i="1"/>
  <c r="AE150" i="1"/>
  <c r="V150" i="1"/>
  <c r="W150" i="1"/>
  <c r="N150" i="1"/>
  <c r="O150" i="1"/>
  <c r="R150" i="1"/>
  <c r="Q150" i="1"/>
  <c r="AB150" i="1"/>
  <c r="U150" i="1"/>
  <c r="T150" i="1"/>
  <c r="AA150" i="1"/>
  <c r="S150" i="1"/>
  <c r="AG150" i="1"/>
  <c r="AD150" i="1"/>
  <c r="M150" i="1"/>
  <c r="Z150" i="1"/>
  <c r="Y150" i="1"/>
  <c r="AC150" i="1"/>
  <c r="A152" i="1" l="1"/>
  <c r="AD151" i="1"/>
  <c r="AA151" i="1"/>
  <c r="S151" i="1"/>
  <c r="AG151" i="1"/>
  <c r="W151" i="1"/>
  <c r="Y151" i="1"/>
  <c r="O151" i="1"/>
  <c r="AE151" i="1"/>
  <c r="V151" i="1"/>
  <c r="U151" i="1"/>
  <c r="N151" i="1"/>
  <c r="Z151" i="1"/>
  <c r="AF151" i="1"/>
  <c r="R151" i="1"/>
  <c r="Q151" i="1"/>
  <c r="P151" i="1"/>
  <c r="M151" i="1"/>
  <c r="AC151" i="1"/>
  <c r="X151" i="1"/>
  <c r="T151" i="1"/>
  <c r="AB151" i="1"/>
  <c r="A153" i="1" l="1"/>
  <c r="V152" i="1"/>
  <c r="N152" i="1"/>
  <c r="Z152" i="1"/>
  <c r="U152" i="1"/>
  <c r="M152" i="1"/>
  <c r="AD152" i="1"/>
  <c r="AC152" i="1"/>
  <c r="AB152" i="1"/>
  <c r="T152" i="1"/>
  <c r="AG152" i="1"/>
  <c r="Q152" i="1"/>
  <c r="R152" i="1"/>
  <c r="W152" i="1"/>
  <c r="S152" i="1"/>
  <c r="Y152" i="1"/>
  <c r="X152" i="1"/>
  <c r="AA152" i="1"/>
  <c r="P152" i="1"/>
  <c r="AE152" i="1"/>
  <c r="AF152" i="1"/>
  <c r="O152" i="1"/>
  <c r="A154" i="1" l="1"/>
  <c r="AG153" i="1"/>
  <c r="Y153" i="1"/>
  <c r="Q153" i="1"/>
  <c r="AF153" i="1"/>
  <c r="W153" i="1"/>
  <c r="M153" i="1"/>
  <c r="X153" i="1"/>
  <c r="O153" i="1"/>
  <c r="P153" i="1"/>
  <c r="AE153" i="1"/>
  <c r="AB153" i="1"/>
  <c r="T153" i="1"/>
  <c r="N153" i="1"/>
  <c r="AC153" i="1"/>
  <c r="R153" i="1"/>
  <c r="Z153" i="1"/>
  <c r="AA153" i="1"/>
  <c r="U153" i="1"/>
  <c r="S153" i="1"/>
  <c r="V153" i="1"/>
  <c r="AD153" i="1"/>
  <c r="A155" i="1" l="1"/>
  <c r="AE154" i="1"/>
  <c r="AB154" i="1"/>
  <c r="X154" i="1"/>
  <c r="T154" i="1"/>
  <c r="Z154" i="1"/>
  <c r="P154" i="1"/>
  <c r="AA154" i="1"/>
  <c r="AG154" i="1"/>
  <c r="S154" i="1"/>
  <c r="R154" i="1"/>
  <c r="W154" i="1"/>
  <c r="M154" i="1"/>
  <c r="O154" i="1"/>
  <c r="N154" i="1"/>
  <c r="AF154" i="1"/>
  <c r="U154" i="1"/>
  <c r="Q154" i="1"/>
  <c r="V154" i="1"/>
  <c r="AD154" i="1"/>
  <c r="AC154" i="1"/>
  <c r="Y154" i="1"/>
  <c r="A156" i="1" l="1"/>
  <c r="AE155" i="1"/>
  <c r="AA155" i="1"/>
  <c r="W155" i="1"/>
  <c r="AC155" i="1"/>
  <c r="V155" i="1"/>
  <c r="M155" i="1"/>
  <c r="N155" i="1"/>
  <c r="U155" i="1"/>
  <c r="R155" i="1"/>
  <c r="P155" i="1"/>
  <c r="S155" i="1"/>
  <c r="T155" i="1"/>
  <c r="Q155" i="1"/>
  <c r="X155" i="1"/>
  <c r="O155" i="1"/>
  <c r="AG155" i="1"/>
  <c r="AD155" i="1"/>
  <c r="Z155" i="1"/>
  <c r="AB155" i="1"/>
  <c r="AF155" i="1"/>
  <c r="Y155" i="1"/>
  <c r="A157" i="1" l="1"/>
  <c r="Z156" i="1"/>
  <c r="R156" i="1"/>
  <c r="AG156" i="1"/>
  <c r="X156" i="1"/>
  <c r="N156" i="1"/>
  <c r="Y156" i="1"/>
  <c r="P156" i="1"/>
  <c r="Q156" i="1"/>
  <c r="AD156" i="1"/>
  <c r="O156" i="1"/>
  <c r="V156" i="1"/>
  <c r="T156" i="1"/>
  <c r="S156" i="1"/>
  <c r="W156" i="1"/>
  <c r="AC156" i="1"/>
  <c r="AE156" i="1"/>
  <c r="U156" i="1"/>
  <c r="AF156" i="1"/>
  <c r="AB156" i="1"/>
  <c r="M156" i="1"/>
  <c r="AA156" i="1"/>
  <c r="A158" i="1" l="1"/>
  <c r="M157" i="1"/>
  <c r="AC157" i="1"/>
  <c r="T157" i="1"/>
  <c r="U157" i="1"/>
  <c r="AF157" i="1"/>
  <c r="X157" i="1"/>
  <c r="Y157" i="1"/>
  <c r="AA157" i="1"/>
  <c r="Q157" i="1"/>
  <c r="AB157" i="1"/>
  <c r="AG157" i="1"/>
  <c r="O157" i="1"/>
  <c r="V157" i="1"/>
  <c r="R157" i="1"/>
  <c r="W157" i="1"/>
  <c r="P157" i="1"/>
  <c r="AE157" i="1"/>
  <c r="AD157" i="1"/>
  <c r="N157" i="1"/>
  <c r="Z157" i="1"/>
  <c r="S157" i="1"/>
  <c r="A159" i="1" l="1"/>
  <c r="AG158" i="1"/>
  <c r="AF158" i="1"/>
  <c r="AE158" i="1"/>
  <c r="AB158" i="1"/>
  <c r="AC158" i="1"/>
  <c r="W158" i="1"/>
  <c r="N158" i="1"/>
  <c r="X158" i="1"/>
  <c r="O158" i="1"/>
  <c r="P158" i="1"/>
  <c r="U158" i="1"/>
  <c r="R158" i="1"/>
  <c r="AA158" i="1"/>
  <c r="Y158" i="1"/>
  <c r="S158" i="1"/>
  <c r="AD158" i="1"/>
  <c r="V158" i="1"/>
  <c r="T158" i="1"/>
  <c r="Q158" i="1"/>
  <c r="M158" i="1"/>
  <c r="Z158" i="1"/>
  <c r="A160" i="1" l="1"/>
  <c r="Z159" i="1"/>
  <c r="S159" i="1"/>
  <c r="AG159" i="1"/>
  <c r="N159" i="1"/>
  <c r="Y159" i="1"/>
  <c r="AE159" i="1"/>
  <c r="AB159" i="1"/>
  <c r="Q159" i="1"/>
  <c r="W159" i="1"/>
  <c r="T159" i="1"/>
  <c r="AA159" i="1"/>
  <c r="R159" i="1"/>
  <c r="O159" i="1"/>
  <c r="U159" i="1"/>
  <c r="AF159" i="1"/>
  <c r="X159" i="1"/>
  <c r="AD159" i="1"/>
  <c r="P159" i="1"/>
  <c r="V159" i="1"/>
  <c r="M159" i="1"/>
  <c r="AC159" i="1"/>
  <c r="AD160" i="1" l="1"/>
  <c r="S160" i="1"/>
  <c r="V160" i="1"/>
  <c r="W160" i="1"/>
  <c r="R160" i="1"/>
  <c r="O160" i="1"/>
  <c r="AC160" i="1"/>
  <c r="U160" i="1"/>
  <c r="AE160" i="1"/>
  <c r="N160" i="1"/>
  <c r="M160" i="1"/>
  <c r="Z160" i="1"/>
  <c r="AB160" i="1"/>
  <c r="T160" i="1"/>
  <c r="AG160" i="1"/>
  <c r="Q160" i="1"/>
  <c r="P160" i="1"/>
  <c r="AA160" i="1"/>
  <c r="AF160" i="1"/>
  <c r="Y160" i="1"/>
  <c r="X160" i="1"/>
  <c r="A161" i="1"/>
  <c r="A162" i="1" l="1"/>
  <c r="W161" i="1"/>
  <c r="Z161" i="1"/>
  <c r="P161" i="1"/>
  <c r="AD161" i="1"/>
  <c r="AG161" i="1"/>
  <c r="V161" i="1"/>
  <c r="AB161" i="1"/>
  <c r="Y161" i="1"/>
  <c r="N161" i="1"/>
  <c r="T161" i="1"/>
  <c r="AE161" i="1"/>
  <c r="O161" i="1"/>
  <c r="AA161" i="1"/>
  <c r="AC161" i="1"/>
  <c r="AF161" i="1"/>
  <c r="U161" i="1"/>
  <c r="R161" i="1"/>
  <c r="Q161" i="1"/>
  <c r="X161" i="1"/>
  <c r="M161" i="1"/>
  <c r="S161" i="1"/>
  <c r="A163" i="1" l="1"/>
  <c r="M162" i="1"/>
  <c r="AA162" i="1"/>
  <c r="S162" i="1"/>
  <c r="T162" i="1"/>
  <c r="O162" i="1"/>
  <c r="Z162" i="1"/>
  <c r="AF162" i="1"/>
  <c r="AC162" i="1"/>
  <c r="R162" i="1"/>
  <c r="X162" i="1"/>
  <c r="AG162" i="1"/>
  <c r="AE162" i="1"/>
  <c r="Y162" i="1"/>
  <c r="W162" i="1"/>
  <c r="V162" i="1"/>
  <c r="Q162" i="1"/>
  <c r="AD162" i="1"/>
  <c r="U162" i="1"/>
  <c r="AB162" i="1"/>
  <c r="N162" i="1"/>
  <c r="P162" i="1"/>
  <c r="A164" i="1" l="1"/>
  <c r="AE163" i="1"/>
  <c r="T163" i="1"/>
  <c r="W163" i="1"/>
  <c r="X163" i="1"/>
  <c r="M163" i="1"/>
  <c r="S163" i="1"/>
  <c r="P163" i="1"/>
  <c r="AD163" i="1"/>
  <c r="V163" i="1"/>
  <c r="Q163" i="1"/>
  <c r="AB163" i="1"/>
  <c r="R163" i="1"/>
  <c r="AA163" i="1"/>
  <c r="AF163" i="1"/>
  <c r="O163" i="1"/>
  <c r="N163" i="1"/>
  <c r="AC163" i="1"/>
  <c r="U163" i="1"/>
  <c r="Z163" i="1"/>
  <c r="AG163" i="1"/>
  <c r="Y163" i="1"/>
  <c r="A165" i="1" l="1"/>
  <c r="X164" i="1"/>
  <c r="AA164" i="1"/>
  <c r="Q164" i="1"/>
  <c r="AE164" i="1"/>
  <c r="W164" i="1"/>
  <c r="AC164" i="1"/>
  <c r="Z164" i="1"/>
  <c r="O164" i="1"/>
  <c r="U164" i="1"/>
  <c r="AD164" i="1"/>
  <c r="V164" i="1"/>
  <c r="N164" i="1"/>
  <c r="AG164" i="1"/>
  <c r="P164" i="1"/>
  <c r="T164" i="1"/>
  <c r="M164" i="1"/>
  <c r="R164" i="1"/>
  <c r="AF164" i="1"/>
  <c r="S164" i="1"/>
  <c r="Y164" i="1"/>
  <c r="AB164" i="1"/>
  <c r="A166" i="1" l="1"/>
  <c r="N165" i="1"/>
  <c r="AB165" i="1"/>
  <c r="T165" i="1"/>
  <c r="U165" i="1"/>
  <c r="P165" i="1"/>
  <c r="M165" i="1"/>
  <c r="AA165" i="1"/>
  <c r="AG165" i="1"/>
  <c r="AD165" i="1"/>
  <c r="S165" i="1"/>
  <c r="Y165" i="1"/>
  <c r="W165" i="1"/>
  <c r="AE165" i="1"/>
  <c r="V165" i="1"/>
  <c r="AC165" i="1"/>
  <c r="X165" i="1"/>
  <c r="Z165" i="1"/>
  <c r="R165" i="1"/>
  <c r="Q165" i="1"/>
  <c r="O165" i="1"/>
  <c r="AF165" i="1"/>
  <c r="A167" i="1" l="1"/>
  <c r="AG166" i="1"/>
  <c r="V166" i="1"/>
  <c r="Y166" i="1"/>
  <c r="Z166" i="1"/>
  <c r="O166" i="1"/>
  <c r="U166" i="1"/>
  <c r="R166" i="1"/>
  <c r="AF166" i="1"/>
  <c r="S166" i="1"/>
  <c r="N166" i="1"/>
  <c r="X166" i="1"/>
  <c r="Q166" i="1"/>
  <c r="P166" i="1"/>
  <c r="AE166" i="1"/>
  <c r="AB166" i="1"/>
  <c r="W166" i="1"/>
  <c r="T166" i="1"/>
  <c r="M166" i="1"/>
  <c r="AC166" i="1"/>
  <c r="AD166" i="1"/>
  <c r="AA166" i="1"/>
  <c r="A168" i="1" l="1"/>
  <c r="Z167" i="1"/>
  <c r="AC167" i="1"/>
  <c r="S167" i="1"/>
  <c r="AG167" i="1"/>
  <c r="Y167" i="1"/>
  <c r="AE167" i="1"/>
  <c r="AB167" i="1"/>
  <c r="Q167" i="1"/>
  <c r="W167" i="1"/>
  <c r="U167" i="1"/>
  <c r="T167" i="1"/>
  <c r="AA167" i="1"/>
  <c r="R167" i="1"/>
  <c r="O167" i="1"/>
  <c r="M167" i="1"/>
  <c r="AF167" i="1"/>
  <c r="P167" i="1"/>
  <c r="X167" i="1"/>
  <c r="AD167" i="1"/>
  <c r="V167" i="1"/>
  <c r="N167" i="1"/>
  <c r="A169" i="1" l="1"/>
  <c r="P168" i="1"/>
  <c r="AD168" i="1"/>
  <c r="V168" i="1"/>
  <c r="W168" i="1"/>
  <c r="R168" i="1"/>
  <c r="O168" i="1"/>
  <c r="AC168" i="1"/>
  <c r="AF168" i="1"/>
  <c r="U168" i="1"/>
  <c r="AA168" i="1"/>
  <c r="X168" i="1"/>
  <c r="AE168" i="1"/>
  <c r="N168" i="1"/>
  <c r="M168" i="1"/>
  <c r="Z168" i="1"/>
  <c r="AG168" i="1"/>
  <c r="AB168" i="1"/>
  <c r="S168" i="1"/>
  <c r="T168" i="1"/>
  <c r="Y168" i="1"/>
  <c r="Q168" i="1"/>
  <c r="A170" i="1" l="1"/>
  <c r="W169" i="1"/>
  <c r="Z169" i="1"/>
  <c r="AA169" i="1"/>
  <c r="P169" i="1"/>
  <c r="V169" i="1"/>
  <c r="T169" i="1"/>
  <c r="S169" i="1"/>
  <c r="AG169" i="1"/>
  <c r="N169" i="1"/>
  <c r="Y169" i="1"/>
  <c r="AE169" i="1"/>
  <c r="O169" i="1"/>
  <c r="AD169" i="1"/>
  <c r="AC169" i="1"/>
  <c r="AF169" i="1"/>
  <c r="U169" i="1"/>
  <c r="R169" i="1"/>
  <c r="Q169" i="1"/>
  <c r="X169" i="1"/>
  <c r="M169" i="1"/>
  <c r="AB169" i="1"/>
  <c r="A171" i="1" l="1"/>
  <c r="M170" i="1"/>
  <c r="AA170" i="1"/>
  <c r="AD170" i="1"/>
  <c r="T170" i="1"/>
  <c r="Z170" i="1"/>
  <c r="AF170" i="1"/>
  <c r="AC170" i="1"/>
  <c r="R170" i="1"/>
  <c r="X170" i="1"/>
  <c r="Q170" i="1"/>
  <c r="S170" i="1"/>
  <c r="V170" i="1"/>
  <c r="U170" i="1"/>
  <c r="AB170" i="1"/>
  <c r="AG170" i="1"/>
  <c r="AE170" i="1"/>
  <c r="N170" i="1"/>
  <c r="Y170" i="1"/>
  <c r="P170" i="1"/>
  <c r="O170" i="1"/>
  <c r="W170" i="1"/>
  <c r="A172" i="1" l="1"/>
  <c r="Q171" i="1"/>
  <c r="AE171" i="1"/>
  <c r="W171" i="1"/>
  <c r="X171" i="1"/>
  <c r="M171" i="1"/>
  <c r="S171" i="1"/>
  <c r="P171" i="1"/>
  <c r="AD171" i="1"/>
  <c r="AG171" i="1"/>
  <c r="V171" i="1"/>
  <c r="AB171" i="1"/>
  <c r="AA171" i="1"/>
  <c r="Y171" i="1"/>
  <c r="AF171" i="1"/>
  <c r="O171" i="1"/>
  <c r="T171" i="1"/>
  <c r="AC171" i="1"/>
  <c r="U171" i="1"/>
  <c r="N171" i="1"/>
  <c r="Z171" i="1"/>
  <c r="R171" i="1"/>
  <c r="AC172" i="1" l="1"/>
  <c r="U172" i="1"/>
  <c r="M172" i="1"/>
  <c r="X172" i="1"/>
  <c r="AB172" i="1"/>
  <c r="T172" i="1"/>
  <c r="P172" i="1"/>
  <c r="AA172" i="1"/>
  <c r="S172" i="1"/>
  <c r="Z172" i="1"/>
  <c r="R172" i="1"/>
  <c r="AG172" i="1"/>
  <c r="Y172" i="1"/>
  <c r="Q172" i="1"/>
  <c r="AE172" i="1"/>
  <c r="W172" i="1"/>
  <c r="O172" i="1"/>
  <c r="AD172" i="1"/>
  <c r="V172" i="1"/>
  <c r="N172" i="1"/>
  <c r="AF172" i="1"/>
  <c r="A173" i="1"/>
  <c r="A174" i="1" l="1"/>
  <c r="N173" i="1"/>
  <c r="AB173" i="1"/>
  <c r="AE173" i="1"/>
  <c r="U173" i="1"/>
  <c r="M173" i="1"/>
  <c r="AA173" i="1"/>
  <c r="AG173" i="1"/>
  <c r="AD173" i="1"/>
  <c r="S173" i="1"/>
  <c r="Y173" i="1"/>
  <c r="T173" i="1"/>
  <c r="Z173" i="1"/>
  <c r="X173" i="1"/>
  <c r="W173" i="1"/>
  <c r="V173" i="1"/>
  <c r="AC173" i="1"/>
  <c r="R173" i="1"/>
  <c r="AF173" i="1"/>
  <c r="Q173" i="1"/>
  <c r="O173" i="1"/>
  <c r="P173" i="1"/>
  <c r="R174" i="1" l="1"/>
  <c r="AF174" i="1"/>
  <c r="X174" i="1"/>
  <c r="Y174" i="1"/>
  <c r="N174" i="1"/>
  <c r="T174" i="1"/>
  <c r="Q174" i="1"/>
  <c r="AE174" i="1"/>
  <c r="W174" i="1"/>
  <c r="AC174" i="1"/>
  <c r="O174" i="1"/>
  <c r="U174" i="1"/>
  <c r="M174" i="1"/>
  <c r="Z174" i="1"/>
  <c r="AG174" i="1"/>
  <c r="P174" i="1"/>
  <c r="AD174" i="1"/>
  <c r="V174" i="1"/>
  <c r="AB174" i="1"/>
  <c r="AA174" i="1"/>
  <c r="S174" i="1"/>
  <c r="A175" i="1"/>
  <c r="A176" i="1" l="1"/>
  <c r="Y175" i="1"/>
  <c r="AB175" i="1"/>
  <c r="AC175" i="1"/>
  <c r="R175" i="1"/>
  <c r="X175" i="1"/>
  <c r="U175" i="1"/>
  <c r="P175" i="1"/>
  <c r="M175" i="1"/>
  <c r="AA175" i="1"/>
  <c r="AG175" i="1"/>
  <c r="T175" i="1"/>
  <c r="S175" i="1"/>
  <c r="Q175" i="1"/>
  <c r="AE175" i="1"/>
  <c r="V175" i="1"/>
  <c r="O175" i="1"/>
  <c r="Z175" i="1"/>
  <c r="AF175" i="1"/>
  <c r="N175" i="1"/>
  <c r="W175" i="1"/>
  <c r="AD175" i="1"/>
  <c r="O176" i="1" l="1"/>
  <c r="AC176" i="1"/>
  <c r="AF176" i="1"/>
  <c r="V176" i="1"/>
  <c r="N176" i="1"/>
  <c r="AB176" i="1"/>
  <c r="AE176" i="1"/>
  <c r="T176" i="1"/>
  <c r="Z176" i="1"/>
  <c r="X176" i="1"/>
  <c r="W176" i="1"/>
  <c r="AD176" i="1"/>
  <c r="P176" i="1"/>
  <c r="Y176" i="1"/>
  <c r="R176" i="1"/>
  <c r="U176" i="1"/>
  <c r="AA176" i="1"/>
  <c r="M176" i="1"/>
  <c r="S176" i="1"/>
  <c r="AG176" i="1"/>
  <c r="Q176" i="1"/>
  <c r="A177" i="1"/>
  <c r="A178" i="1" l="1"/>
  <c r="S177" i="1"/>
  <c r="AG177" i="1"/>
  <c r="Y177" i="1"/>
  <c r="Z177" i="1"/>
  <c r="O177" i="1"/>
  <c r="U177" i="1"/>
  <c r="R177" i="1"/>
  <c r="AF177" i="1"/>
  <c r="M177" i="1"/>
  <c r="X177" i="1"/>
  <c r="AD177" i="1"/>
  <c r="AC177" i="1"/>
  <c r="V177" i="1"/>
  <c r="AB177" i="1"/>
  <c r="AE177" i="1"/>
  <c r="AA177" i="1"/>
  <c r="Q177" i="1"/>
  <c r="W177" i="1"/>
  <c r="P177" i="1"/>
  <c r="N177" i="1"/>
  <c r="T177" i="1"/>
  <c r="Z178" i="1" l="1"/>
  <c r="AC178" i="1"/>
  <c r="AD178" i="1"/>
  <c r="S178" i="1"/>
  <c r="Y178" i="1"/>
  <c r="V178" i="1"/>
  <c r="Q178" i="1"/>
  <c r="N178" i="1"/>
  <c r="AB178" i="1"/>
  <c r="P178" i="1"/>
  <c r="AG178" i="1"/>
  <c r="W178" i="1"/>
  <c r="AA178" i="1"/>
  <c r="R178" i="1"/>
  <c r="U178" i="1"/>
  <c r="T178" i="1"/>
  <c r="AF178" i="1"/>
  <c r="O178" i="1"/>
  <c r="M178" i="1"/>
  <c r="X178" i="1"/>
  <c r="AE178" i="1"/>
  <c r="A179" i="1"/>
  <c r="A180" i="1" l="1"/>
  <c r="P179" i="1"/>
  <c r="AD179" i="1"/>
  <c r="AG179" i="1"/>
  <c r="W179" i="1"/>
  <c r="O179" i="1"/>
  <c r="AC179" i="1"/>
  <c r="AF179" i="1"/>
  <c r="U179" i="1"/>
  <c r="AA179" i="1"/>
  <c r="AB179" i="1"/>
  <c r="V179" i="1"/>
  <c r="T179" i="1"/>
  <c r="N179" i="1"/>
  <c r="Y179" i="1"/>
  <c r="X179" i="1"/>
  <c r="AE179" i="1"/>
  <c r="S179" i="1"/>
  <c r="Q179" i="1"/>
  <c r="M179" i="1"/>
  <c r="Z179" i="1"/>
  <c r="R179" i="1"/>
  <c r="A181" i="1" l="1"/>
  <c r="T180" i="1"/>
  <c r="Z180" i="1"/>
  <c r="AA180" i="1"/>
  <c r="P180" i="1"/>
  <c r="V180" i="1"/>
  <c r="S180" i="1"/>
  <c r="AG180" i="1"/>
  <c r="N180" i="1"/>
  <c r="Y180" i="1"/>
  <c r="AE180" i="1"/>
  <c r="Q180" i="1"/>
  <c r="AF180" i="1"/>
  <c r="X180" i="1"/>
  <c r="W180" i="1"/>
  <c r="O180" i="1"/>
  <c r="AD180" i="1"/>
  <c r="AC180" i="1"/>
  <c r="AB180" i="1"/>
  <c r="R180" i="1"/>
  <c r="M180" i="1"/>
  <c r="U180" i="1"/>
  <c r="M181" i="1" l="1"/>
  <c r="AA181" i="1"/>
  <c r="AD181" i="1"/>
  <c r="AE181" i="1"/>
  <c r="T181" i="1"/>
  <c r="Z181" i="1"/>
  <c r="W181" i="1"/>
  <c r="R181" i="1"/>
  <c r="O181" i="1"/>
  <c r="AC181" i="1"/>
  <c r="S181" i="1"/>
  <c r="AG181" i="1"/>
  <c r="X181" i="1"/>
  <c r="Y181" i="1"/>
  <c r="V181" i="1"/>
  <c r="U181" i="1"/>
  <c r="Q181" i="1"/>
  <c r="P181" i="1"/>
  <c r="AB181" i="1"/>
  <c r="N181" i="1"/>
  <c r="AF181" i="1"/>
  <c r="A182" i="1"/>
  <c r="Q182" i="1" l="1"/>
  <c r="AE182" i="1"/>
  <c r="X182" i="1"/>
  <c r="P182" i="1"/>
  <c r="AD182" i="1"/>
  <c r="AG182" i="1"/>
  <c r="V182" i="1"/>
  <c r="AB182" i="1"/>
  <c r="N182" i="1"/>
  <c r="T182" i="1"/>
  <c r="Z182" i="1"/>
  <c r="Y182" i="1"/>
  <c r="AF182" i="1"/>
  <c r="R182" i="1"/>
  <c r="AC182" i="1"/>
  <c r="W182" i="1"/>
  <c r="M182" i="1"/>
  <c r="O182" i="1"/>
  <c r="U182" i="1"/>
  <c r="AA182" i="1"/>
  <c r="S182" i="1"/>
  <c r="A183" i="1"/>
  <c r="A184" i="1" l="1"/>
  <c r="U183" i="1"/>
  <c r="M183" i="1"/>
  <c r="AA183" i="1"/>
  <c r="AB183" i="1"/>
  <c r="Q183" i="1"/>
  <c r="W183" i="1"/>
  <c r="T183" i="1"/>
  <c r="O183" i="1"/>
  <c r="Z183" i="1"/>
  <c r="AF183" i="1"/>
  <c r="AC183" i="1"/>
  <c r="S183" i="1"/>
  <c r="X183" i="1"/>
  <c r="P183" i="1"/>
  <c r="N183" i="1"/>
  <c r="AD183" i="1"/>
  <c r="AG183" i="1"/>
  <c r="Y183" i="1"/>
  <c r="AE183" i="1"/>
  <c r="R183" i="1"/>
  <c r="V183" i="1"/>
  <c r="A185" i="1" l="1"/>
  <c r="N184" i="1"/>
  <c r="AB184" i="1"/>
  <c r="AE184" i="1"/>
  <c r="AF184" i="1"/>
  <c r="U184" i="1"/>
  <c r="AA184" i="1"/>
  <c r="X184" i="1"/>
  <c r="M184" i="1"/>
  <c r="S184" i="1"/>
  <c r="P184" i="1"/>
  <c r="AD184" i="1"/>
  <c r="W184" i="1"/>
  <c r="V184" i="1"/>
  <c r="Y184" i="1"/>
  <c r="O184" i="1"/>
  <c r="AC184" i="1"/>
  <c r="T184" i="1"/>
  <c r="Z184" i="1"/>
  <c r="R184" i="1"/>
  <c r="Q184" i="1"/>
  <c r="AG184" i="1"/>
  <c r="R185" i="1" l="1"/>
  <c r="AF185" i="1"/>
  <c r="Y185" i="1"/>
  <c r="Q185" i="1"/>
  <c r="AE185" i="1"/>
  <c r="W185" i="1"/>
  <c r="AC185" i="1"/>
  <c r="S185" i="1"/>
  <c r="N185" i="1"/>
  <c r="X185" i="1"/>
  <c r="P185" i="1"/>
  <c r="U185" i="1"/>
  <c r="AD185" i="1"/>
  <c r="AA185" i="1"/>
  <c r="Z185" i="1"/>
  <c r="AG185" i="1"/>
  <c r="V185" i="1"/>
  <c r="M185" i="1"/>
  <c r="T185" i="1"/>
  <c r="AB185" i="1"/>
  <c r="O185" i="1"/>
  <c r="A186" i="1"/>
  <c r="A187" i="1" l="1"/>
  <c r="V186" i="1"/>
  <c r="N186" i="1"/>
  <c r="AB186" i="1"/>
  <c r="AC186" i="1"/>
  <c r="R186" i="1"/>
  <c r="X186" i="1"/>
  <c r="U186" i="1"/>
  <c r="P186" i="1"/>
  <c r="M186" i="1"/>
  <c r="AA186" i="1"/>
  <c r="AG186" i="1"/>
  <c r="S186" i="1"/>
  <c r="O186" i="1"/>
  <c r="AF186" i="1"/>
  <c r="AE186" i="1"/>
  <c r="Z186" i="1"/>
  <c r="Q186" i="1"/>
  <c r="AD186" i="1"/>
  <c r="T186" i="1"/>
  <c r="Y186" i="1"/>
  <c r="W186" i="1"/>
  <c r="A188" i="1" l="1"/>
  <c r="O187" i="1"/>
  <c r="AC187" i="1"/>
  <c r="AF187" i="1"/>
  <c r="AG187" i="1"/>
  <c r="V187" i="1"/>
  <c r="AB187" i="1"/>
  <c r="Y187" i="1"/>
  <c r="N187" i="1"/>
  <c r="T187" i="1"/>
  <c r="Q187" i="1"/>
  <c r="AE187" i="1"/>
  <c r="Z187" i="1"/>
  <c r="AA187" i="1"/>
  <c r="U187" i="1"/>
  <c r="S187" i="1"/>
  <c r="M187" i="1"/>
  <c r="R187" i="1"/>
  <c r="X187" i="1"/>
  <c r="W187" i="1"/>
  <c r="P187" i="1"/>
  <c r="AD187" i="1"/>
  <c r="S188" i="1" l="1"/>
  <c r="AG188" i="1"/>
  <c r="Z188" i="1"/>
  <c r="R188" i="1"/>
  <c r="AF188" i="1"/>
  <c r="X188" i="1"/>
  <c r="AD188" i="1"/>
  <c r="P188" i="1"/>
  <c r="AE188" i="1"/>
  <c r="W188" i="1"/>
  <c r="O188" i="1"/>
  <c r="T188" i="1"/>
  <c r="Y188" i="1"/>
  <c r="AC188" i="1"/>
  <c r="Q188" i="1"/>
  <c r="V188" i="1"/>
  <c r="N188" i="1"/>
  <c r="AB188" i="1"/>
  <c r="U188" i="1"/>
  <c r="M188" i="1"/>
  <c r="AA188" i="1"/>
  <c r="A189" i="1"/>
  <c r="X189" i="1" l="1"/>
  <c r="S189" i="1"/>
  <c r="P189" i="1"/>
  <c r="AD189" i="1"/>
  <c r="M189" i="1"/>
  <c r="AE189" i="1"/>
  <c r="T189" i="1"/>
  <c r="Z189" i="1"/>
  <c r="W189" i="1"/>
  <c r="R189" i="1"/>
  <c r="O189" i="1"/>
  <c r="AC189" i="1"/>
  <c r="AA189" i="1"/>
  <c r="AG189" i="1"/>
  <c r="AF189" i="1"/>
  <c r="V189" i="1"/>
  <c r="AB189" i="1"/>
  <c r="N189" i="1"/>
  <c r="Q189" i="1"/>
  <c r="Y189" i="1"/>
  <c r="U189" i="1"/>
  <c r="A190" i="1"/>
  <c r="A191" i="1" s="1"/>
  <c r="A192" i="1" l="1"/>
  <c r="AC191" i="1"/>
  <c r="AB191" i="1"/>
  <c r="AA191" i="1"/>
  <c r="Z191" i="1"/>
  <c r="AE191" i="1"/>
  <c r="P191" i="1"/>
  <c r="AD191" i="1"/>
  <c r="O191" i="1"/>
  <c r="Y191" i="1"/>
  <c r="N191" i="1"/>
  <c r="V191" i="1"/>
  <c r="X191" i="1"/>
  <c r="U191" i="1"/>
  <c r="M191" i="1"/>
  <c r="S191" i="1"/>
  <c r="W191" i="1"/>
  <c r="T191" i="1"/>
  <c r="AG191" i="1"/>
  <c r="R191" i="1"/>
  <c r="AF191" i="1"/>
  <c r="Q191" i="1"/>
  <c r="R190" i="1"/>
  <c r="AF190" i="1"/>
  <c r="M190" i="1"/>
  <c r="Y190" i="1"/>
  <c r="AE190" i="1"/>
  <c r="AB190" i="1"/>
  <c r="Q190" i="1"/>
  <c r="W190" i="1"/>
  <c r="AC190" i="1"/>
  <c r="T190" i="1"/>
  <c r="O190" i="1"/>
  <c r="AA190" i="1"/>
  <c r="Z190" i="1"/>
  <c r="U190" i="1"/>
  <c r="S190" i="1"/>
  <c r="AG190" i="1"/>
  <c r="AD190" i="1"/>
  <c r="X190" i="1"/>
  <c r="N190" i="1"/>
  <c r="P190" i="1"/>
  <c r="V190" i="1"/>
  <c r="A193" i="1" l="1"/>
  <c r="AG192" i="1"/>
  <c r="Y192" i="1"/>
  <c r="AF192" i="1"/>
  <c r="X192" i="1"/>
  <c r="AE192" i="1"/>
  <c r="W192" i="1"/>
  <c r="AD192" i="1"/>
  <c r="V192" i="1"/>
  <c r="O192" i="1"/>
  <c r="N192" i="1"/>
  <c r="AC192" i="1"/>
  <c r="U192" i="1"/>
  <c r="M192" i="1"/>
  <c r="R192" i="1"/>
  <c r="AB192" i="1"/>
  <c r="T192" i="1"/>
  <c r="AA192" i="1"/>
  <c r="S192" i="1"/>
  <c r="Q192" i="1"/>
  <c r="P192" i="1"/>
  <c r="Z192" i="1"/>
  <c r="A194" i="1" l="1"/>
  <c r="AC193" i="1"/>
  <c r="AB193" i="1"/>
  <c r="AA193" i="1"/>
  <c r="Z193" i="1"/>
  <c r="W193" i="1"/>
  <c r="N193" i="1"/>
  <c r="V193" i="1"/>
  <c r="U193" i="1"/>
  <c r="M193" i="1"/>
  <c r="AG193" i="1"/>
  <c r="T193" i="1"/>
  <c r="AF193" i="1"/>
  <c r="S193" i="1"/>
  <c r="AE193" i="1"/>
  <c r="R193" i="1"/>
  <c r="AD193" i="1"/>
  <c r="Y193" i="1"/>
  <c r="P193" i="1"/>
  <c r="X193" i="1"/>
  <c r="O193" i="1"/>
  <c r="Q193" i="1"/>
  <c r="A195" i="1" l="1"/>
  <c r="AG194" i="1"/>
  <c r="Y194" i="1"/>
  <c r="AF194" i="1"/>
  <c r="X194" i="1"/>
  <c r="AE194" i="1"/>
  <c r="W194" i="1"/>
  <c r="AD194" i="1"/>
  <c r="V194" i="1"/>
  <c r="AA194" i="1"/>
  <c r="U194" i="1"/>
  <c r="M194" i="1"/>
  <c r="Z194" i="1"/>
  <c r="T194" i="1"/>
  <c r="S194" i="1"/>
  <c r="R194" i="1"/>
  <c r="Q194" i="1"/>
  <c r="P194" i="1"/>
  <c r="AC194" i="1"/>
  <c r="O194" i="1"/>
  <c r="AB194" i="1"/>
  <c r="N194" i="1"/>
  <c r="A196" i="1" l="1"/>
  <c r="AC195" i="1"/>
  <c r="AB195" i="1"/>
  <c r="AA195" i="1"/>
  <c r="Z195" i="1"/>
  <c r="T195" i="1"/>
  <c r="AE195" i="1"/>
  <c r="U195" i="1"/>
  <c r="O195" i="1"/>
  <c r="AD195" i="1"/>
  <c r="S195" i="1"/>
  <c r="Y195" i="1"/>
  <c r="R195" i="1"/>
  <c r="X195" i="1"/>
  <c r="Q195" i="1"/>
  <c r="V195" i="1"/>
  <c r="W195" i="1"/>
  <c r="P195" i="1"/>
  <c r="AG195" i="1"/>
  <c r="N195" i="1"/>
  <c r="AF195" i="1"/>
  <c r="M195" i="1"/>
  <c r="A197" i="1" l="1"/>
  <c r="AG196" i="1"/>
  <c r="Y196" i="1"/>
  <c r="AF196" i="1"/>
  <c r="X196" i="1"/>
  <c r="U196" i="1"/>
  <c r="M196" i="1"/>
  <c r="AE196" i="1"/>
  <c r="W196" i="1"/>
  <c r="AD196" i="1"/>
  <c r="V196" i="1"/>
  <c r="S196" i="1"/>
  <c r="Z196" i="1"/>
  <c r="AC196" i="1"/>
  <c r="T196" i="1"/>
  <c r="AB196" i="1"/>
  <c r="R196" i="1"/>
  <c r="P196" i="1"/>
  <c r="AA196" i="1"/>
  <c r="Q196" i="1"/>
  <c r="O196" i="1"/>
  <c r="N196" i="1"/>
  <c r="A198" i="1" l="1"/>
  <c r="AC197" i="1"/>
  <c r="AB197" i="1"/>
  <c r="T197" i="1"/>
  <c r="AA197" i="1"/>
  <c r="Z197" i="1"/>
  <c r="R197" i="1"/>
  <c r="W197" i="1"/>
  <c r="N197" i="1"/>
  <c r="V197" i="1"/>
  <c r="M197" i="1"/>
  <c r="AG197" i="1"/>
  <c r="AD197" i="1"/>
  <c r="AF197" i="1"/>
  <c r="U197" i="1"/>
  <c r="AE197" i="1"/>
  <c r="S197" i="1"/>
  <c r="Y197" i="1"/>
  <c r="P197" i="1"/>
  <c r="Q197" i="1"/>
  <c r="X197" i="1"/>
  <c r="O197" i="1"/>
  <c r="A199" i="1" l="1"/>
  <c r="AG198" i="1"/>
  <c r="Y198" i="1"/>
  <c r="AF198" i="1"/>
  <c r="X198" i="1"/>
  <c r="S198" i="1"/>
  <c r="AE198" i="1"/>
  <c r="W198" i="1"/>
  <c r="AD198" i="1"/>
  <c r="V198" i="1"/>
  <c r="Q198" i="1"/>
  <c r="AA198" i="1"/>
  <c r="O198" i="1"/>
  <c r="Z198" i="1"/>
  <c r="N198" i="1"/>
  <c r="M198" i="1"/>
  <c r="T198" i="1"/>
  <c r="U198" i="1"/>
  <c r="AC198" i="1"/>
  <c r="R198" i="1"/>
  <c r="AB198" i="1"/>
  <c r="P198" i="1"/>
  <c r="A200" i="1" l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C199" i="1"/>
  <c r="AB199" i="1"/>
  <c r="R199" i="1"/>
  <c r="AA199" i="1"/>
  <c r="Z199" i="1"/>
  <c r="P199" i="1"/>
  <c r="AE199" i="1"/>
  <c r="Q199" i="1"/>
  <c r="AD199" i="1"/>
  <c r="O199" i="1"/>
  <c r="Y199" i="1"/>
  <c r="N199" i="1"/>
  <c r="X199" i="1"/>
  <c r="M199" i="1"/>
  <c r="W199" i="1"/>
  <c r="AG199" i="1"/>
  <c r="T199" i="1"/>
  <c r="AF199" i="1"/>
  <c r="S199" i="1"/>
  <c r="V199" i="1"/>
  <c r="U199" i="1"/>
  <c r="A219" i="1" l="1"/>
  <c r="AG218" i="1"/>
  <c r="Y218" i="1"/>
  <c r="AF218" i="1"/>
  <c r="X218" i="1"/>
  <c r="Q218" i="1"/>
  <c r="AE218" i="1"/>
  <c r="W218" i="1"/>
  <c r="AD218" i="1"/>
  <c r="V218" i="1"/>
  <c r="O218" i="1"/>
  <c r="S218" i="1"/>
  <c r="R218" i="1"/>
  <c r="AC218" i="1"/>
  <c r="P218" i="1"/>
  <c r="AB218" i="1"/>
  <c r="N218" i="1"/>
  <c r="AA218" i="1"/>
  <c r="M218" i="1"/>
  <c r="Z218" i="1"/>
  <c r="U218" i="1"/>
  <c r="T218" i="1"/>
  <c r="A220" i="1" l="1"/>
  <c r="AC219" i="1"/>
  <c r="AB219" i="1"/>
  <c r="P219" i="1"/>
  <c r="AA219" i="1"/>
  <c r="Z219" i="1"/>
  <c r="N219" i="1"/>
  <c r="W219" i="1"/>
  <c r="T219" i="1"/>
  <c r="AD219" i="1"/>
  <c r="M219" i="1"/>
  <c r="V219" i="1"/>
  <c r="S219" i="1"/>
  <c r="AG219" i="1"/>
  <c r="R219" i="1"/>
  <c r="AF219" i="1"/>
  <c r="Q219" i="1"/>
  <c r="AE219" i="1"/>
  <c r="O219" i="1"/>
  <c r="Y219" i="1"/>
  <c r="X219" i="1"/>
  <c r="U219" i="1"/>
  <c r="A221" i="1" l="1"/>
  <c r="AG220" i="1"/>
  <c r="Y220" i="1"/>
  <c r="AF220" i="1"/>
  <c r="X220" i="1"/>
  <c r="O220" i="1"/>
  <c r="AE220" i="1"/>
  <c r="W220" i="1"/>
  <c r="AD220" i="1"/>
  <c r="V220" i="1"/>
  <c r="U220" i="1"/>
  <c r="M220" i="1"/>
  <c r="AA220" i="1"/>
  <c r="Z220" i="1"/>
  <c r="T220" i="1"/>
  <c r="S220" i="1"/>
  <c r="R220" i="1"/>
  <c r="Q220" i="1"/>
  <c r="P220" i="1"/>
  <c r="AC220" i="1"/>
  <c r="N220" i="1"/>
  <c r="AB220" i="1"/>
  <c r="A222" i="1" l="1"/>
  <c r="AC221" i="1"/>
  <c r="AB221" i="1"/>
  <c r="N221" i="1"/>
  <c r="AA221" i="1"/>
  <c r="Z221" i="1"/>
  <c r="T221" i="1"/>
  <c r="AE221" i="1"/>
  <c r="M221" i="1"/>
  <c r="AD221" i="1"/>
  <c r="Y221" i="1"/>
  <c r="U221" i="1"/>
  <c r="X221" i="1"/>
  <c r="S221" i="1"/>
  <c r="V221" i="1"/>
  <c r="Q221" i="1"/>
  <c r="W221" i="1"/>
  <c r="R221" i="1"/>
  <c r="AG221" i="1"/>
  <c r="P221" i="1"/>
  <c r="AF221" i="1"/>
  <c r="O221" i="1"/>
  <c r="A223" i="1" l="1"/>
  <c r="AG222" i="1"/>
  <c r="Y222" i="1"/>
  <c r="AF222" i="1"/>
  <c r="X222" i="1"/>
  <c r="U222" i="1"/>
  <c r="M222" i="1"/>
  <c r="AE222" i="1"/>
  <c r="W222" i="1"/>
  <c r="AD222" i="1"/>
  <c r="V222" i="1"/>
  <c r="S222" i="1"/>
  <c r="O222" i="1"/>
  <c r="N222" i="1"/>
  <c r="AC222" i="1"/>
  <c r="Z222" i="1"/>
  <c r="R222" i="1"/>
  <c r="AB222" i="1"/>
  <c r="AA222" i="1"/>
  <c r="T222" i="1"/>
  <c r="Q222" i="1"/>
  <c r="P222" i="1"/>
  <c r="A224" i="1" l="1"/>
  <c r="AC223" i="1"/>
  <c r="AB223" i="1"/>
  <c r="T223" i="1"/>
  <c r="AA223" i="1"/>
  <c r="Z223" i="1"/>
  <c r="R223" i="1"/>
  <c r="W223" i="1"/>
  <c r="P223" i="1"/>
  <c r="V223" i="1"/>
  <c r="O223" i="1"/>
  <c r="AG223" i="1"/>
  <c r="N223" i="1"/>
  <c r="AF223" i="1"/>
  <c r="M223" i="1"/>
  <c r="AE223" i="1"/>
  <c r="Y223" i="1"/>
  <c r="S223" i="1"/>
  <c r="X223" i="1"/>
  <c r="Q223" i="1"/>
  <c r="AD223" i="1"/>
  <c r="U223" i="1"/>
  <c r="A225" i="1" l="1"/>
  <c r="AG224" i="1"/>
  <c r="Y224" i="1"/>
  <c r="AF224" i="1"/>
  <c r="X224" i="1"/>
  <c r="S224" i="1"/>
  <c r="AE224" i="1"/>
  <c r="W224" i="1"/>
  <c r="AD224" i="1"/>
  <c r="V224" i="1"/>
  <c r="Q224" i="1"/>
  <c r="AA224" i="1"/>
  <c r="R224" i="1"/>
  <c r="Z224" i="1"/>
  <c r="P224" i="1"/>
  <c r="O224" i="1"/>
  <c r="N224" i="1"/>
  <c r="M224" i="1"/>
  <c r="AC224" i="1"/>
  <c r="U224" i="1"/>
  <c r="AB224" i="1"/>
  <c r="T224" i="1"/>
  <c r="A226" i="1" l="1"/>
  <c r="AC225" i="1"/>
  <c r="AB225" i="1"/>
  <c r="R225" i="1"/>
  <c r="AA225" i="1"/>
  <c r="Z225" i="1"/>
  <c r="P225" i="1"/>
  <c r="AE225" i="1"/>
  <c r="T225" i="1"/>
  <c r="V225" i="1"/>
  <c r="AD225" i="1"/>
  <c r="S225" i="1"/>
  <c r="Y225" i="1"/>
  <c r="Q225" i="1"/>
  <c r="X225" i="1"/>
  <c r="O225" i="1"/>
  <c r="W225" i="1"/>
  <c r="N225" i="1"/>
  <c r="M225" i="1"/>
  <c r="AG225" i="1"/>
  <c r="AF225" i="1"/>
  <c r="U225" i="1"/>
  <c r="A227" i="1" l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G226" i="1"/>
  <c r="Y226" i="1"/>
  <c r="AF226" i="1"/>
  <c r="X226" i="1"/>
  <c r="Q226" i="1"/>
  <c r="AE226" i="1"/>
  <c r="W226" i="1"/>
  <c r="AD226" i="1"/>
  <c r="V226" i="1"/>
  <c r="O226" i="1"/>
  <c r="U226" i="1"/>
  <c r="N226" i="1"/>
  <c r="T226" i="1"/>
  <c r="AC226" i="1"/>
  <c r="S226" i="1"/>
  <c r="AB226" i="1"/>
  <c r="R226" i="1"/>
  <c r="AA226" i="1"/>
  <c r="P226" i="1"/>
  <c r="Z226" i="1"/>
  <c r="M226" i="1"/>
  <c r="A246" i="1" l="1"/>
  <c r="AC245" i="1"/>
  <c r="AB245" i="1"/>
  <c r="P245" i="1"/>
  <c r="AA245" i="1"/>
  <c r="Z245" i="1"/>
  <c r="N245" i="1"/>
  <c r="W245" i="1"/>
  <c r="V245" i="1"/>
  <c r="U245" i="1"/>
  <c r="AG245" i="1"/>
  <c r="T245" i="1"/>
  <c r="AD245" i="1"/>
  <c r="AF245" i="1"/>
  <c r="S245" i="1"/>
  <c r="Q245" i="1"/>
  <c r="AE245" i="1"/>
  <c r="R245" i="1"/>
  <c r="Y245" i="1"/>
  <c r="O245" i="1"/>
  <c r="X245" i="1"/>
  <c r="M245" i="1"/>
  <c r="A247" i="1" l="1"/>
  <c r="AG246" i="1"/>
  <c r="Y246" i="1"/>
  <c r="AF246" i="1"/>
  <c r="X246" i="1"/>
  <c r="O246" i="1"/>
  <c r="AE246" i="1"/>
  <c r="W246" i="1"/>
  <c r="AD246" i="1"/>
  <c r="V246" i="1"/>
  <c r="U246" i="1"/>
  <c r="M246" i="1"/>
  <c r="AA246" i="1"/>
  <c r="N246" i="1"/>
  <c r="Z246" i="1"/>
  <c r="R246" i="1"/>
  <c r="T246" i="1"/>
  <c r="S246" i="1"/>
  <c r="AC246" i="1"/>
  <c r="Q246" i="1"/>
  <c r="AB246" i="1"/>
  <c r="P246" i="1"/>
  <c r="A248" i="1" l="1"/>
  <c r="AC247" i="1"/>
  <c r="AB247" i="1"/>
  <c r="N247" i="1"/>
  <c r="AA247" i="1"/>
  <c r="Z247" i="1"/>
  <c r="T247" i="1"/>
  <c r="AE247" i="1"/>
  <c r="P247" i="1"/>
  <c r="AD247" i="1"/>
  <c r="O247" i="1"/>
  <c r="Y247" i="1"/>
  <c r="M247" i="1"/>
  <c r="X247" i="1"/>
  <c r="V247" i="1"/>
  <c r="W247" i="1"/>
  <c r="U247" i="1"/>
  <c r="AG247" i="1"/>
  <c r="R247" i="1"/>
  <c r="AF247" i="1"/>
  <c r="Q247" i="1"/>
  <c r="S247" i="1"/>
  <c r="A249" i="1" l="1"/>
  <c r="AG248" i="1"/>
  <c r="Y248" i="1"/>
  <c r="AF248" i="1"/>
  <c r="X248" i="1"/>
  <c r="U248" i="1"/>
  <c r="M248" i="1"/>
  <c r="AE248" i="1"/>
  <c r="W248" i="1"/>
  <c r="AD248" i="1"/>
  <c r="V248" i="1"/>
  <c r="S248" i="1"/>
  <c r="Q248" i="1"/>
  <c r="P248" i="1"/>
  <c r="AC248" i="1"/>
  <c r="O248" i="1"/>
  <c r="AB248" i="1"/>
  <c r="N248" i="1"/>
  <c r="AA248" i="1"/>
  <c r="Z248" i="1"/>
  <c r="T248" i="1"/>
  <c r="R248" i="1"/>
  <c r="A250" i="1" l="1"/>
  <c r="AC249" i="1"/>
  <c r="AB249" i="1"/>
  <c r="T249" i="1"/>
  <c r="AA249" i="1"/>
  <c r="Z249" i="1"/>
  <c r="R249" i="1"/>
  <c r="W249" i="1"/>
  <c r="S249" i="1"/>
  <c r="AD249" i="1"/>
  <c r="M249" i="1"/>
  <c r="V249" i="1"/>
  <c r="Q249" i="1"/>
  <c r="AG249" i="1"/>
  <c r="P249" i="1"/>
  <c r="AF249" i="1"/>
  <c r="O249" i="1"/>
  <c r="AE249" i="1"/>
  <c r="N249" i="1"/>
  <c r="Y249" i="1"/>
  <c r="X249" i="1"/>
  <c r="U249" i="1"/>
  <c r="A251" i="1" l="1"/>
  <c r="AG250" i="1"/>
  <c r="Y250" i="1"/>
  <c r="T250" i="1"/>
  <c r="AF250" i="1"/>
  <c r="X250" i="1"/>
  <c r="S250" i="1"/>
  <c r="AE250" i="1"/>
  <c r="W250" i="1"/>
  <c r="AD250" i="1"/>
  <c r="V250" i="1"/>
  <c r="Q250" i="1"/>
  <c r="AA250" i="1"/>
  <c r="Z250" i="1"/>
  <c r="U250" i="1"/>
  <c r="R250" i="1"/>
  <c r="P250" i="1"/>
  <c r="O250" i="1"/>
  <c r="N250" i="1"/>
  <c r="AC250" i="1"/>
  <c r="M250" i="1"/>
  <c r="AB250" i="1"/>
  <c r="A252" i="1" l="1"/>
  <c r="AD251" i="1"/>
  <c r="AC251" i="1"/>
  <c r="S251" i="1"/>
  <c r="AB251" i="1"/>
  <c r="R251" i="1"/>
  <c r="AA251" i="1"/>
  <c r="Q251" i="1"/>
  <c r="Z251" i="1"/>
  <c r="P251" i="1"/>
  <c r="AF251" i="1"/>
  <c r="M251" i="1"/>
  <c r="AE251" i="1"/>
  <c r="Y251" i="1"/>
  <c r="V251" i="1"/>
  <c r="X251" i="1"/>
  <c r="T251" i="1"/>
  <c r="W251" i="1"/>
  <c r="U251" i="1"/>
  <c r="O251" i="1"/>
  <c r="AG251" i="1"/>
  <c r="N251" i="1"/>
  <c r="A253" i="1" l="1"/>
  <c r="Z252" i="1"/>
  <c r="AG252" i="1"/>
  <c r="Y252" i="1"/>
  <c r="R252" i="1"/>
  <c r="AF252" i="1"/>
  <c r="X252" i="1"/>
  <c r="Q252" i="1"/>
  <c r="AE252" i="1"/>
  <c r="W252" i="1"/>
  <c r="P252" i="1"/>
  <c r="AD252" i="1"/>
  <c r="V252" i="1"/>
  <c r="O252" i="1"/>
  <c r="T252" i="1"/>
  <c r="S252" i="1"/>
  <c r="N252" i="1"/>
  <c r="M252" i="1"/>
  <c r="AC252" i="1"/>
  <c r="AA252" i="1"/>
  <c r="U252" i="1"/>
  <c r="AB252" i="1"/>
  <c r="A254" i="1" l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D253" i="1"/>
  <c r="V253" i="1"/>
  <c r="AC253" i="1"/>
  <c r="Q253" i="1"/>
  <c r="AB253" i="1"/>
  <c r="P253" i="1"/>
  <c r="AA253" i="1"/>
  <c r="O253" i="1"/>
  <c r="Z253" i="1"/>
  <c r="N253" i="1"/>
  <c r="AE253" i="1"/>
  <c r="Y253" i="1"/>
  <c r="X253" i="1"/>
  <c r="U253" i="1"/>
  <c r="R253" i="1"/>
  <c r="W253" i="1"/>
  <c r="T253" i="1"/>
  <c r="S253" i="1"/>
  <c r="AG253" i="1"/>
  <c r="M253" i="1"/>
  <c r="AF253" i="1"/>
  <c r="A273" i="1" l="1"/>
  <c r="Z272" i="1"/>
  <c r="AG272" i="1"/>
  <c r="Y272" i="1"/>
  <c r="P272" i="1"/>
  <c r="AF272" i="1"/>
  <c r="X272" i="1"/>
  <c r="O272" i="1"/>
  <c r="AE272" i="1"/>
  <c r="W272" i="1"/>
  <c r="N272" i="1"/>
  <c r="AD272" i="1"/>
  <c r="V272" i="1"/>
  <c r="U272" i="1"/>
  <c r="M272" i="1"/>
  <c r="R272" i="1"/>
  <c r="Q272" i="1"/>
  <c r="AC272" i="1"/>
  <c r="AA272" i="1"/>
  <c r="AB272" i="1"/>
  <c r="T272" i="1"/>
  <c r="S272" i="1"/>
  <c r="A274" i="1" l="1"/>
  <c r="AD273" i="1"/>
  <c r="V273" i="1"/>
  <c r="AC273" i="1"/>
  <c r="O273" i="1"/>
  <c r="AB273" i="1"/>
  <c r="N273" i="1"/>
  <c r="AA273" i="1"/>
  <c r="U273" i="1"/>
  <c r="M273" i="1"/>
  <c r="Z273" i="1"/>
  <c r="T273" i="1"/>
  <c r="Y273" i="1"/>
  <c r="AG273" i="1"/>
  <c r="X273" i="1"/>
  <c r="W273" i="1"/>
  <c r="S273" i="1"/>
  <c r="R273" i="1"/>
  <c r="Q273" i="1"/>
  <c r="AF273" i="1"/>
  <c r="AE273" i="1"/>
  <c r="P273" i="1"/>
  <c r="A275" i="1" l="1"/>
  <c r="Z274" i="1"/>
  <c r="AG274" i="1"/>
  <c r="Y274" i="1"/>
  <c r="N274" i="1"/>
  <c r="AF274" i="1"/>
  <c r="X274" i="1"/>
  <c r="U274" i="1"/>
  <c r="M274" i="1"/>
  <c r="AE274" i="1"/>
  <c r="W274" i="1"/>
  <c r="T274" i="1"/>
  <c r="AD274" i="1"/>
  <c r="V274" i="1"/>
  <c r="S274" i="1"/>
  <c r="P274" i="1"/>
  <c r="O274" i="1"/>
  <c r="AC274" i="1"/>
  <c r="AB274" i="1"/>
  <c r="AA274" i="1"/>
  <c r="R274" i="1"/>
  <c r="Q274" i="1"/>
  <c r="A276" i="1" l="1"/>
  <c r="AD275" i="1"/>
  <c r="V275" i="1"/>
  <c r="AC275" i="1"/>
  <c r="U275" i="1"/>
  <c r="M275" i="1"/>
  <c r="AB275" i="1"/>
  <c r="T275" i="1"/>
  <c r="AA275" i="1"/>
  <c r="S275" i="1"/>
  <c r="Z275" i="1"/>
  <c r="R275" i="1"/>
  <c r="X275" i="1"/>
  <c r="W275" i="1"/>
  <c r="Q275" i="1"/>
  <c r="P275" i="1"/>
  <c r="AG275" i="1"/>
  <c r="O275" i="1"/>
  <c r="AF275" i="1"/>
  <c r="N275" i="1"/>
  <c r="AE275" i="1"/>
  <c r="Y275" i="1"/>
  <c r="A277" i="1" l="1"/>
  <c r="Z276" i="1"/>
  <c r="AG276" i="1"/>
  <c r="Y276" i="1"/>
  <c r="T276" i="1"/>
  <c r="AF276" i="1"/>
  <c r="X276" i="1"/>
  <c r="S276" i="1"/>
  <c r="AE276" i="1"/>
  <c r="W276" i="1"/>
  <c r="R276" i="1"/>
  <c r="AD276" i="1"/>
  <c r="V276" i="1"/>
  <c r="Q276" i="1"/>
  <c r="N276" i="1"/>
  <c r="AC276" i="1"/>
  <c r="M276" i="1"/>
  <c r="AB276" i="1"/>
  <c r="AA276" i="1"/>
  <c r="U276" i="1"/>
  <c r="P276" i="1"/>
  <c r="O276" i="1"/>
  <c r="A278" i="1" l="1"/>
  <c r="AD277" i="1"/>
  <c r="V277" i="1"/>
  <c r="AC277" i="1"/>
  <c r="S277" i="1"/>
  <c r="AB277" i="1"/>
  <c r="R277" i="1"/>
  <c r="AA277" i="1"/>
  <c r="Q277" i="1"/>
  <c r="Z277" i="1"/>
  <c r="P277" i="1"/>
  <c r="W277" i="1"/>
  <c r="U277" i="1"/>
  <c r="T277" i="1"/>
  <c r="O277" i="1"/>
  <c r="AE277" i="1"/>
  <c r="AG277" i="1"/>
  <c r="N277" i="1"/>
  <c r="AF277" i="1"/>
  <c r="M277" i="1"/>
  <c r="Y277" i="1"/>
  <c r="X277" i="1"/>
  <c r="A279" i="1" l="1"/>
  <c r="Z278" i="1"/>
  <c r="AG278" i="1"/>
  <c r="Y278" i="1"/>
  <c r="R278" i="1"/>
  <c r="AF278" i="1"/>
  <c r="X278" i="1"/>
  <c r="Q278" i="1"/>
  <c r="AE278" i="1"/>
  <c r="W278" i="1"/>
  <c r="P278" i="1"/>
  <c r="AD278" i="1"/>
  <c r="V278" i="1"/>
  <c r="O278" i="1"/>
  <c r="AC278" i="1"/>
  <c r="S278" i="1"/>
  <c r="AB278" i="1"/>
  <c r="AA278" i="1"/>
  <c r="U278" i="1"/>
  <c r="T278" i="1"/>
  <c r="N278" i="1"/>
  <c r="M278" i="1"/>
  <c r="A280" i="1" l="1"/>
  <c r="Y279" i="1"/>
  <c r="X279" i="1"/>
  <c r="O279" i="1"/>
  <c r="Q279" i="1"/>
  <c r="P279" i="1"/>
  <c r="AC279" i="1"/>
  <c r="U279" i="1"/>
  <c r="M279" i="1"/>
  <c r="Z279" i="1"/>
  <c r="AA279" i="1"/>
  <c r="AD279" i="1"/>
  <c r="R279" i="1"/>
  <c r="S279" i="1"/>
  <c r="AE279" i="1"/>
  <c r="V279" i="1"/>
  <c r="AB279" i="1"/>
  <c r="AG279" i="1"/>
  <c r="AF279" i="1"/>
  <c r="W279" i="1"/>
  <c r="N279" i="1"/>
  <c r="T279" i="1"/>
  <c r="A281" i="1" l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T280" i="1"/>
  <c r="AG280" i="1"/>
  <c r="AC280" i="1"/>
  <c r="Y280" i="1"/>
  <c r="Z280" i="1"/>
  <c r="AD280" i="1"/>
  <c r="U280" i="1"/>
  <c r="Q280" i="1"/>
  <c r="R280" i="1"/>
  <c r="AF280" i="1"/>
  <c r="AE280" i="1"/>
  <c r="V280" i="1"/>
  <c r="M280" i="1"/>
  <c r="AA280" i="1"/>
  <c r="X280" i="1"/>
  <c r="W280" i="1"/>
  <c r="N280" i="1"/>
  <c r="S280" i="1"/>
  <c r="P280" i="1"/>
  <c r="O280" i="1"/>
  <c r="AB280" i="1"/>
  <c r="A300" i="1" l="1"/>
  <c r="AG299" i="1"/>
  <c r="X299" i="1"/>
  <c r="T299" i="1"/>
  <c r="U299" i="1"/>
  <c r="Y299" i="1"/>
  <c r="P299" i="1"/>
  <c r="M299" i="1"/>
  <c r="AA299" i="1"/>
  <c r="Z299" i="1"/>
  <c r="Q299" i="1"/>
  <c r="AD299" i="1"/>
  <c r="S299" i="1"/>
  <c r="R299" i="1"/>
  <c r="V299" i="1"/>
  <c r="AE299" i="1"/>
  <c r="W299" i="1"/>
  <c r="O299" i="1"/>
  <c r="AF299" i="1"/>
  <c r="AB299" i="1"/>
  <c r="AC299" i="1"/>
  <c r="A301" i="1" l="1"/>
  <c r="V300" i="1"/>
  <c r="U300" i="1"/>
  <c r="Y300" i="1"/>
  <c r="N300" i="1"/>
  <c r="M300" i="1"/>
  <c r="Q300" i="1"/>
  <c r="Z300" i="1"/>
  <c r="R300" i="1"/>
  <c r="AE300" i="1"/>
  <c r="AF300" i="1"/>
  <c r="AA300" i="1"/>
  <c r="W300" i="1"/>
  <c r="X300" i="1"/>
  <c r="AB300" i="1"/>
  <c r="S300" i="1"/>
  <c r="O300" i="1"/>
  <c r="P300" i="1"/>
  <c r="AD300" i="1"/>
  <c r="AC300" i="1"/>
  <c r="T300" i="1"/>
  <c r="AG300" i="1"/>
  <c r="A302" i="1" l="1"/>
  <c r="U301" i="1"/>
  <c r="M301" i="1"/>
  <c r="AD301" i="1"/>
  <c r="Z301" i="1"/>
  <c r="AA301" i="1"/>
  <c r="AE301" i="1"/>
  <c r="V301" i="1"/>
  <c r="R301" i="1"/>
  <c r="S301" i="1"/>
  <c r="AG301" i="1"/>
  <c r="AF301" i="1"/>
  <c r="W301" i="1"/>
  <c r="N301" i="1"/>
  <c r="Y301" i="1"/>
  <c r="X301" i="1"/>
  <c r="O301" i="1"/>
  <c r="AB301" i="1"/>
  <c r="Q301" i="1"/>
  <c r="P301" i="1"/>
  <c r="T301" i="1"/>
  <c r="AC301" i="1"/>
  <c r="A303" i="1" l="1"/>
  <c r="Y302" i="1"/>
  <c r="U302" i="1"/>
  <c r="V302" i="1"/>
  <c r="Z302" i="1"/>
  <c r="Q302" i="1"/>
  <c r="M302" i="1"/>
  <c r="N302" i="1"/>
  <c r="AB302" i="1"/>
  <c r="AA302" i="1"/>
  <c r="R302" i="1"/>
  <c r="AE302" i="1"/>
  <c r="T302" i="1"/>
  <c r="S302" i="1"/>
  <c r="W302" i="1"/>
  <c r="AF302" i="1"/>
  <c r="O302" i="1"/>
  <c r="X302" i="1"/>
  <c r="P302" i="1"/>
  <c r="AG302" i="1"/>
  <c r="AC302" i="1"/>
  <c r="AD302" i="1"/>
  <c r="A304" i="1" l="1"/>
  <c r="W303" i="1"/>
  <c r="V303" i="1"/>
  <c r="M303" i="1"/>
  <c r="Z303" i="1"/>
  <c r="O303" i="1"/>
  <c r="N303" i="1"/>
  <c r="R303" i="1"/>
  <c r="AA303" i="1"/>
  <c r="S303" i="1"/>
  <c r="AF303" i="1"/>
  <c r="AG303" i="1"/>
  <c r="AB303" i="1"/>
  <c r="X303" i="1"/>
  <c r="Y303" i="1"/>
  <c r="AC303" i="1"/>
  <c r="T303" i="1"/>
  <c r="P303" i="1"/>
  <c r="Q303" i="1"/>
  <c r="AE303" i="1"/>
  <c r="AD303" i="1"/>
  <c r="U303" i="1"/>
  <c r="A305" i="1" l="1"/>
  <c r="V304" i="1"/>
  <c r="N304" i="1"/>
  <c r="AE304" i="1"/>
  <c r="AA304" i="1"/>
  <c r="AB304" i="1"/>
  <c r="AF304" i="1"/>
  <c r="W304" i="1"/>
  <c r="S304" i="1"/>
  <c r="T304" i="1"/>
  <c r="AG304" i="1"/>
  <c r="X304" i="1"/>
  <c r="O304" i="1"/>
  <c r="Z304" i="1"/>
  <c r="Y304" i="1"/>
  <c r="P304" i="1"/>
  <c r="AC304" i="1"/>
  <c r="R304" i="1"/>
  <c r="Q304" i="1"/>
  <c r="U304" i="1"/>
  <c r="AD304" i="1"/>
  <c r="M304" i="1"/>
  <c r="A306" i="1" l="1"/>
  <c r="Z305" i="1"/>
  <c r="V305" i="1"/>
  <c r="W305" i="1"/>
  <c r="AA305" i="1"/>
  <c r="R305" i="1"/>
  <c r="N305" i="1"/>
  <c r="O305" i="1"/>
  <c r="AC305" i="1"/>
  <c r="AB305" i="1"/>
  <c r="S305" i="1"/>
  <c r="AF305" i="1"/>
  <c r="U305" i="1"/>
  <c r="T305" i="1"/>
  <c r="X305" i="1"/>
  <c r="M305" i="1"/>
  <c r="AG305" i="1"/>
  <c r="P305" i="1"/>
  <c r="Y305" i="1"/>
  <c r="Q305" i="1"/>
  <c r="AD305" i="1"/>
  <c r="AE305" i="1"/>
  <c r="A307" i="1" l="1"/>
  <c r="X306" i="1"/>
  <c r="W306" i="1"/>
  <c r="N306" i="1"/>
  <c r="AA306" i="1"/>
  <c r="P306" i="1"/>
  <c r="O306" i="1"/>
  <c r="S306" i="1"/>
  <c r="AB306" i="1"/>
  <c r="T306" i="1"/>
  <c r="AG306" i="1"/>
  <c r="AC306" i="1"/>
  <c r="Y306" i="1"/>
  <c r="Z306" i="1"/>
  <c r="AD306" i="1"/>
  <c r="U306" i="1"/>
  <c r="Q306" i="1"/>
  <c r="R306" i="1"/>
  <c r="AF306" i="1"/>
  <c r="AE306" i="1"/>
  <c r="V306" i="1"/>
  <c r="M306" i="1"/>
  <c r="A308" i="1" l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N307" i="1"/>
  <c r="AF307" i="1"/>
  <c r="X307" i="1"/>
  <c r="AE307" i="1"/>
  <c r="M307" i="1"/>
  <c r="AA307" i="1"/>
  <c r="AG307" i="1"/>
  <c r="AB307" i="1"/>
  <c r="Y307" i="1"/>
  <c r="AD307" i="1"/>
  <c r="AC307" i="1"/>
  <c r="V307" i="1"/>
  <c r="W307" i="1"/>
  <c r="Z307" i="1"/>
  <c r="A327" i="1" l="1"/>
  <c r="N326" i="1"/>
  <c r="AB326" i="1"/>
  <c r="M326" i="1"/>
  <c r="AE326" i="1"/>
  <c r="AF326" i="1"/>
  <c r="W326" i="1"/>
  <c r="AC326" i="1"/>
  <c r="AG326" i="1"/>
  <c r="X326" i="1"/>
  <c r="Z326" i="1"/>
  <c r="Y326" i="1"/>
  <c r="AD326" i="1"/>
  <c r="AA326" i="1"/>
  <c r="V326" i="1"/>
  <c r="A328" i="1" l="1"/>
  <c r="N327" i="1"/>
  <c r="AE327" i="1"/>
  <c r="AA327" i="1"/>
  <c r="AG327" i="1"/>
  <c r="W327" i="1"/>
  <c r="AB327" i="1"/>
  <c r="Y327" i="1"/>
  <c r="M327" i="1"/>
  <c r="AD327" i="1"/>
  <c r="AC327" i="1"/>
  <c r="V327" i="1"/>
  <c r="Z327" i="1"/>
  <c r="AF327" i="1"/>
  <c r="X327" i="1"/>
  <c r="A329" i="1" l="1"/>
  <c r="N328" i="1"/>
  <c r="AG328" i="1"/>
  <c r="X328" i="1"/>
  <c r="Z328" i="1"/>
  <c r="Y328" i="1"/>
  <c r="AA328" i="1"/>
  <c r="AD328" i="1"/>
  <c r="V328" i="1"/>
  <c r="M328" i="1"/>
  <c r="AB328" i="1"/>
  <c r="AE328" i="1"/>
  <c r="AF328" i="1"/>
  <c r="W328" i="1"/>
  <c r="AC328" i="1"/>
  <c r="A330" i="1" l="1"/>
  <c r="N329" i="1"/>
  <c r="V329" i="1"/>
  <c r="Z329" i="1"/>
  <c r="AF329" i="1"/>
  <c r="AE329" i="1"/>
  <c r="X329" i="1"/>
  <c r="M329" i="1"/>
  <c r="W329" i="1"/>
  <c r="AA329" i="1"/>
  <c r="AG329" i="1"/>
  <c r="AB329" i="1"/>
  <c r="Y329" i="1"/>
  <c r="AD329" i="1"/>
  <c r="AC329" i="1"/>
  <c r="A331" i="1" l="1"/>
  <c r="V330" i="1"/>
  <c r="AB330" i="1"/>
  <c r="AE330" i="1"/>
  <c r="AF330" i="1"/>
  <c r="W330" i="1"/>
  <c r="AC330" i="1"/>
  <c r="AG330" i="1"/>
  <c r="X330" i="1"/>
  <c r="Z330" i="1"/>
  <c r="Y330" i="1"/>
  <c r="AD330" i="1"/>
  <c r="AA330" i="1"/>
  <c r="A332" i="1" l="1"/>
  <c r="AF331" i="1"/>
  <c r="X331" i="1"/>
  <c r="AA331" i="1"/>
  <c r="AG331" i="1"/>
  <c r="AB331" i="1"/>
  <c r="Y331" i="1"/>
  <c r="W331" i="1"/>
  <c r="AD331" i="1"/>
  <c r="AC331" i="1"/>
  <c r="V331" i="1"/>
  <c r="Z331" i="1"/>
  <c r="AE331" i="1"/>
  <c r="A333" i="1" l="1"/>
  <c r="AE332" i="1"/>
  <c r="AF332" i="1"/>
  <c r="W332" i="1"/>
  <c r="AC332" i="1"/>
  <c r="AA332" i="1"/>
  <c r="AG332" i="1"/>
  <c r="X332" i="1"/>
  <c r="Z332" i="1"/>
  <c r="Y332" i="1"/>
  <c r="AD332" i="1"/>
  <c r="V332" i="1"/>
  <c r="AB332" i="1"/>
  <c r="A334" i="1" l="1"/>
  <c r="AB333" i="1"/>
  <c r="Y333" i="1"/>
  <c r="W333" i="1"/>
  <c r="AD333" i="1"/>
  <c r="AC333" i="1"/>
  <c r="V333" i="1"/>
  <c r="AE333" i="1"/>
  <c r="Z333" i="1"/>
  <c r="AF333" i="1"/>
  <c r="X333" i="1"/>
  <c r="AA333" i="1"/>
  <c r="AG333" i="1"/>
  <c r="A335" i="1" l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Z334" i="1"/>
  <c r="Y334" i="1"/>
  <c r="AD334" i="1"/>
  <c r="V334" i="1"/>
  <c r="AB334" i="1"/>
  <c r="AE334" i="1"/>
  <c r="AA334" i="1"/>
  <c r="AF334" i="1"/>
  <c r="W334" i="1"/>
  <c r="AC334" i="1"/>
  <c r="AG334" i="1"/>
  <c r="X334" i="1"/>
  <c r="A354" i="1" l="1"/>
  <c r="Z353" i="1"/>
  <c r="AE353" i="1"/>
  <c r="AF353" i="1"/>
  <c r="X353" i="1"/>
  <c r="AA353" i="1"/>
  <c r="AG353" i="1"/>
  <c r="W353" i="1"/>
  <c r="AB353" i="1"/>
  <c r="Y353" i="1"/>
  <c r="AD353" i="1"/>
  <c r="AC353" i="1"/>
  <c r="V353" i="1"/>
  <c r="A355" i="1" l="1"/>
  <c r="AB354" i="1"/>
  <c r="AE354" i="1"/>
  <c r="AF354" i="1"/>
  <c r="W354" i="1"/>
  <c r="AC354" i="1"/>
  <c r="AG354" i="1"/>
  <c r="X354" i="1"/>
  <c r="AA354" i="1"/>
  <c r="Z354" i="1"/>
  <c r="Y354" i="1"/>
  <c r="AD354" i="1"/>
  <c r="V354" i="1"/>
  <c r="A356" i="1" l="1"/>
  <c r="X355" i="1"/>
  <c r="AA355" i="1"/>
  <c r="AG355" i="1"/>
  <c r="AB355" i="1"/>
  <c r="Y355" i="1"/>
  <c r="AE355" i="1"/>
  <c r="AD355" i="1"/>
  <c r="AC355" i="1"/>
  <c r="V355" i="1"/>
  <c r="Z355" i="1"/>
  <c r="AF355" i="1"/>
  <c r="W355" i="1"/>
  <c r="A357" i="1" l="1"/>
  <c r="AF356" i="1"/>
  <c r="W356" i="1"/>
  <c r="AC356" i="1"/>
  <c r="AG356" i="1"/>
  <c r="X356" i="1"/>
  <c r="Z356" i="1"/>
  <c r="Y356" i="1"/>
  <c r="AD356" i="1"/>
  <c r="V356" i="1"/>
  <c r="AA356" i="1"/>
  <c r="AB356" i="1"/>
  <c r="AE356" i="1"/>
  <c r="A358" i="1" l="1"/>
  <c r="AD357" i="1"/>
  <c r="AC357" i="1"/>
  <c r="V357" i="1"/>
  <c r="Z357" i="1"/>
  <c r="W357" i="1"/>
  <c r="AF357" i="1"/>
  <c r="X357" i="1"/>
  <c r="AA357" i="1"/>
  <c r="AG357" i="1"/>
  <c r="AE357" i="1"/>
  <c r="AB357" i="1"/>
  <c r="Y357" i="1"/>
  <c r="A359" i="1" l="1"/>
  <c r="AD358" i="1"/>
  <c r="V358" i="1"/>
  <c r="AB358" i="1"/>
  <c r="AE358" i="1"/>
  <c r="AF358" i="1"/>
  <c r="W358" i="1"/>
  <c r="AC358" i="1"/>
  <c r="AA358" i="1"/>
  <c r="AG358" i="1"/>
  <c r="X358" i="1"/>
  <c r="Z358" i="1"/>
  <c r="Y358" i="1"/>
  <c r="A360" i="1" l="1"/>
  <c r="AE359" i="1"/>
  <c r="AF359" i="1"/>
  <c r="W359" i="1"/>
  <c r="X359" i="1"/>
  <c r="AA359" i="1"/>
  <c r="AG359" i="1"/>
  <c r="AB359" i="1"/>
  <c r="Y359" i="1"/>
  <c r="AD359" i="1"/>
  <c r="AC359" i="1"/>
  <c r="V359" i="1"/>
  <c r="Z359" i="1"/>
  <c r="A361" i="1" l="1"/>
  <c r="AA360" i="1"/>
  <c r="AB360" i="1"/>
  <c r="AE360" i="1"/>
  <c r="AF360" i="1"/>
  <c r="W360" i="1"/>
  <c r="AC360" i="1"/>
  <c r="AG360" i="1"/>
  <c r="X360" i="1"/>
  <c r="Z360" i="1"/>
  <c r="Y360" i="1"/>
  <c r="AD360" i="1"/>
  <c r="V360" i="1"/>
  <c r="A362" i="1" l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A361" i="1"/>
  <c r="AG361" i="1"/>
  <c r="AB361" i="1"/>
  <c r="Y361" i="1"/>
  <c r="AD361" i="1"/>
  <c r="AC361" i="1"/>
  <c r="V361" i="1"/>
  <c r="Z361" i="1"/>
  <c r="AE361" i="1"/>
  <c r="AF361" i="1"/>
  <c r="W361" i="1"/>
  <c r="X36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tc={81164325-A9C5-47CF-B366-707DB21DCDAC}</author>
  </authors>
  <commentList>
    <comment ref="Z187" authorId="0" shapeId="0" xr:uid="{81164325-A9C5-47CF-B366-707DB21DCDA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Bad and good beta in FX strategies | Macrosynergy Research </t>
      </text>
    </comment>
  </commentList>
</comments>
</file>

<file path=xl/sharedStrings.xml><?xml version="1.0" encoding="utf-8"?>
<sst xmlns="http://schemas.openxmlformats.org/spreadsheetml/2006/main" count="10352" uniqueCount="55">
  <si>
    <t>EURGBP</t>
  </si>
  <si>
    <t>Sharpe Ratio</t>
  </si>
  <si>
    <t>10 Min</t>
  </si>
  <si>
    <t>5 Min</t>
  </si>
  <si>
    <t>Initial Order size</t>
  </si>
  <si>
    <t>AUDUSD</t>
  </si>
  <si>
    <t>GBPJPY</t>
  </si>
  <si>
    <t>GBPUSD</t>
  </si>
  <si>
    <t>Drawdown</t>
  </si>
  <si>
    <t>Symbol</t>
  </si>
  <si>
    <t>RSI_Long</t>
  </si>
  <si>
    <t>RSI_Short</t>
  </si>
  <si>
    <t>RSI_Days</t>
  </si>
  <si>
    <t>ADX_Days</t>
  </si>
  <si>
    <t>Start_Date</t>
  </si>
  <si>
    <t>End_Date</t>
  </si>
  <si>
    <t>Brokerage Model</t>
  </si>
  <si>
    <t>Oanda</t>
  </si>
  <si>
    <t>Time Bars</t>
  </si>
  <si>
    <t>USDCAD</t>
  </si>
  <si>
    <t>USDCHF</t>
  </si>
  <si>
    <t>USDJPY</t>
  </si>
  <si>
    <t>15 Min</t>
  </si>
  <si>
    <t>Alpha</t>
  </si>
  <si>
    <t>Beta</t>
  </si>
  <si>
    <t>Average Win</t>
  </si>
  <si>
    <t>Profit-Loss Ratio</t>
  </si>
  <si>
    <t>PSR</t>
  </si>
  <si>
    <t>Total Trades</t>
  </si>
  <si>
    <t>Average Loss</t>
  </si>
  <si>
    <t>Compounding Annual Return</t>
  </si>
  <si>
    <t>Expectancy</t>
  </si>
  <si>
    <t>Net Profit</t>
  </si>
  <si>
    <t>Loss Rate</t>
  </si>
  <si>
    <t>Win Rate</t>
  </si>
  <si>
    <t>Annual Standard Deviation</t>
  </si>
  <si>
    <t>Annual Variance</t>
  </si>
  <si>
    <t>Information Ratio</t>
  </si>
  <si>
    <t>Tracking Error</t>
  </si>
  <si>
    <t>Treynor Ratio</t>
  </si>
  <si>
    <t>Total Fees</t>
  </si>
  <si>
    <t>Estimated Strategy Capacity</t>
  </si>
  <si>
    <t>Lowest Capacity Asset</t>
  </si>
  <si>
    <t>EURGBP 8G</t>
  </si>
  <si>
    <t>AUDUSD 8G</t>
  </si>
  <si>
    <t>USDCAD 8G</t>
  </si>
  <si>
    <t>GBPUSD 8G</t>
  </si>
  <si>
    <t>GBPJPY 8G</t>
  </si>
  <si>
    <t>ID</t>
  </si>
  <si>
    <t>Metric</t>
  </si>
  <si>
    <t>Value</t>
  </si>
  <si>
    <t>lookup</t>
  </si>
  <si>
    <t>Config</t>
  </si>
  <si>
    <t>Stress</t>
  </si>
  <si>
    <t>Account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</si>
</sst>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10" fontId="0" fillId="0" borderId="0" xfId="0" applyNumberFormat="1"/>
    <xf numFmtId="9" fontId="0" fillId="0" borderId="0" xfId="0" applyNumberFormat="1"/>
    <xf numFmtId="8" fontId="0" fillId="0" borderId="0" xfId="0" applyNumberFormat="1"/>
    <xf numFmtId="14" fontId="0" fillId="0" borderId="0" xfId="0" applyNumberFormat="1"/>
    <xf numFmtId="2" fontId="0" fillId="0" borderId="0" xfId="1" applyNumberFormat="1" applyFont="1"/>
    <xf numFmtId="0" fontId="2" fillId="0" borderId="0" xfId="0" applyFont="1"/>
    <xf numFmtId="2" fontId="0" fillId="0" borderId="0" xfId="0" applyNumberFormat="1"/>
    <xf numFmtId="0" fontId="3" fillId="0" borderId="0" xfId="0" applyFont="1" applyAlignment="1">
      <alignment vertical="center"/>
    </xf>
    <xf numFmtId="0" fontId="3" fillId="0" borderId="0" xfId="0" applyFont="1"/>
    <xf numFmtId="8" fontId="3" fillId="0" borderId="0" xfId="0" applyNumberFormat="1" applyFont="1" applyAlignment="1">
      <alignment horizontal="left" vertical="center" wrapText="1" indent="1"/>
    </xf>
    <xf numFmtId="0" fontId="0" fillId="3" borderId="0" xfId="0" applyFill="1"/>
    <xf numFmtId="0" fontId="0" fillId="4" borderId="0" xfId="0" applyFill="1"/>
    <xf numFmtId="0" fontId="2" fillId="4" borderId="1" xfId="0" applyFont="1" applyFill="1" applyBorder="1"/>
    <xf numFmtId="0" fontId="0" fillId="3" borderId="1" xfId="0" applyFill="1" applyBorder="1"/>
    <xf numFmtId="0" fontId="0" fillId="4" borderId="1" xfId="0" applyFill="1" applyBorder="1"/>
    <xf numFmtId="14" fontId="0" fillId="0" borderId="1" xfId="0" applyNumberFormat="1" applyBorder="1"/>
    <xf numFmtId="0" fontId="0" fillId="0" borderId="1" xfId="0" applyBorder="1"/>
    <xf numFmtId="0" fontId="0" fillId="0" borderId="0" xfId="0" applyFill="1"/>
    <xf numFmtId="0" fontId="3" fillId="0" borderId="0" xfId="0" applyFont="1" applyAlignment="1">
      <alignment horizontal="left" vertical="center" indent="1"/>
    </xf>
    <xf numFmtId="8" fontId="3" fillId="0" borderId="0" xfId="0" applyNumberFormat="1" applyFont="1" applyAlignment="1">
      <alignment horizontal="right" vertical="center" wrapText="1" indent="1"/>
    </xf>
    <xf numFmtId="0" fontId="2" fillId="4" borderId="0" xfId="0" applyFont="1" applyFill="1"/>
    <xf numFmtId="0" fontId="0" fillId="4" borderId="0" xfId="0" applyFont="1" applyFill="1"/>
    <xf numFmtId="14" fontId="2" fillId="0" borderId="0" xfId="0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3</xdr:row>
      <xdr:rowOff>50800</xdr:rowOff>
    </xdr:from>
    <xdr:to>
      <xdr:col>4</xdr:col>
      <xdr:colOff>88900</xdr:colOff>
      <xdr:row>5</xdr:row>
      <xdr:rowOff>171450</xdr:rowOff>
    </xdr:to>
    <xdr:sp macro="[0]!TestPythonRunner" textlink="">
      <xdr:nvSpPr>
        <xdr:cNvPr id="2" name="Rectangle 1">
          <a:extLst>
            <a:ext uri="{FF2B5EF4-FFF2-40B4-BE49-F238E27FC236}">
              <a16:creationId xmlns:a16="http://schemas.microsoft.com/office/drawing/2014/main" id="{AB9ED68C-7864-EBBE-E1F1-83EE78113465}"/>
            </a:ext>
          </a:extLst>
        </xdr:cNvPr>
        <xdr:cNvSpPr/>
      </xdr:nvSpPr>
      <xdr:spPr>
        <a:xfrm>
          <a:off x="1143000" y="603250"/>
          <a:ext cx="1384300" cy="4889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Yellen Backtests</a:t>
          </a:r>
          <a:br>
            <a:rPr lang="en-US" sz="1100"/>
          </a:br>
          <a:r>
            <a:rPr lang="en-US" sz="1100"/>
            <a:t>in Quant Connect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ichard M" id="{445BD888-BA57-4BC4-837E-B37CC1F82DC7}" userId="2b27765f53f177bc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Z187" dT="2023-07-25T10:23:17.43" personId="{445BD888-BA57-4BC4-837E-B37CC1F82DC7}" id="{81164325-A9C5-47CF-B366-707DB21DCDAC}">
    <text xml:space="preserve">Bad and good beta in FX strategies | Macrosynergy Research </text>
    <extLst>
      <x:ext xmlns:xltc2="http://schemas.microsoft.com/office/spreadsheetml/2020/threadedcomments2" uri="{F7C98A9C-CBB3-438F-8F68-D28B6AF4A901}">
        <xltc2:checksum>2230223870</xltc2:checksum>
        <xltc2:hyperlink startIndex="0" length="58" url="https://research.macrosynergy.com/bad-and-good-betas-in-fx/"/>
      </x:ext>
    </extLs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9D2C4-F919-4997-80C7-A63FAA78F21B}">
  <sheetPr codeName="Sheet1"/>
  <dimension ref="C9:D12"/>
  <sheetViews>
    <sheetView showGridLines="0" topLeftCell="A309" workbookViewId="0">
      <selection activeCell="D320" sqref="D320"/>
    </sheetView>
  </sheetViews>
  <sheetFormatPr defaultRowHeight="14.5" x14ac:dyDescent="0.35"/>
  <cols>
    <col min="3" max="3" width="13" customWidth="1"/>
  </cols>
  <sheetData>
    <row r="9" spans="3:4" x14ac:dyDescent="0.35">
      <c r="C9" t="s">
        <v>14</v>
      </c>
      <c r="D9" s="17">
        <v>43831</v>
      </c>
    </row>
    <row r="10" spans="3:4" x14ac:dyDescent="0.35">
      <c r="C10" t="s">
        <v>15</v>
      </c>
      <c r="D10" s="17">
        <v>44562</v>
      </c>
    </row>
    <row r="12" spans="3:4" x14ac:dyDescent="0.35">
      <c r="C12" t="s">
        <v>52</v>
      </c>
      <c r="D12" s="18" t="s">
        <v>53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4EEA1-3C45-4C84-84E4-8EA17A4E9583}">
  <sheetPr codeName="Sheet2" filterMode="1"/>
  <dimension ref="A1:AG379"/>
  <sheetViews>
    <sheetView workbookViewId="0">
      <pane xSplit="4" ySplit="1" topLeftCell="E60" activePane="bottomRight" state="frozen"/>
      <selection pane="topRight" activeCell="E1" sqref="E1"/>
      <selection pane="bottomLeft" activeCell="A2" sqref="A2"/>
      <selection pane="bottomRight" activeCell="D170" sqref="D170"/>
    </sheetView>
  </sheetViews>
  <sheetFormatPr defaultColWidth="16.6328125" defaultRowHeight="14.5" x14ac:dyDescent="0.35"/>
  <cols>
    <col min="1" max="4" width="12.1796875" customWidth="1"/>
    <col min="5" max="12" width="10.26953125" customWidth="1"/>
    <col min="13" max="20" width="14" customWidth="1"/>
    <col min="21" max="21" width="14" style="1" customWidth="1"/>
    <col min="22" max="33" width="14" customWidth="1"/>
  </cols>
  <sheetData>
    <row r="1" spans="1:33" x14ac:dyDescent="0.35">
      <c r="A1" s="12"/>
      <c r="B1" s="15" t="s">
        <v>9</v>
      </c>
      <c r="C1" s="15" t="s">
        <v>18</v>
      </c>
      <c r="D1" s="15" t="s">
        <v>4</v>
      </c>
      <c r="E1" s="15" t="s">
        <v>16</v>
      </c>
      <c r="F1" s="15" t="s">
        <v>14</v>
      </c>
      <c r="G1" s="15" t="s">
        <v>15</v>
      </c>
      <c r="H1" s="15" t="s">
        <v>13</v>
      </c>
      <c r="I1" s="15" t="s">
        <v>12</v>
      </c>
      <c r="J1" s="15" t="s">
        <v>10</v>
      </c>
      <c r="K1" s="15" t="s">
        <v>11</v>
      </c>
      <c r="L1" s="15" t="s">
        <v>54</v>
      </c>
      <c r="M1" s="16" t="s">
        <v>27</v>
      </c>
      <c r="N1" s="16" t="s">
        <v>1</v>
      </c>
      <c r="O1" s="16" t="s">
        <v>28</v>
      </c>
      <c r="P1" s="16" t="s">
        <v>25</v>
      </c>
      <c r="Q1" s="16" t="s">
        <v>29</v>
      </c>
      <c r="R1" s="16" t="s">
        <v>30</v>
      </c>
      <c r="S1" s="16" t="s">
        <v>8</v>
      </c>
      <c r="T1" s="16" t="s">
        <v>31</v>
      </c>
      <c r="U1" s="16" t="s">
        <v>32</v>
      </c>
      <c r="V1" s="16" t="s">
        <v>33</v>
      </c>
      <c r="W1" s="16" t="s">
        <v>34</v>
      </c>
      <c r="X1" s="16" t="s">
        <v>26</v>
      </c>
      <c r="Y1" s="16" t="s">
        <v>23</v>
      </c>
      <c r="Z1" s="16" t="s">
        <v>24</v>
      </c>
      <c r="AA1" s="16" t="s">
        <v>35</v>
      </c>
      <c r="AB1" s="16" t="s">
        <v>36</v>
      </c>
      <c r="AC1" s="16" t="s">
        <v>37</v>
      </c>
      <c r="AD1" s="16" t="s">
        <v>38</v>
      </c>
      <c r="AE1" s="16" t="s">
        <v>39</v>
      </c>
      <c r="AF1" s="16" t="s">
        <v>40</v>
      </c>
      <c r="AG1" s="16" t="s">
        <v>41</v>
      </c>
    </row>
    <row r="2" spans="1:33" x14ac:dyDescent="0.35">
      <c r="A2" s="13">
        <v>1</v>
      </c>
      <c r="B2" t="s">
        <v>0</v>
      </c>
      <c r="C2" t="s">
        <v>3</v>
      </c>
      <c r="D2">
        <v>100</v>
      </c>
      <c r="E2" t="s">
        <v>17</v>
      </c>
      <c r="F2" s="5">
        <v>43831</v>
      </c>
      <c r="G2" s="5">
        <v>44562</v>
      </c>
      <c r="H2">
        <v>14</v>
      </c>
      <c r="I2">
        <v>9</v>
      </c>
      <c r="J2">
        <f t="shared" ref="J2:J65" si="0">J29</f>
        <v>30</v>
      </c>
      <c r="K2">
        <f t="shared" ref="K2:K65" si="1">K29</f>
        <v>70</v>
      </c>
      <c r="L2">
        <v>1000000</v>
      </c>
      <c r="M2">
        <f>VLOOKUP($A2&amp;M$1,Data!$A$2:$D$3723,4,FALSE)</f>
        <v>0.74255000000000004</v>
      </c>
      <c r="N2">
        <f>VLOOKUP($A2&amp;N$1,Data!$A$2:$D$3723,4,FALSE)</f>
        <v>1.5649999999999999</v>
      </c>
      <c r="O2">
        <f>VLOOKUP($A2&amp;O$1,Data!$A$2:$D$3723,4,FALSE)</f>
        <v>312</v>
      </c>
      <c r="P2">
        <f>VLOOKUP($A2&amp;P$1,Data!$A$2:$D$3723,4,FALSE)</f>
        <v>2.8999999999999998E-3</v>
      </c>
      <c r="Q2">
        <f>VLOOKUP($A2&amp;Q$1,Data!$A$2:$D$3723,4,FALSE)</f>
        <v>-1.1000000000000001E-3</v>
      </c>
      <c r="R2">
        <f>VLOOKUP($A2&amp;R$1,Data!$A$2:$D$3723,4,FALSE)</f>
        <v>2.1080000000000002E-2</v>
      </c>
      <c r="S2">
        <f>VLOOKUP($A2&amp;S$1,Data!$A$2:$D$3723,4,FALSE)</f>
        <v>6.0000000000000001E-3</v>
      </c>
      <c r="T2">
        <f>VLOOKUP($A2&amp;T$1,Data!$A$2:$D$3723,4,FALSE)</f>
        <v>1.149</v>
      </c>
      <c r="U2">
        <f>VLOOKUP($A2&amp;U$1,Data!$A$2:$D$3723,4,FALSE)</f>
        <v>1.3520000000000001E-2</v>
      </c>
      <c r="V2">
        <f>VLOOKUP($A2&amp;V$1,Data!$A$2:$D$3723,4,FALSE)</f>
        <v>0.4</v>
      </c>
      <c r="W2">
        <f>VLOOKUP($A2&amp;W$1,Data!$A$2:$D$3723,4,FALSE)</f>
        <v>0.6</v>
      </c>
      <c r="X2">
        <f>VLOOKUP($A2&amp;X$1,Data!$A$2:$D$3723,4,FALSE)</f>
        <v>2.58</v>
      </c>
      <c r="Y2">
        <f>VLOOKUP($A2&amp;Y$1,Data!$A$2:$D$3723,4,FALSE)</f>
        <v>1.4E-2</v>
      </c>
      <c r="Z2">
        <f>VLOOKUP($A2&amp;Z$1,Data!$A$2:$D$3723,4,FALSE)</f>
        <v>5.0000000000000001E-3</v>
      </c>
      <c r="AA2">
        <f>VLOOKUP($A2&amp;AA$1,Data!$A$2:$D$3723,4,FALSE)</f>
        <v>8.9999999999999993E-3</v>
      </c>
      <c r="AB2">
        <f>VLOOKUP($A2&amp;AB$1,Data!$A$2:$D$3723,4,FALSE)</f>
        <v>0</v>
      </c>
      <c r="AC2">
        <f>VLOOKUP($A2&amp;AC$1,Data!$A$2:$D$3723,4,FALSE)</f>
        <v>-0.73599999999999999</v>
      </c>
      <c r="AD2">
        <f>VLOOKUP($A2&amp;AD$1,Data!$A$2:$D$3723,4,FALSE)</f>
        <v>6.7000000000000004E-2</v>
      </c>
      <c r="AE2">
        <f>VLOOKUP($A2&amp;AE$1,Data!$A$2:$D$3723,4,FALSE)</f>
        <v>3.1120000000000001</v>
      </c>
      <c r="AF2">
        <f>VLOOKUP($A2&amp;AF$1,Data!$A$2:$D$3723,4,FALSE)</f>
        <v>0</v>
      </c>
      <c r="AG2">
        <f>VLOOKUP($A2&amp;AG$1,Data!$A$2:$D$3723,4,FALSE)</f>
        <v>470000000</v>
      </c>
    </row>
    <row r="3" spans="1:33" x14ac:dyDescent="0.35">
      <c r="A3" s="13">
        <f>A2+1</f>
        <v>2</v>
      </c>
      <c r="B3" t="s">
        <v>0</v>
      </c>
      <c r="C3" t="s">
        <v>3</v>
      </c>
      <c r="D3">
        <v>1000</v>
      </c>
      <c r="E3" t="s">
        <v>17</v>
      </c>
      <c r="F3" s="5">
        <v>43831</v>
      </c>
      <c r="G3" s="5">
        <v>44562</v>
      </c>
      <c r="H3">
        <v>14</v>
      </c>
      <c r="I3">
        <v>9</v>
      </c>
      <c r="J3">
        <f t="shared" si="0"/>
        <v>30</v>
      </c>
      <c r="K3">
        <f t="shared" si="1"/>
        <v>70</v>
      </c>
      <c r="L3">
        <v>1000000</v>
      </c>
      <c r="M3">
        <f>VLOOKUP($A3&amp;M$1,Data!$A$2:$D$3723,4,FALSE)</f>
        <v>0.74880999999999998</v>
      </c>
      <c r="N3">
        <f>VLOOKUP($A3&amp;N$1,Data!$A$2:$D$3723,4,FALSE)</f>
        <v>1.681</v>
      </c>
      <c r="O3">
        <f>VLOOKUP($A3&amp;O$1,Data!$A$2:$D$3723,4,FALSE)</f>
        <v>312</v>
      </c>
      <c r="P3">
        <f>VLOOKUP($A3&amp;P$1,Data!$A$2:$D$3723,4,FALSE)</f>
        <v>2.8400000000000002E-2</v>
      </c>
      <c r="Q3">
        <f>VLOOKUP($A3&amp;Q$1,Data!$A$2:$D$3723,4,FALSE)</f>
        <v>-1.0699999999999999E-2</v>
      </c>
      <c r="R3">
        <f>VLOOKUP($A3&amp;R$1,Data!$A$2:$D$3723,4,FALSE)</f>
        <v>0.21772</v>
      </c>
      <c r="S3">
        <f>VLOOKUP($A3&amp;S$1,Data!$A$2:$D$3723,4,FALSE)</f>
        <v>5.6000000000000001E-2</v>
      </c>
      <c r="T3">
        <f>VLOOKUP($A3&amp;T$1,Data!$A$2:$D$3723,4,FALSE)</f>
        <v>1.1910000000000001</v>
      </c>
      <c r="U3">
        <f>VLOOKUP($A3&amp;U$1,Data!$A$2:$D$3723,4,FALSE)</f>
        <v>0.13519</v>
      </c>
      <c r="V3">
        <f>VLOOKUP($A3&amp;V$1,Data!$A$2:$D$3723,4,FALSE)</f>
        <v>0.4</v>
      </c>
      <c r="W3">
        <f>VLOOKUP($A3&amp;W$1,Data!$A$2:$D$3723,4,FALSE)</f>
        <v>0.6</v>
      </c>
      <c r="X3">
        <f>VLOOKUP($A3&amp;X$1,Data!$A$2:$D$3723,4,FALSE)</f>
        <v>2.65</v>
      </c>
      <c r="Y3">
        <f>VLOOKUP($A3&amp;Y$1,Data!$A$2:$D$3723,4,FALSE)</f>
        <v>0.14799999999999999</v>
      </c>
      <c r="Z3">
        <f>VLOOKUP($A3&amp;Z$1,Data!$A$2:$D$3723,4,FALSE)</f>
        <v>4.5999999999999999E-2</v>
      </c>
      <c r="AA3">
        <f>VLOOKUP($A3&amp;AA$1,Data!$A$2:$D$3723,4,FALSE)</f>
        <v>0.09</v>
      </c>
      <c r="AB3">
        <f>VLOOKUP($A3&amp;AB$1,Data!$A$2:$D$3723,4,FALSE)</f>
        <v>8.0000000000000002E-3</v>
      </c>
      <c r="AC3">
        <f>VLOOKUP($A3&amp;AC$1,Data!$A$2:$D$3723,4,FALSE)</f>
        <v>0.78800000000000003</v>
      </c>
      <c r="AD3">
        <f>VLOOKUP($A3&amp;AD$1,Data!$A$2:$D$3723,4,FALSE)</f>
        <v>0.11</v>
      </c>
      <c r="AE3">
        <f>VLOOKUP($A3&amp;AE$1,Data!$A$2:$D$3723,4,FALSE)</f>
        <v>3.2970000000000002</v>
      </c>
      <c r="AF3">
        <f>VLOOKUP($A3&amp;AF$1,Data!$A$2:$D$3723,4,FALSE)</f>
        <v>0</v>
      </c>
      <c r="AG3">
        <f>VLOOKUP($A3&amp;AG$1,Data!$A$2:$D$3723,4,FALSE)</f>
        <v>57000000</v>
      </c>
    </row>
    <row r="4" spans="1:33" x14ac:dyDescent="0.35">
      <c r="A4" s="13">
        <f t="shared" ref="A4:A28" si="2">A3+1</f>
        <v>3</v>
      </c>
      <c r="B4" t="s">
        <v>0</v>
      </c>
      <c r="C4" t="s">
        <v>3</v>
      </c>
      <c r="D4">
        <v>5000</v>
      </c>
      <c r="E4" t="s">
        <v>17</v>
      </c>
      <c r="F4" s="5">
        <v>43831</v>
      </c>
      <c r="G4" s="5">
        <v>44562</v>
      </c>
      <c r="H4">
        <v>14</v>
      </c>
      <c r="I4">
        <v>9</v>
      </c>
      <c r="J4">
        <f t="shared" si="0"/>
        <v>30</v>
      </c>
      <c r="K4">
        <f t="shared" si="1"/>
        <v>70</v>
      </c>
      <c r="L4">
        <v>1000000</v>
      </c>
      <c r="M4">
        <f>VLOOKUP($A4&amp;M$1,Data!$A$2:$D$3723,4,FALSE)</f>
        <v>0.77280000000000004</v>
      </c>
      <c r="N4">
        <f>VLOOKUP($A4&amp;N$1,Data!$A$2:$D$3723,4,FALSE)</f>
        <v>2.2429999999999999</v>
      </c>
      <c r="O4">
        <f>VLOOKUP($A4&amp;O$1,Data!$A$2:$D$3723,4,FALSE)</f>
        <v>312</v>
      </c>
      <c r="P4">
        <f>VLOOKUP($A4&amp;P$1,Data!$A$2:$D$3723,4,FALSE)</f>
        <v>0.1236</v>
      </c>
      <c r="Q4">
        <f>VLOOKUP($A4&amp;Q$1,Data!$A$2:$D$3723,4,FALSE)</f>
        <v>-4.24E-2</v>
      </c>
      <c r="R4">
        <f>VLOOKUP($A4&amp;R$1,Data!$A$2:$D$3723,4,FALSE)</f>
        <v>1.2304200000000001</v>
      </c>
      <c r="S4">
        <f>VLOOKUP($A4&amp;S$1,Data!$A$2:$D$3723,4,FALSE)</f>
        <v>0.22900000000000001</v>
      </c>
      <c r="T4">
        <f>VLOOKUP($A4&amp;T$1,Data!$A$2:$D$3723,4,FALSE)</f>
        <v>1.351</v>
      </c>
      <c r="U4">
        <f>VLOOKUP($A4&amp;U$1,Data!$A$2:$D$3723,4,FALSE)</f>
        <v>0.67596000000000001</v>
      </c>
      <c r="V4">
        <f>VLOOKUP($A4&amp;V$1,Data!$A$2:$D$3723,4,FALSE)</f>
        <v>0.4</v>
      </c>
      <c r="W4">
        <f>VLOOKUP($A4&amp;W$1,Data!$A$2:$D$3723,4,FALSE)</f>
        <v>0.6</v>
      </c>
      <c r="X4">
        <f>VLOOKUP($A4&amp;X$1,Data!$A$2:$D$3723,4,FALSE)</f>
        <v>2.92</v>
      </c>
      <c r="Y4">
        <f>VLOOKUP($A4&amp;Y$1,Data!$A$2:$D$3723,4,FALSE)</f>
        <v>0.85599999999999998</v>
      </c>
      <c r="Z4">
        <f>VLOOKUP($A4&amp;Z$1,Data!$A$2:$D$3723,4,FALSE)</f>
        <v>0.20499999999999999</v>
      </c>
      <c r="AA4">
        <f>VLOOKUP($A4&amp;AA$1,Data!$A$2:$D$3723,4,FALSE)</f>
        <v>0.38800000000000001</v>
      </c>
      <c r="AB4">
        <f>VLOOKUP($A4&amp;AB$1,Data!$A$2:$D$3723,4,FALSE)</f>
        <v>0.15</v>
      </c>
      <c r="AC4">
        <f>VLOOKUP($A4&amp;AC$1,Data!$A$2:$D$3723,4,FALSE)</f>
        <v>2.0590000000000002</v>
      </c>
      <c r="AD4">
        <f>VLOOKUP($A4&amp;AD$1,Data!$A$2:$D$3723,4,FALSE)</f>
        <v>0.39100000000000001</v>
      </c>
      <c r="AE4">
        <f>VLOOKUP($A4&amp;AE$1,Data!$A$2:$D$3723,4,FALSE)</f>
        <v>4.2450000000000001</v>
      </c>
      <c r="AF4">
        <f>VLOOKUP($A4&amp;AF$1,Data!$A$2:$D$3723,4,FALSE)</f>
        <v>0</v>
      </c>
      <c r="AG4">
        <f>VLOOKUP($A4&amp;AG$1,Data!$A$2:$D$3723,4,FALSE)</f>
        <v>20000000</v>
      </c>
    </row>
    <row r="5" spans="1:33" hidden="1" x14ac:dyDescent="0.35">
      <c r="A5" s="13">
        <f t="shared" si="2"/>
        <v>4</v>
      </c>
      <c r="B5" t="s">
        <v>0</v>
      </c>
      <c r="C5" t="s">
        <v>2</v>
      </c>
      <c r="D5">
        <v>100</v>
      </c>
      <c r="E5" t="s">
        <v>17</v>
      </c>
      <c r="F5" s="5">
        <v>43831</v>
      </c>
      <c r="G5" s="5">
        <v>44562</v>
      </c>
      <c r="H5">
        <v>14</v>
      </c>
      <c r="I5">
        <v>9</v>
      </c>
      <c r="J5">
        <f t="shared" si="0"/>
        <v>30</v>
      </c>
      <c r="K5">
        <f t="shared" si="1"/>
        <v>70</v>
      </c>
      <c r="L5">
        <v>1000000</v>
      </c>
      <c r="M5">
        <f>VLOOKUP($A5&amp;M$1,Data!$A$2:$D$3723,4,FALSE)</f>
        <v>5.8100000000000001E-3</v>
      </c>
      <c r="N5">
        <f>VLOOKUP($A5&amp;N$1,Data!$A$2:$D$3723,4,FALSE)</f>
        <v>-1.57</v>
      </c>
      <c r="O5">
        <f>VLOOKUP($A5&amp;O$1,Data!$A$2:$D$3723,4,FALSE)</f>
        <v>198</v>
      </c>
      <c r="P5">
        <f>VLOOKUP($A5&amp;P$1,Data!$A$2:$D$3723,4,FALSE)</f>
        <v>1.1999999999999999E-3</v>
      </c>
      <c r="Q5">
        <f>VLOOKUP($A5&amp;Q$1,Data!$A$2:$D$3723,4,FALSE)</f>
        <v>-3.7000000000000002E-3</v>
      </c>
      <c r="R5">
        <f>VLOOKUP($A5&amp;R$1,Data!$A$2:$D$3723,4,FALSE)</f>
        <v>-1.9720000000000001E-2</v>
      </c>
      <c r="S5">
        <f>VLOOKUP($A5&amp;S$1,Data!$A$2:$D$3723,4,FALSE)</f>
        <v>1.6E-2</v>
      </c>
      <c r="T5">
        <f>VLOOKUP($A5&amp;T$1,Data!$A$2:$D$3723,4,FALSE)</f>
        <v>-0.56200000000000006</v>
      </c>
      <c r="U5">
        <f>VLOOKUP($A5&amp;U$1,Data!$A$2:$D$3723,4,FALSE)</f>
        <v>-1.274E-2</v>
      </c>
      <c r="V5">
        <f>VLOOKUP($A5&amp;V$1,Data!$A$2:$D$3723,4,FALSE)</f>
        <v>0.67</v>
      </c>
      <c r="W5">
        <f>VLOOKUP($A5&amp;W$1,Data!$A$2:$D$3723,4,FALSE)</f>
        <v>0.33</v>
      </c>
      <c r="X5">
        <f>VLOOKUP($A5&amp;X$1,Data!$A$2:$D$3723,4,FALSE)</f>
        <v>0.31</v>
      </c>
      <c r="Y5">
        <f>VLOOKUP($A5&amp;Y$1,Data!$A$2:$D$3723,4,FALSE)</f>
        <v>-1.4999999999999999E-2</v>
      </c>
      <c r="Z5">
        <f>VLOOKUP($A5&amp;Z$1,Data!$A$2:$D$3723,4,FALSE)</f>
        <v>2.3E-2</v>
      </c>
      <c r="AA5">
        <f>VLOOKUP($A5&amp;AA$1,Data!$A$2:$D$3723,4,FALSE)</f>
        <v>8.9999999999999993E-3</v>
      </c>
      <c r="AB5">
        <f>VLOOKUP($A5&amp;AB$1,Data!$A$2:$D$3723,4,FALSE)</f>
        <v>0</v>
      </c>
      <c r="AC5">
        <f>VLOOKUP($A5&amp;AC$1,Data!$A$2:$D$3723,4,FALSE)</f>
        <v>-1.18</v>
      </c>
      <c r="AD5">
        <f>VLOOKUP($A5&amp;AD$1,Data!$A$2:$D$3723,4,FALSE)</f>
        <v>6.6000000000000003E-2</v>
      </c>
      <c r="AE5">
        <f>VLOOKUP($A5&amp;AE$1,Data!$A$2:$D$3723,4,FALSE)</f>
        <v>-0.58799999999999997</v>
      </c>
      <c r="AF5">
        <f>VLOOKUP($A5&amp;AF$1,Data!$A$2:$D$3723,4,FALSE)</f>
        <v>0</v>
      </c>
      <c r="AG5">
        <f>VLOOKUP($A5&amp;AG$1,Data!$A$2:$D$3723,4,FALSE)</f>
        <v>95000000</v>
      </c>
    </row>
    <row r="6" spans="1:33" hidden="1" x14ac:dyDescent="0.35">
      <c r="A6" s="13">
        <f t="shared" si="2"/>
        <v>5</v>
      </c>
      <c r="B6" t="s">
        <v>0</v>
      </c>
      <c r="C6" t="s">
        <v>2</v>
      </c>
      <c r="D6">
        <v>1000</v>
      </c>
      <c r="E6" t="s">
        <v>17</v>
      </c>
      <c r="F6" s="5">
        <v>43831</v>
      </c>
      <c r="G6" s="5">
        <v>44562</v>
      </c>
      <c r="H6">
        <v>14</v>
      </c>
      <c r="I6">
        <v>9</v>
      </c>
      <c r="J6">
        <f t="shared" si="0"/>
        <v>30</v>
      </c>
      <c r="K6">
        <f t="shared" si="1"/>
        <v>70</v>
      </c>
      <c r="L6">
        <v>1000000</v>
      </c>
      <c r="M6">
        <f>VLOOKUP($A6&amp;M$1,Data!$A$2:$D$3723,4,FALSE)</f>
        <v>5.9800000000000001E-3</v>
      </c>
      <c r="N6">
        <f>VLOOKUP($A6&amp;N$1,Data!$A$2:$D$3723,4,FALSE)</f>
        <v>-1.4610000000000001</v>
      </c>
      <c r="O6">
        <f>VLOOKUP($A6&amp;O$1,Data!$A$2:$D$3723,4,FALSE)</f>
        <v>198</v>
      </c>
      <c r="P6">
        <f>VLOOKUP($A6&amp;P$1,Data!$A$2:$D$3723,4,FALSE)</f>
        <v>1.17E-2</v>
      </c>
      <c r="Q6">
        <f>VLOOKUP($A6&amp;Q$1,Data!$A$2:$D$3723,4,FALSE)</f>
        <v>-3.8199999999999998E-2</v>
      </c>
      <c r="R6">
        <f>VLOOKUP($A6&amp;R$1,Data!$A$2:$D$3723,4,FALSE)</f>
        <v>-0.19076000000000001</v>
      </c>
      <c r="S6">
        <f>VLOOKUP($A6&amp;S$1,Data!$A$2:$D$3723,4,FALSE)</f>
        <v>0.159</v>
      </c>
      <c r="T6">
        <f>VLOOKUP($A6&amp;T$1,Data!$A$2:$D$3723,4,FALSE)</f>
        <v>-0.56499999999999995</v>
      </c>
      <c r="U6">
        <f>VLOOKUP($A6&amp;U$1,Data!$A$2:$D$3723,4,FALSE)</f>
        <v>-0.12737000000000001</v>
      </c>
      <c r="V6">
        <f>VLOOKUP($A6&amp;V$1,Data!$A$2:$D$3723,4,FALSE)</f>
        <v>0.67</v>
      </c>
      <c r="W6">
        <f>VLOOKUP($A6&amp;W$1,Data!$A$2:$D$3723,4,FALSE)</f>
        <v>0.33</v>
      </c>
      <c r="X6">
        <f>VLOOKUP($A6&amp;X$1,Data!$A$2:$D$3723,4,FALSE)</f>
        <v>0.31</v>
      </c>
      <c r="Y6">
        <f>VLOOKUP($A6&amp;Y$1,Data!$A$2:$D$3723,4,FALSE)</f>
        <v>-0.14899999999999999</v>
      </c>
      <c r="Z6">
        <f>VLOOKUP($A6&amp;Z$1,Data!$A$2:$D$3723,4,FALSE)</f>
        <v>0.24399999999999999</v>
      </c>
      <c r="AA6">
        <f>VLOOKUP($A6&amp;AA$1,Data!$A$2:$D$3723,4,FALSE)</f>
        <v>9.0999999999999998E-2</v>
      </c>
      <c r="AB6">
        <f>VLOOKUP($A6&amp;AB$1,Data!$A$2:$D$3723,4,FALSE)</f>
        <v>8.0000000000000002E-3</v>
      </c>
      <c r="AC6">
        <f>VLOOKUP($A6&amp;AC$1,Data!$A$2:$D$3723,4,FALSE)</f>
        <v>-1.917</v>
      </c>
      <c r="AD6">
        <f>VLOOKUP($A6&amp;AD$1,Data!$A$2:$D$3723,4,FALSE)</f>
        <v>0.10299999999999999</v>
      </c>
      <c r="AE6">
        <f>VLOOKUP($A6&amp;AE$1,Data!$A$2:$D$3723,4,FALSE)</f>
        <v>-0.54500000000000004</v>
      </c>
      <c r="AF6">
        <f>VLOOKUP($A6&amp;AF$1,Data!$A$2:$D$3723,4,FALSE)</f>
        <v>0</v>
      </c>
      <c r="AG6">
        <f>VLOOKUP($A6&amp;AG$1,Data!$A$2:$D$3723,4,FALSE)</f>
        <v>13000000</v>
      </c>
    </row>
    <row r="7" spans="1:33" hidden="1" x14ac:dyDescent="0.35">
      <c r="A7" s="13">
        <f t="shared" si="2"/>
        <v>6</v>
      </c>
      <c r="B7" t="s">
        <v>0</v>
      </c>
      <c r="C7" t="s">
        <v>2</v>
      </c>
      <c r="D7">
        <v>5000</v>
      </c>
      <c r="E7" t="s">
        <v>17</v>
      </c>
      <c r="F7" s="5">
        <v>43831</v>
      </c>
      <c r="G7" s="5">
        <v>44562</v>
      </c>
      <c r="H7">
        <v>14</v>
      </c>
      <c r="I7">
        <v>9</v>
      </c>
      <c r="J7">
        <f t="shared" si="0"/>
        <v>30</v>
      </c>
      <c r="K7">
        <f t="shared" si="1"/>
        <v>70</v>
      </c>
      <c r="L7">
        <v>1000000</v>
      </c>
      <c r="M7">
        <f>VLOOKUP($A7&amp;M$1,Data!$A$2:$D$3723,4,FALSE)</f>
        <v>1.468E-2</v>
      </c>
      <c r="N7">
        <f>VLOOKUP($A7&amp;N$1,Data!$A$2:$D$3723,4,FALSE)</f>
        <v>-0.93700000000000006</v>
      </c>
      <c r="O7">
        <f>VLOOKUP($A7&amp;O$1,Data!$A$2:$D$3723,4,FALSE)</f>
        <v>195</v>
      </c>
      <c r="P7">
        <f>VLOOKUP($A7&amp;P$1,Data!$A$2:$D$3723,4,FALSE)</f>
        <v>5.9900000000000002E-2</v>
      </c>
      <c r="Q7">
        <f>VLOOKUP($A7&amp;Q$1,Data!$A$2:$D$3723,4,FALSE)</f>
        <v>-0.19839999999999999</v>
      </c>
      <c r="R7">
        <f>VLOOKUP($A7&amp;R$1,Data!$A$2:$D$3723,4,FALSE)</f>
        <v>-0.72033999999999998</v>
      </c>
      <c r="S7">
        <f>VLOOKUP($A7&amp;S$1,Data!$A$2:$D$3723,4,FALSE)</f>
        <v>0.63400000000000001</v>
      </c>
      <c r="T7">
        <f>VLOOKUP($A7&amp;T$1,Data!$A$2:$D$3723,4,FALSE)</f>
        <v>-0.56599999999999995</v>
      </c>
      <c r="U7">
        <f>VLOOKUP($A7&amp;U$1,Data!$A$2:$D$3723,4,FALSE)</f>
        <v>-0.55966000000000005</v>
      </c>
      <c r="V7">
        <f>VLOOKUP($A7&amp;V$1,Data!$A$2:$D$3723,4,FALSE)</f>
        <v>0.67</v>
      </c>
      <c r="W7">
        <f>VLOOKUP($A7&amp;W$1,Data!$A$2:$D$3723,4,FALSE)</f>
        <v>0.33</v>
      </c>
      <c r="X7">
        <f>VLOOKUP($A7&amp;X$1,Data!$A$2:$D$3723,4,FALSE)</f>
        <v>0.3</v>
      </c>
      <c r="Y7">
        <f>VLOOKUP($A7&amp;Y$1,Data!$A$2:$D$3723,4,FALSE)</f>
        <v>-0.61599999999999999</v>
      </c>
      <c r="Z7">
        <f>VLOOKUP($A7&amp;Z$1,Data!$A$2:$D$3723,4,FALSE)</f>
        <v>1.53</v>
      </c>
      <c r="AA7">
        <f>VLOOKUP($A7&amp;AA$1,Data!$A$2:$D$3723,4,FALSE)</f>
        <v>0.55300000000000005</v>
      </c>
      <c r="AB7">
        <f>VLOOKUP($A7&amp;AB$1,Data!$A$2:$D$3723,4,FALSE)</f>
        <v>0.30499999999999999</v>
      </c>
      <c r="AC7">
        <f>VLOOKUP($A7&amp;AC$1,Data!$A$2:$D$3723,4,FALSE)</f>
        <v>-1.069</v>
      </c>
      <c r="AD7">
        <f>VLOOKUP($A7&amp;AD$1,Data!$A$2:$D$3723,4,FALSE)</f>
        <v>0.54400000000000004</v>
      </c>
      <c r="AE7">
        <f>VLOOKUP($A7&amp;AE$1,Data!$A$2:$D$3723,4,FALSE)</f>
        <v>-0.33800000000000002</v>
      </c>
      <c r="AF7">
        <f>VLOOKUP($A7&amp;AF$1,Data!$A$2:$D$3723,4,FALSE)</f>
        <v>0</v>
      </c>
      <c r="AG7">
        <f>VLOOKUP($A7&amp;AG$1,Data!$A$2:$D$3723,4,FALSE)</f>
        <v>3000000</v>
      </c>
    </row>
    <row r="8" spans="1:33" hidden="1" x14ac:dyDescent="0.35">
      <c r="A8" s="13">
        <f t="shared" si="2"/>
        <v>7</v>
      </c>
      <c r="B8" t="s">
        <v>0</v>
      </c>
      <c r="C8" t="s">
        <v>22</v>
      </c>
      <c r="D8">
        <v>100</v>
      </c>
      <c r="E8" t="s">
        <v>17</v>
      </c>
      <c r="F8" s="5">
        <v>43831</v>
      </c>
      <c r="G8" s="5">
        <v>44562</v>
      </c>
      <c r="H8">
        <v>14</v>
      </c>
      <c r="I8">
        <v>9</v>
      </c>
      <c r="J8">
        <f t="shared" si="0"/>
        <v>30</v>
      </c>
      <c r="K8">
        <f t="shared" si="1"/>
        <v>70</v>
      </c>
      <c r="L8">
        <v>1000000</v>
      </c>
      <c r="M8">
        <f>VLOOKUP($A8&amp;M$1,Data!$A$2:$D$3723,4,FALSE)</f>
        <v>1.554E-2</v>
      </c>
      <c r="N8">
        <f>VLOOKUP($A8&amp;N$1,Data!$A$2:$D$3723,4,FALSE)</f>
        <v>-1.2050000000000001</v>
      </c>
      <c r="O8">
        <f>VLOOKUP($A8&amp;O$1,Data!$A$2:$D$3723,4,FALSE)</f>
        <v>136</v>
      </c>
      <c r="P8">
        <f>VLOOKUP($A8&amp;P$1,Data!$A$2:$D$3723,4,FALSE)</f>
        <v>4.7000000000000002E-3</v>
      </c>
      <c r="Q8">
        <f>VLOOKUP($A8&amp;Q$1,Data!$A$2:$D$3723,4,FALSE)</f>
        <v>-1.2999999999999999E-2</v>
      </c>
      <c r="R8">
        <f>VLOOKUP($A8&amp;R$1,Data!$A$2:$D$3723,4,FALSE)</f>
        <v>-2.512E-2</v>
      </c>
      <c r="S8">
        <f>VLOOKUP($A8&amp;S$1,Data!$A$2:$D$3723,4,FALSE)</f>
        <v>2.7E-2</v>
      </c>
      <c r="T8">
        <f>VLOOKUP($A8&amp;T$1,Data!$A$2:$D$3723,4,FALSE)</f>
        <v>-0.32</v>
      </c>
      <c r="U8">
        <f>VLOOKUP($A8&amp;U$1,Data!$A$2:$D$3723,4,FALSE)</f>
        <v>-1.6240000000000001E-2</v>
      </c>
      <c r="V8">
        <f>VLOOKUP($A8&amp;V$1,Data!$A$2:$D$3723,4,FALSE)</f>
        <v>0.5</v>
      </c>
      <c r="W8">
        <f>VLOOKUP($A8&amp;W$1,Data!$A$2:$D$3723,4,FALSE)</f>
        <v>0.5</v>
      </c>
      <c r="X8">
        <f>VLOOKUP($A8&amp;X$1,Data!$A$2:$D$3723,4,FALSE)</f>
        <v>0.36</v>
      </c>
      <c r="Y8">
        <f>VLOOKUP($A8&amp;Y$1,Data!$A$2:$D$3723,4,FALSE)</f>
        <v>-1.9E-2</v>
      </c>
      <c r="Z8">
        <f>VLOOKUP($A8&amp;Z$1,Data!$A$2:$D$3723,4,FALSE)</f>
        <v>1.7999999999999999E-2</v>
      </c>
      <c r="AA8">
        <f>VLOOKUP($A8&amp;AA$1,Data!$A$2:$D$3723,4,FALSE)</f>
        <v>1.4E-2</v>
      </c>
      <c r="AB8">
        <f>VLOOKUP($A8&amp;AB$1,Data!$A$2:$D$3723,4,FALSE)</f>
        <v>0</v>
      </c>
      <c r="AC8">
        <f>VLOOKUP($A8&amp;AC$1,Data!$A$2:$D$3723,4,FALSE)</f>
        <v>-1.212</v>
      </c>
      <c r="AD8">
        <f>VLOOKUP($A8&amp;AD$1,Data!$A$2:$D$3723,4,FALSE)</f>
        <v>6.7000000000000004E-2</v>
      </c>
      <c r="AE8">
        <f>VLOOKUP($A8&amp;AE$1,Data!$A$2:$D$3723,4,FALSE)</f>
        <v>-0.96299999999999997</v>
      </c>
      <c r="AF8">
        <f>VLOOKUP($A8&amp;AF$1,Data!$A$2:$D$3723,4,FALSE)</f>
        <v>0</v>
      </c>
      <c r="AG8">
        <f>VLOOKUP($A8&amp;AG$1,Data!$A$2:$D$3723,4,FALSE)</f>
        <v>240000000</v>
      </c>
    </row>
    <row r="9" spans="1:33" hidden="1" x14ac:dyDescent="0.35">
      <c r="A9" s="13">
        <f t="shared" si="2"/>
        <v>8</v>
      </c>
      <c r="B9" t="s">
        <v>0</v>
      </c>
      <c r="C9" t="s">
        <v>22</v>
      </c>
      <c r="D9">
        <v>1000</v>
      </c>
      <c r="E9" t="s">
        <v>17</v>
      </c>
      <c r="F9" s="5">
        <v>43831</v>
      </c>
      <c r="G9" s="5">
        <v>44562</v>
      </c>
      <c r="H9">
        <v>14</v>
      </c>
      <c r="I9">
        <v>9</v>
      </c>
      <c r="J9">
        <f t="shared" si="0"/>
        <v>30</v>
      </c>
      <c r="K9">
        <f t="shared" si="1"/>
        <v>70</v>
      </c>
      <c r="L9">
        <v>1000000</v>
      </c>
      <c r="M9">
        <f>VLOOKUP($A9&amp;M$1,Data!$A$2:$D$3723,4,FALSE)</f>
        <v>1.626E-2</v>
      </c>
      <c r="N9">
        <f>VLOOKUP($A9&amp;N$1,Data!$A$2:$D$3723,4,FALSE)</f>
        <v>-1.1040000000000001</v>
      </c>
      <c r="O9">
        <f>VLOOKUP($A9&amp;O$1,Data!$A$2:$D$3723,4,FALSE)</f>
        <v>136</v>
      </c>
      <c r="P9">
        <f>VLOOKUP($A9&amp;P$1,Data!$A$2:$D$3723,4,FALSE)</f>
        <v>4.6100000000000002E-2</v>
      </c>
      <c r="Q9">
        <f>VLOOKUP($A9&amp;Q$1,Data!$A$2:$D$3723,4,FALSE)</f>
        <v>-0.12509999999999999</v>
      </c>
      <c r="R9">
        <f>VLOOKUP($A9&amp;R$1,Data!$A$2:$D$3723,4,FALSE)</f>
        <v>-0.24071000000000001</v>
      </c>
      <c r="S9">
        <f>VLOOKUP($A9&amp;S$1,Data!$A$2:$D$3723,4,FALSE)</f>
        <v>0.245</v>
      </c>
      <c r="T9">
        <f>VLOOKUP($A9&amp;T$1,Data!$A$2:$D$3723,4,FALSE)</f>
        <v>-0.316</v>
      </c>
      <c r="U9">
        <f>VLOOKUP($A9&amp;U$1,Data!$A$2:$D$3723,4,FALSE)</f>
        <v>-0.16244</v>
      </c>
      <c r="V9">
        <f>VLOOKUP($A9&amp;V$1,Data!$A$2:$D$3723,4,FALSE)</f>
        <v>0.5</v>
      </c>
      <c r="W9">
        <f>VLOOKUP($A9&amp;W$1,Data!$A$2:$D$3723,4,FALSE)</f>
        <v>0.5</v>
      </c>
      <c r="X9">
        <f>VLOOKUP($A9&amp;X$1,Data!$A$2:$D$3723,4,FALSE)</f>
        <v>0.37</v>
      </c>
      <c r="Y9">
        <f>VLOOKUP($A9&amp;Y$1,Data!$A$2:$D$3723,4,FALSE)</f>
        <v>-0.17599999999999999</v>
      </c>
      <c r="Z9">
        <f>VLOOKUP($A9&amp;Z$1,Data!$A$2:$D$3723,4,FALSE)</f>
        <v>0.183</v>
      </c>
      <c r="AA9">
        <f>VLOOKUP($A9&amp;AA$1,Data!$A$2:$D$3723,4,FALSE)</f>
        <v>0.14899999999999999</v>
      </c>
      <c r="AB9">
        <f>VLOOKUP($A9&amp;AB$1,Data!$A$2:$D$3723,4,FALSE)</f>
        <v>2.1999999999999999E-2</v>
      </c>
      <c r="AC9">
        <f>VLOOKUP($A9&amp;AC$1,Data!$A$2:$D$3723,4,FALSE)</f>
        <v>-1.444</v>
      </c>
      <c r="AD9">
        <f>VLOOKUP($A9&amp;AD$1,Data!$A$2:$D$3723,4,FALSE)</f>
        <v>0.158</v>
      </c>
      <c r="AE9">
        <f>VLOOKUP($A9&amp;AE$1,Data!$A$2:$D$3723,4,FALSE)</f>
        <v>-0.89800000000000002</v>
      </c>
      <c r="AF9">
        <f>VLOOKUP($A9&amp;AF$1,Data!$A$2:$D$3723,4,FALSE)</f>
        <v>0</v>
      </c>
      <c r="AG9">
        <f>VLOOKUP($A9&amp;AG$1,Data!$A$2:$D$3723,4,FALSE)</f>
        <v>23000000</v>
      </c>
    </row>
    <row r="10" spans="1:33" hidden="1" x14ac:dyDescent="0.35">
      <c r="A10" s="13">
        <f t="shared" si="2"/>
        <v>9</v>
      </c>
      <c r="B10" t="s">
        <v>0</v>
      </c>
      <c r="C10" t="s">
        <v>22</v>
      </c>
      <c r="D10">
        <v>5000</v>
      </c>
      <c r="E10" t="s">
        <v>17</v>
      </c>
      <c r="F10" s="5">
        <v>43831</v>
      </c>
      <c r="G10" s="5">
        <v>44562</v>
      </c>
      <c r="H10">
        <v>14</v>
      </c>
      <c r="I10">
        <v>9</v>
      </c>
      <c r="J10">
        <f t="shared" si="0"/>
        <v>30</v>
      </c>
      <c r="K10">
        <f t="shared" si="1"/>
        <v>70</v>
      </c>
      <c r="L10">
        <v>1000000</v>
      </c>
      <c r="M10">
        <f>VLOOKUP($A10&amp;M$1,Data!$A$2:$D$3975,4,FALSE)</f>
        <v>1.6049999999999998E-2</v>
      </c>
      <c r="N10">
        <f>VLOOKUP($A10&amp;N$1,Data!$A$2:$D$3975,4,FALSE)</f>
        <v>-0.78800000000000003</v>
      </c>
      <c r="O10">
        <f>VLOOKUP($A10&amp;O$1,Data!$A$2:$D$3975,4,FALSE)</f>
        <v>148</v>
      </c>
      <c r="P10">
        <f>VLOOKUP($A10&amp;P$1,Data!$A$2:$D$3975,4,FALSE)</f>
        <v>0.219</v>
      </c>
      <c r="Q10">
        <f>VLOOKUP($A10&amp;Q$1,Data!$A$2:$D$3975,4,FALSE)</f>
        <v>-0.11219999999999999</v>
      </c>
      <c r="R10">
        <f>VLOOKUP($A10&amp;R$1,Data!$A$2:$D$3975,4,FALSE)</f>
        <v>-0.85114000000000001</v>
      </c>
      <c r="S10">
        <f>VLOOKUP($A10&amp;S$1,Data!$A$2:$D$3975,4,FALSE)</f>
        <v>0.81799999999999995</v>
      </c>
      <c r="T10">
        <f>VLOOKUP($A10&amp;T$1,Data!$A$2:$D$3975,4,FALSE)</f>
        <v>-0.57799999999999996</v>
      </c>
      <c r="U10">
        <f>VLOOKUP($A10&amp;U$1,Data!$A$2:$D$3975,4,FALSE)</f>
        <v>-0.70809999999999995</v>
      </c>
      <c r="V10">
        <f>VLOOKUP($A10&amp;V$1,Data!$A$2:$D$3975,4,FALSE)</f>
        <v>0.86</v>
      </c>
      <c r="W10">
        <f>VLOOKUP($A10&amp;W$1,Data!$A$2:$D$3975,4,FALSE)</f>
        <v>0.14000000000000001</v>
      </c>
      <c r="X10">
        <f>VLOOKUP($A10&amp;X$1,Data!$A$2:$D$3975,4,FALSE)</f>
        <v>1.95</v>
      </c>
      <c r="Y10">
        <f>VLOOKUP($A10&amp;Y$1,Data!$A$2:$D$3975,4,FALSE)</f>
        <v>-0.68200000000000005</v>
      </c>
      <c r="Z10">
        <f>VLOOKUP($A10&amp;Z$1,Data!$A$2:$D$3975,4,FALSE)</f>
        <v>0.82699999999999996</v>
      </c>
      <c r="AA10">
        <f>VLOOKUP($A10&amp;AA$1,Data!$A$2:$D$3975,4,FALSE)</f>
        <v>0.79900000000000004</v>
      </c>
      <c r="AB10">
        <f>VLOOKUP($A10&amp;AB$1,Data!$A$2:$D$3975,4,FALSE)</f>
        <v>0.63800000000000001</v>
      </c>
      <c r="AC10">
        <f>VLOOKUP($A10&amp;AC$1,Data!$A$2:$D$3975,4,FALSE)</f>
        <v>-0.86899999999999999</v>
      </c>
      <c r="AD10">
        <f>VLOOKUP($A10&amp;AD$1,Data!$A$2:$D$3975,4,FALSE)</f>
        <v>0.79700000000000004</v>
      </c>
      <c r="AE10">
        <f>VLOOKUP($A10&amp;AE$1,Data!$A$2:$D$3975,4,FALSE)</f>
        <v>-0.76100000000000001</v>
      </c>
      <c r="AF10">
        <f>VLOOKUP($A10&amp;AF$1,Data!$A$2:$D$3975,4,FALSE)</f>
        <v>0</v>
      </c>
      <c r="AG10">
        <f>VLOOKUP($A10&amp;AG$1,Data!$A$2:$D$3975,4,FALSE)</f>
        <v>1800000</v>
      </c>
    </row>
    <row r="11" spans="1:33" hidden="1" x14ac:dyDescent="0.35">
      <c r="A11" s="13">
        <f t="shared" si="2"/>
        <v>10</v>
      </c>
      <c r="B11" t="s">
        <v>0</v>
      </c>
      <c r="C11" t="s">
        <v>3</v>
      </c>
      <c r="D11">
        <v>100</v>
      </c>
      <c r="E11" t="s">
        <v>17</v>
      </c>
      <c r="F11" s="5">
        <v>43831</v>
      </c>
      <c r="G11" s="5">
        <v>44562</v>
      </c>
      <c r="H11">
        <v>14</v>
      </c>
      <c r="I11">
        <v>9</v>
      </c>
      <c r="J11">
        <f t="shared" si="0"/>
        <v>32</v>
      </c>
      <c r="K11">
        <f t="shared" si="1"/>
        <v>68</v>
      </c>
      <c r="L11">
        <v>1000000</v>
      </c>
      <c r="M11">
        <f>VLOOKUP($A11&amp;M$1,Data!$A$2:$D$3954,4,FALSE)</f>
        <v>1.1199999999999999E-3</v>
      </c>
      <c r="N11">
        <f>VLOOKUP($A11&amp;N$1,Data!$A$2:$D$3954,4,FALSE)</f>
        <v>-1.6970000000000001</v>
      </c>
      <c r="O11">
        <f>VLOOKUP($A11&amp;O$1,Data!$A$2:$D$3954,4,FALSE)</f>
        <v>403</v>
      </c>
      <c r="P11">
        <f>VLOOKUP($A11&amp;P$1,Data!$A$2:$D$3954,4,FALSE)</f>
        <v>8.9999999999999998E-4</v>
      </c>
      <c r="Q11">
        <f>VLOOKUP($A11&amp;Q$1,Data!$A$2:$D$3954,4,FALSE)</f>
        <v>-1.6999999999999999E-3</v>
      </c>
      <c r="R11">
        <f>VLOOKUP($A11&amp;R$1,Data!$A$2:$D$3954,4,FALSE)</f>
        <v>-1.515E-2</v>
      </c>
      <c r="S11">
        <f>VLOOKUP($A11&amp;S$1,Data!$A$2:$D$3954,4,FALSE)</f>
        <v>1.2E-2</v>
      </c>
      <c r="T11">
        <f>VLOOKUP($A11&amp;T$1,Data!$A$2:$D$3954,4,FALSE)</f>
        <v>-0.42299999999999999</v>
      </c>
      <c r="U11">
        <f>VLOOKUP($A11&amp;U$1,Data!$A$2:$D$3954,4,FALSE)</f>
        <v>-9.8200000000000006E-3</v>
      </c>
      <c r="V11">
        <f>VLOOKUP($A11&amp;V$1,Data!$A$2:$D$3954,4,FALSE)</f>
        <v>0.62</v>
      </c>
      <c r="W11">
        <f>VLOOKUP($A11&amp;W$1,Data!$A$2:$D$3954,4,FALSE)</f>
        <v>0.38</v>
      </c>
      <c r="X11">
        <f>VLOOKUP($A11&amp;X$1,Data!$A$2:$D$3954,4,FALSE)</f>
        <v>0.5</v>
      </c>
      <c r="Y11">
        <f>VLOOKUP($A11&amp;Y$1,Data!$A$2:$D$3954,4,FALSE)</f>
        <v>-1.0999999999999999E-2</v>
      </c>
      <c r="Z11">
        <f>VLOOKUP($A11&amp;Z$1,Data!$A$2:$D$3954,4,FALSE)</f>
        <v>7.0000000000000001E-3</v>
      </c>
      <c r="AA11">
        <f>VLOOKUP($A11&amp;AA$1,Data!$A$2:$D$3954,4,FALSE)</f>
        <v>6.0000000000000001E-3</v>
      </c>
      <c r="AB11">
        <f>VLOOKUP($A11&amp;AB$1,Data!$A$2:$D$3954,4,FALSE)</f>
        <v>0</v>
      </c>
      <c r="AC11">
        <f>VLOOKUP($A11&amp;AC$1,Data!$A$2:$D$3954,4,FALSE)</f>
        <v>-1.115</v>
      </c>
      <c r="AD11">
        <f>VLOOKUP($A11&amp;AD$1,Data!$A$2:$D$3954,4,FALSE)</f>
        <v>6.7000000000000004E-2</v>
      </c>
      <c r="AE11">
        <f>VLOOKUP($A11&amp;AE$1,Data!$A$2:$D$3954,4,FALSE)</f>
        <v>-1.4339999999999999</v>
      </c>
      <c r="AF11">
        <f>VLOOKUP($A11&amp;AF$1,Data!$A$2:$D$3954,4,FALSE)</f>
        <v>0</v>
      </c>
      <c r="AG11">
        <f>VLOOKUP($A11&amp;AG$1,Data!$A$2:$D$3954,4,FALSE)</f>
        <v>280000000</v>
      </c>
    </row>
    <row r="12" spans="1:33" hidden="1" x14ac:dyDescent="0.35">
      <c r="A12" s="13">
        <f t="shared" si="2"/>
        <v>11</v>
      </c>
      <c r="B12" t="s">
        <v>0</v>
      </c>
      <c r="C12" t="s">
        <v>3</v>
      </c>
      <c r="D12">
        <v>1000</v>
      </c>
      <c r="E12" t="s">
        <v>17</v>
      </c>
      <c r="F12" s="5">
        <v>43831</v>
      </c>
      <c r="G12" s="5">
        <v>44562</v>
      </c>
      <c r="H12">
        <v>14</v>
      </c>
      <c r="I12">
        <v>9</v>
      </c>
      <c r="J12">
        <f t="shared" si="0"/>
        <v>32</v>
      </c>
      <c r="K12">
        <f t="shared" si="1"/>
        <v>68</v>
      </c>
      <c r="L12">
        <v>1000000</v>
      </c>
      <c r="M12">
        <f>VLOOKUP($A12&amp;M$1,Data!$A$2:$D$3954,4,FALSE)</f>
        <v>1.42E-3</v>
      </c>
      <c r="N12">
        <f>VLOOKUP($A12&amp;N$1,Data!$A$2:$D$3954,4,FALSE)</f>
        <v>-1.587</v>
      </c>
      <c r="O12">
        <f>VLOOKUP($A12&amp;O$1,Data!$A$2:$D$3954,4,FALSE)</f>
        <v>403</v>
      </c>
      <c r="P12">
        <f>VLOOKUP($A12&amp;P$1,Data!$A$2:$D$3954,4,FALSE)</f>
        <v>9.2999999999999992E-3</v>
      </c>
      <c r="Q12">
        <f>VLOOKUP($A12&amp;Q$1,Data!$A$2:$D$3954,4,FALSE)</f>
        <v>-1.8100000000000002E-2</v>
      </c>
      <c r="R12">
        <f>VLOOKUP($A12&amp;R$1,Data!$A$2:$D$3954,4,FALSE)</f>
        <v>-0.14777999999999999</v>
      </c>
      <c r="S12">
        <f>VLOOKUP($A12&amp;S$1,Data!$A$2:$D$3954,4,FALSE)</f>
        <v>0.11799999999999999</v>
      </c>
      <c r="T12">
        <f>VLOOKUP($A12&amp;T$1,Data!$A$2:$D$3954,4,FALSE)</f>
        <v>-0.41799999999999998</v>
      </c>
      <c r="U12">
        <f>VLOOKUP($A12&amp;U$1,Data!$A$2:$D$3954,4,FALSE)</f>
        <v>-9.8210000000000006E-2</v>
      </c>
      <c r="V12">
        <f>VLOOKUP($A12&amp;V$1,Data!$A$2:$D$3954,4,FALSE)</f>
        <v>0.62</v>
      </c>
      <c r="W12">
        <f>VLOOKUP($A12&amp;W$1,Data!$A$2:$D$3954,4,FALSE)</f>
        <v>0.38</v>
      </c>
      <c r="X12">
        <f>VLOOKUP($A12&amp;X$1,Data!$A$2:$D$3954,4,FALSE)</f>
        <v>0.51</v>
      </c>
      <c r="Y12">
        <f>VLOOKUP($A12&amp;Y$1,Data!$A$2:$D$3954,4,FALSE)</f>
        <v>-0.108</v>
      </c>
      <c r="Z12">
        <f>VLOOKUP($A12&amp;Z$1,Data!$A$2:$D$3954,4,FALSE)</f>
        <v>7.5999999999999998E-2</v>
      </c>
      <c r="AA12">
        <f>VLOOKUP($A12&amp;AA$1,Data!$A$2:$D$3954,4,FALSE)</f>
        <v>6.5000000000000002E-2</v>
      </c>
      <c r="AB12">
        <f>VLOOKUP($A12&amp;AB$1,Data!$A$2:$D$3954,4,FALSE)</f>
        <v>4.0000000000000001E-3</v>
      </c>
      <c r="AC12">
        <f>VLOOKUP($A12&amp;AC$1,Data!$A$2:$D$3954,4,FALSE)</f>
        <v>-1.865</v>
      </c>
      <c r="AD12">
        <f>VLOOKUP($A12&amp;AD$1,Data!$A$2:$D$3954,4,FALSE)</f>
        <v>8.8999999999999996E-2</v>
      </c>
      <c r="AE12">
        <f>VLOOKUP($A12&amp;AE$1,Data!$A$2:$D$3954,4,FALSE)</f>
        <v>-1.3480000000000001</v>
      </c>
      <c r="AF12">
        <f>VLOOKUP($A12&amp;AF$1,Data!$A$2:$D$3954,4,FALSE)</f>
        <v>0</v>
      </c>
      <c r="AG12">
        <f>VLOOKUP($A12&amp;AG$1,Data!$A$2:$D$3954,4,FALSE)</f>
        <v>29000000</v>
      </c>
    </row>
    <row r="13" spans="1:33" hidden="1" x14ac:dyDescent="0.35">
      <c r="A13" s="13">
        <f t="shared" si="2"/>
        <v>12</v>
      </c>
      <c r="B13" t="s">
        <v>0</v>
      </c>
      <c r="C13" t="s">
        <v>3</v>
      </c>
      <c r="D13">
        <v>5000</v>
      </c>
      <c r="E13" t="s">
        <v>17</v>
      </c>
      <c r="F13" s="5">
        <v>43831</v>
      </c>
      <c r="G13" s="5">
        <v>44562</v>
      </c>
      <c r="H13">
        <v>14</v>
      </c>
      <c r="I13">
        <v>9</v>
      </c>
      <c r="J13">
        <f t="shared" si="0"/>
        <v>32</v>
      </c>
      <c r="K13">
        <f t="shared" si="1"/>
        <v>68</v>
      </c>
      <c r="L13">
        <v>1000000</v>
      </c>
      <c r="M13">
        <f>VLOOKUP($A13&amp;M$1,Data!$A$2:$D$3954,4,FALSE)</f>
        <v>4.0800000000000003E-3</v>
      </c>
      <c r="N13">
        <f>VLOOKUP($A13&amp;N$1,Data!$A$2:$D$3954,4,FALSE)</f>
        <v>-1.101</v>
      </c>
      <c r="O13">
        <f>VLOOKUP($A13&amp;O$1,Data!$A$2:$D$3954,4,FALSE)</f>
        <v>392</v>
      </c>
      <c r="P13">
        <f>VLOOKUP($A13&amp;P$1,Data!$A$2:$D$3954,4,FALSE)</f>
        <v>6.8599999999999994E-2</v>
      </c>
      <c r="Q13">
        <f>VLOOKUP($A13&amp;Q$1,Data!$A$2:$D$3954,4,FALSE)</f>
        <v>-9.8900000000000002E-2</v>
      </c>
      <c r="R13">
        <f>VLOOKUP($A13&amp;R$1,Data!$A$2:$D$3954,4,FALSE)</f>
        <v>-0.63749</v>
      </c>
      <c r="S13">
        <f>VLOOKUP($A13&amp;S$1,Data!$A$2:$D$3954,4,FALSE)</f>
        <v>0.56899999999999995</v>
      </c>
      <c r="T13">
        <f>VLOOKUP($A13&amp;T$1,Data!$A$2:$D$3954,4,FALSE)</f>
        <v>-0.39500000000000002</v>
      </c>
      <c r="U13">
        <f>VLOOKUP($A13&amp;U$1,Data!$A$2:$D$3954,4,FALSE)</f>
        <v>-0.48105999999999999</v>
      </c>
      <c r="V13">
        <f>VLOOKUP($A13&amp;V$1,Data!$A$2:$D$3954,4,FALSE)</f>
        <v>0.64</v>
      </c>
      <c r="W13">
        <f>VLOOKUP($A13&amp;W$1,Data!$A$2:$D$3954,4,FALSE)</f>
        <v>0.36</v>
      </c>
      <c r="X13">
        <f>VLOOKUP($A13&amp;X$1,Data!$A$2:$D$3954,4,FALSE)</f>
        <v>0.69</v>
      </c>
      <c r="Y13">
        <f>VLOOKUP($A13&amp;Y$1,Data!$A$2:$D$3954,4,FALSE)</f>
        <v>-0.48</v>
      </c>
      <c r="Z13">
        <f>VLOOKUP($A13&amp;Z$1,Data!$A$2:$D$3954,4,FALSE)</f>
        <v>0.33700000000000002</v>
      </c>
      <c r="AA13">
        <f>VLOOKUP($A13&amp;AA$1,Data!$A$2:$D$3954,4,FALSE)</f>
        <v>0.41599999999999998</v>
      </c>
      <c r="AB13">
        <f>VLOOKUP($A13&amp;AB$1,Data!$A$2:$D$3954,4,FALSE)</f>
        <v>0.17299999999999999</v>
      </c>
      <c r="AC13">
        <f>VLOOKUP($A13&amp;AC$1,Data!$A$2:$D$3954,4,FALSE)</f>
        <v>-1.2490000000000001</v>
      </c>
      <c r="AD13">
        <f>VLOOKUP($A13&amp;AD$1,Data!$A$2:$D$3954,4,FALSE)</f>
        <v>0.41799999999999998</v>
      </c>
      <c r="AE13">
        <f>VLOOKUP($A13&amp;AE$1,Data!$A$2:$D$3954,4,FALSE)</f>
        <v>-1.36</v>
      </c>
      <c r="AF13">
        <f>VLOOKUP($A13&amp;AF$1,Data!$A$2:$D$3954,4,FALSE)</f>
        <v>0</v>
      </c>
      <c r="AG13">
        <f>VLOOKUP($A13&amp;AG$1,Data!$A$2:$D$3954,4,FALSE)</f>
        <v>7000000</v>
      </c>
    </row>
    <row r="14" spans="1:33" hidden="1" x14ac:dyDescent="0.35">
      <c r="A14" s="13">
        <f t="shared" si="2"/>
        <v>13</v>
      </c>
      <c r="B14" t="s">
        <v>0</v>
      </c>
      <c r="C14" t="s">
        <v>2</v>
      </c>
      <c r="D14">
        <v>100</v>
      </c>
      <c r="E14" t="s">
        <v>17</v>
      </c>
      <c r="F14" s="5">
        <v>43831</v>
      </c>
      <c r="G14" s="5">
        <v>44562</v>
      </c>
      <c r="H14">
        <v>14</v>
      </c>
      <c r="I14">
        <v>9</v>
      </c>
      <c r="J14">
        <f t="shared" si="0"/>
        <v>32</v>
      </c>
      <c r="K14">
        <f t="shared" si="1"/>
        <v>68</v>
      </c>
      <c r="L14">
        <v>1000000</v>
      </c>
      <c r="M14">
        <f>VLOOKUP($A14&amp;M$1,Data!$A$2:$D$3954,4,FALSE)</f>
        <v>2.4680000000000001E-2</v>
      </c>
      <c r="N14">
        <f>VLOOKUP($A14&amp;N$1,Data!$A$2:$D$3954,4,FALSE)</f>
        <v>-1</v>
      </c>
      <c r="O14">
        <f>VLOOKUP($A14&amp;O$1,Data!$A$2:$D$3954,4,FALSE)</f>
        <v>250</v>
      </c>
      <c r="P14">
        <f>VLOOKUP($A14&amp;P$1,Data!$A$2:$D$3954,4,FALSE)</f>
        <v>1.8E-3</v>
      </c>
      <c r="Q14">
        <f>VLOOKUP($A14&amp;Q$1,Data!$A$2:$D$3954,4,FALSE)</f>
        <v>-4.1000000000000003E-3</v>
      </c>
      <c r="R14">
        <f>VLOOKUP($A14&amp;R$1,Data!$A$2:$D$3954,4,FALSE)</f>
        <v>-1.4409999999999999E-2</v>
      </c>
      <c r="S14">
        <f>VLOOKUP($A14&amp;S$1,Data!$A$2:$D$3954,4,FALSE)</f>
        <v>1.7000000000000001E-2</v>
      </c>
      <c r="T14">
        <f>VLOOKUP($A14&amp;T$1,Data!$A$2:$D$3954,4,FALSE)</f>
        <v>-0.27900000000000003</v>
      </c>
      <c r="U14">
        <f>VLOOKUP($A14&amp;U$1,Data!$A$2:$D$3954,4,FALSE)</f>
        <v>-9.3399999999999993E-3</v>
      </c>
      <c r="V14">
        <f>VLOOKUP($A14&amp;V$1,Data!$A$2:$D$3954,4,FALSE)</f>
        <v>0.5</v>
      </c>
      <c r="W14">
        <f>VLOOKUP($A14&amp;W$1,Data!$A$2:$D$3954,4,FALSE)</f>
        <v>0.5</v>
      </c>
      <c r="X14">
        <f>VLOOKUP($A14&amp;X$1,Data!$A$2:$D$3954,4,FALSE)</f>
        <v>0.44</v>
      </c>
      <c r="Y14">
        <f>VLOOKUP($A14&amp;Y$1,Data!$A$2:$D$3954,4,FALSE)</f>
        <v>-1.0999999999999999E-2</v>
      </c>
      <c r="Z14">
        <f>VLOOKUP($A14&amp;Z$1,Data!$A$2:$D$3954,4,FALSE)</f>
        <v>2.3E-2</v>
      </c>
      <c r="AA14">
        <f>VLOOKUP($A14&amp;AA$1,Data!$A$2:$D$3954,4,FALSE)</f>
        <v>0.01</v>
      </c>
      <c r="AB14">
        <f>VLOOKUP($A14&amp;AB$1,Data!$A$2:$D$3954,4,FALSE)</f>
        <v>0</v>
      </c>
      <c r="AC14">
        <f>VLOOKUP($A14&amp;AC$1,Data!$A$2:$D$3954,4,FALSE)</f>
        <v>-1.117</v>
      </c>
      <c r="AD14">
        <f>VLOOKUP($A14&amp;AD$1,Data!$A$2:$D$3954,4,FALSE)</f>
        <v>6.6000000000000003E-2</v>
      </c>
      <c r="AE14">
        <f>VLOOKUP($A14&amp;AE$1,Data!$A$2:$D$3954,4,FALSE)</f>
        <v>-0.42499999999999999</v>
      </c>
      <c r="AF14">
        <f>VLOOKUP($A14&amp;AF$1,Data!$A$2:$D$3954,4,FALSE)</f>
        <v>0</v>
      </c>
      <c r="AG14">
        <f>VLOOKUP($A14&amp;AG$1,Data!$A$2:$D$3954,4,FALSE)</f>
        <v>730000000</v>
      </c>
    </row>
    <row r="15" spans="1:33" hidden="1" x14ac:dyDescent="0.35">
      <c r="A15" s="13">
        <f t="shared" si="2"/>
        <v>14</v>
      </c>
      <c r="B15" t="s">
        <v>0</v>
      </c>
      <c r="C15" t="s">
        <v>2</v>
      </c>
      <c r="D15">
        <v>1000</v>
      </c>
      <c r="E15" t="s">
        <v>17</v>
      </c>
      <c r="F15" s="5">
        <v>43831</v>
      </c>
      <c r="G15" s="5">
        <v>44562</v>
      </c>
      <c r="H15">
        <v>14</v>
      </c>
      <c r="I15">
        <v>9</v>
      </c>
      <c r="J15">
        <f t="shared" si="0"/>
        <v>32</v>
      </c>
      <c r="K15">
        <f t="shared" si="1"/>
        <v>68</v>
      </c>
      <c r="L15">
        <v>1000000</v>
      </c>
      <c r="M15">
        <f>VLOOKUP($A15&amp;M$1,Data!$A$2:$D$3954,4,FALSE)</f>
        <v>2.8649999999999998E-2</v>
      </c>
      <c r="N15">
        <f>VLOOKUP($A15&amp;N$1,Data!$A$2:$D$3954,4,FALSE)</f>
        <v>-0.90300000000000002</v>
      </c>
      <c r="O15">
        <f>VLOOKUP($A15&amp;O$1,Data!$A$2:$D$3954,4,FALSE)</f>
        <v>250</v>
      </c>
      <c r="P15">
        <f>VLOOKUP($A15&amp;P$1,Data!$A$2:$D$3954,4,FALSE)</f>
        <v>1.9199999999999998E-2</v>
      </c>
      <c r="Q15">
        <f>VLOOKUP($A15&amp;Q$1,Data!$A$2:$D$3954,4,FALSE)</f>
        <v>-4.1399999999999999E-2</v>
      </c>
      <c r="R15">
        <f>VLOOKUP($A15&amp;R$1,Data!$A$2:$D$3954,4,FALSE)</f>
        <v>-0.14069999999999999</v>
      </c>
      <c r="S15">
        <f>VLOOKUP($A15&amp;S$1,Data!$A$2:$D$3954,4,FALSE)</f>
        <v>0.16700000000000001</v>
      </c>
      <c r="T15">
        <f>VLOOKUP($A15&amp;T$1,Data!$A$2:$D$3954,4,FALSE)</f>
        <v>-0.26900000000000002</v>
      </c>
      <c r="U15">
        <f>VLOOKUP($A15&amp;U$1,Data!$A$2:$D$3954,4,FALSE)</f>
        <v>-9.3380000000000005E-2</v>
      </c>
      <c r="V15">
        <f>VLOOKUP($A15&amp;V$1,Data!$A$2:$D$3954,4,FALSE)</f>
        <v>0.5</v>
      </c>
      <c r="W15">
        <f>VLOOKUP($A15&amp;W$1,Data!$A$2:$D$3954,4,FALSE)</f>
        <v>0.5</v>
      </c>
      <c r="X15">
        <f>VLOOKUP($A15&amp;X$1,Data!$A$2:$D$3954,4,FALSE)</f>
        <v>0.46</v>
      </c>
      <c r="Y15">
        <f>VLOOKUP($A15&amp;Y$1,Data!$A$2:$D$3954,4,FALSE)</f>
        <v>-0.11</v>
      </c>
      <c r="Z15">
        <f>VLOOKUP($A15&amp;Z$1,Data!$A$2:$D$3954,4,FALSE)</f>
        <v>0.23899999999999999</v>
      </c>
      <c r="AA15">
        <f>VLOOKUP($A15&amp;AA$1,Data!$A$2:$D$3954,4,FALSE)</f>
        <v>0.105</v>
      </c>
      <c r="AB15">
        <f>VLOOKUP($A15&amp;AB$1,Data!$A$2:$D$3954,4,FALSE)</f>
        <v>1.0999999999999999E-2</v>
      </c>
      <c r="AC15">
        <f>VLOOKUP($A15&amp;AC$1,Data!$A$2:$D$3954,4,FALSE)</f>
        <v>-1.3720000000000001</v>
      </c>
      <c r="AD15">
        <f>VLOOKUP($A15&amp;AD$1,Data!$A$2:$D$3954,4,FALSE)</f>
        <v>0.11600000000000001</v>
      </c>
      <c r="AE15">
        <f>VLOOKUP($A15&amp;AE$1,Data!$A$2:$D$3954,4,FALSE)</f>
        <v>-0.39700000000000002</v>
      </c>
      <c r="AF15">
        <f>VLOOKUP($A15&amp;AF$1,Data!$A$2:$D$3954,4,FALSE)</f>
        <v>0</v>
      </c>
      <c r="AG15">
        <f>VLOOKUP($A15&amp;AG$1,Data!$A$2:$D$3954,4,FALSE)</f>
        <v>71000000</v>
      </c>
    </row>
    <row r="16" spans="1:33" hidden="1" x14ac:dyDescent="0.35">
      <c r="A16" s="13">
        <f t="shared" si="2"/>
        <v>15</v>
      </c>
      <c r="B16" t="s">
        <v>0</v>
      </c>
      <c r="C16" t="s">
        <v>2</v>
      </c>
      <c r="D16">
        <v>5000</v>
      </c>
      <c r="E16" t="s">
        <v>17</v>
      </c>
      <c r="F16" s="5">
        <v>43831</v>
      </c>
      <c r="G16" s="5">
        <v>44562</v>
      </c>
      <c r="H16">
        <v>14</v>
      </c>
      <c r="I16">
        <v>9</v>
      </c>
      <c r="J16">
        <f t="shared" si="0"/>
        <v>32</v>
      </c>
      <c r="K16">
        <f t="shared" si="1"/>
        <v>68</v>
      </c>
      <c r="L16">
        <v>1000000</v>
      </c>
      <c r="M16">
        <f>VLOOKUP($A16&amp;M$1,Data!$A$2:$D$3954,4,FALSE)</f>
        <v>6.1949999999999998E-2</v>
      </c>
      <c r="N16">
        <f>VLOOKUP($A16&amp;N$1,Data!$A$2:$D$3954,4,FALSE)</f>
        <v>-0.49299999999999999</v>
      </c>
      <c r="O16">
        <f>VLOOKUP($A16&amp;O$1,Data!$A$2:$D$3954,4,FALSE)</f>
        <v>246</v>
      </c>
      <c r="P16">
        <f>VLOOKUP($A16&amp;P$1,Data!$A$2:$D$3954,4,FALSE)</f>
        <v>0.14099999999999999</v>
      </c>
      <c r="Q16">
        <f>VLOOKUP($A16&amp;Q$1,Data!$A$2:$D$3954,4,FALSE)</f>
        <v>-0.16020000000000001</v>
      </c>
      <c r="R16">
        <f>VLOOKUP($A16&amp;R$1,Data!$A$2:$D$3954,4,FALSE)</f>
        <v>-0.65066000000000002</v>
      </c>
      <c r="S16">
        <f>VLOOKUP($A16&amp;S$1,Data!$A$2:$D$3954,4,FALSE)</f>
        <v>0.72</v>
      </c>
      <c r="T16">
        <f>VLOOKUP($A16&amp;T$1,Data!$A$2:$D$3954,4,FALSE)</f>
        <v>-0.248</v>
      </c>
      <c r="U16">
        <f>VLOOKUP($A16&amp;U$1,Data!$A$2:$D$3954,4,FALSE)</f>
        <v>-0.49331999999999998</v>
      </c>
      <c r="V16">
        <f>VLOOKUP($A16&amp;V$1,Data!$A$2:$D$3954,4,FALSE)</f>
        <v>0.6</v>
      </c>
      <c r="W16">
        <f>VLOOKUP($A16&amp;W$1,Data!$A$2:$D$3954,4,FALSE)</f>
        <v>0.4</v>
      </c>
      <c r="X16">
        <f>VLOOKUP($A16&amp;X$1,Data!$A$2:$D$3954,4,FALSE)</f>
        <v>0.88</v>
      </c>
      <c r="Y16">
        <f>VLOOKUP($A16&amp;Y$1,Data!$A$2:$D$3954,4,FALSE)</f>
        <v>-0.44600000000000001</v>
      </c>
      <c r="Z16">
        <f>VLOOKUP($A16&amp;Z$1,Data!$A$2:$D$3954,4,FALSE)</f>
        <v>1.2849999999999999</v>
      </c>
      <c r="AA16">
        <f>VLOOKUP($A16&amp;AA$1,Data!$A$2:$D$3954,4,FALSE)</f>
        <v>0.74</v>
      </c>
      <c r="AB16">
        <f>VLOOKUP($A16&amp;AB$1,Data!$A$2:$D$3954,4,FALSE)</f>
        <v>0.54800000000000004</v>
      </c>
      <c r="AC16">
        <f>VLOOKUP($A16&amp;AC$1,Data!$A$2:$D$3954,4,FALSE)</f>
        <v>-0.58199999999999996</v>
      </c>
      <c r="AD16">
        <f>VLOOKUP($A16&amp;AD$1,Data!$A$2:$D$3954,4,FALSE)</f>
        <v>0.73499999999999999</v>
      </c>
      <c r="AE16">
        <f>VLOOKUP($A16&amp;AE$1,Data!$A$2:$D$3954,4,FALSE)</f>
        <v>-0.28399999999999997</v>
      </c>
      <c r="AF16">
        <f>VLOOKUP($A16&amp;AF$1,Data!$A$2:$D$3954,4,FALSE)</f>
        <v>0</v>
      </c>
      <c r="AG16">
        <f>VLOOKUP($A16&amp;AG$1,Data!$A$2:$D$3954,4,FALSE)</f>
        <v>12000000</v>
      </c>
    </row>
    <row r="17" spans="1:33" hidden="1" x14ac:dyDescent="0.35">
      <c r="A17" s="13">
        <f t="shared" si="2"/>
        <v>16</v>
      </c>
      <c r="B17" t="s">
        <v>0</v>
      </c>
      <c r="C17" t="s">
        <v>22</v>
      </c>
      <c r="D17">
        <v>100</v>
      </c>
      <c r="E17" t="s">
        <v>17</v>
      </c>
      <c r="F17" s="5">
        <v>43831</v>
      </c>
      <c r="G17" s="5">
        <v>44562</v>
      </c>
      <c r="H17">
        <v>14</v>
      </c>
      <c r="I17">
        <v>9</v>
      </c>
      <c r="J17">
        <f t="shared" si="0"/>
        <v>32</v>
      </c>
      <c r="K17">
        <f t="shared" si="1"/>
        <v>68</v>
      </c>
      <c r="L17">
        <v>1000000</v>
      </c>
      <c r="M17">
        <f>VLOOKUP($A17&amp;M$1,Data!$A$2:$D$3954,4,FALSE)</f>
        <v>0.1079</v>
      </c>
      <c r="N17">
        <f>VLOOKUP($A17&amp;N$1,Data!$A$2:$D$3954,4,FALSE)</f>
        <v>-0.307</v>
      </c>
      <c r="O17">
        <f>VLOOKUP($A17&amp;O$1,Data!$A$2:$D$3954,4,FALSE)</f>
        <v>176</v>
      </c>
      <c r="P17">
        <f>VLOOKUP($A17&amp;P$1,Data!$A$2:$D$3954,4,FALSE)</f>
        <v>1.4E-3</v>
      </c>
      <c r="Q17">
        <f>VLOOKUP($A17&amp;Q$1,Data!$A$2:$D$3954,4,FALSE)</f>
        <v>-2.2000000000000001E-3</v>
      </c>
      <c r="R17">
        <f>VLOOKUP($A17&amp;R$1,Data!$A$2:$D$3954,4,FALSE)</f>
        <v>-6.2300000000000003E-3</v>
      </c>
      <c r="S17">
        <f>VLOOKUP($A17&amp;S$1,Data!$A$2:$D$3954,4,FALSE)</f>
        <v>1.2E-2</v>
      </c>
      <c r="T17">
        <f>VLOOKUP($A17&amp;T$1,Data!$A$2:$D$3954,4,FALSE)</f>
        <v>-0.35099999999999998</v>
      </c>
      <c r="U17">
        <f>VLOOKUP($A17&amp;U$1,Data!$A$2:$D$3954,4,FALSE)</f>
        <v>-4.0299999999999997E-3</v>
      </c>
      <c r="V17">
        <f>VLOOKUP($A17&amp;V$1,Data!$A$2:$D$3954,4,FALSE)</f>
        <v>0.6</v>
      </c>
      <c r="W17">
        <f>VLOOKUP($A17&amp;W$1,Data!$A$2:$D$3954,4,FALSE)</f>
        <v>0.4</v>
      </c>
      <c r="X17">
        <f>VLOOKUP($A17&amp;X$1,Data!$A$2:$D$3954,4,FALSE)</f>
        <v>0.62</v>
      </c>
      <c r="Y17">
        <f>VLOOKUP($A17&amp;Y$1,Data!$A$2:$D$3954,4,FALSE)</f>
        <v>-7.0000000000000001E-3</v>
      </c>
      <c r="Z17">
        <f>VLOOKUP($A17&amp;Z$1,Data!$A$2:$D$3954,4,FALSE)</f>
        <v>4.9000000000000002E-2</v>
      </c>
      <c r="AA17">
        <f>VLOOKUP($A17&amp;AA$1,Data!$A$2:$D$3954,4,FALSE)</f>
        <v>1.4E-2</v>
      </c>
      <c r="AB17">
        <f>VLOOKUP($A17&amp;AB$1,Data!$A$2:$D$3954,4,FALSE)</f>
        <v>0</v>
      </c>
      <c r="AC17">
        <f>VLOOKUP($A17&amp;AC$1,Data!$A$2:$D$3954,4,FALSE)</f>
        <v>-1.0469999999999999</v>
      </c>
      <c r="AD17">
        <f>VLOOKUP($A17&amp;AD$1,Data!$A$2:$D$3954,4,FALSE)</f>
        <v>6.5000000000000002E-2</v>
      </c>
      <c r="AE17">
        <f>VLOOKUP($A17&amp;AE$1,Data!$A$2:$D$3954,4,FALSE)</f>
        <v>-8.6999999999999994E-2</v>
      </c>
      <c r="AF17">
        <f>VLOOKUP($A17&amp;AF$1,Data!$A$2:$D$3954,4,FALSE)</f>
        <v>0</v>
      </c>
      <c r="AG17">
        <f>VLOOKUP($A17&amp;AG$1,Data!$A$2:$D$3954,4,FALSE)</f>
        <v>18000000</v>
      </c>
    </row>
    <row r="18" spans="1:33" hidden="1" x14ac:dyDescent="0.35">
      <c r="A18" s="13">
        <f t="shared" si="2"/>
        <v>17</v>
      </c>
      <c r="B18" t="s">
        <v>0</v>
      </c>
      <c r="C18" t="s">
        <v>22</v>
      </c>
      <c r="D18">
        <v>1000</v>
      </c>
      <c r="E18" t="s">
        <v>17</v>
      </c>
      <c r="F18" s="5">
        <v>43831</v>
      </c>
      <c r="G18" s="5">
        <v>44562</v>
      </c>
      <c r="H18">
        <v>14</v>
      </c>
      <c r="I18">
        <v>9</v>
      </c>
      <c r="J18">
        <f t="shared" si="0"/>
        <v>32</v>
      </c>
      <c r="K18">
        <f t="shared" si="1"/>
        <v>68</v>
      </c>
      <c r="L18">
        <v>1000000</v>
      </c>
      <c r="M18">
        <f>VLOOKUP($A18&amp;M$1,Data!$A$2:$D$3954,4,FALSE)</f>
        <v>0.11894</v>
      </c>
      <c r="N18">
        <f>VLOOKUP($A18&amp;N$1,Data!$A$2:$D$3954,4,FALSE)</f>
        <v>-0.24</v>
      </c>
      <c r="O18">
        <f>VLOOKUP($A18&amp;O$1,Data!$A$2:$D$3954,4,FALSE)</f>
        <v>176</v>
      </c>
      <c r="P18">
        <f>VLOOKUP($A18&amp;P$1,Data!$A$2:$D$3954,4,FALSE)</f>
        <v>1.3899999999999999E-2</v>
      </c>
      <c r="Q18">
        <f>VLOOKUP($A18&amp;Q$1,Data!$A$2:$D$3954,4,FALSE)</f>
        <v>-2.2200000000000001E-2</v>
      </c>
      <c r="R18">
        <f>VLOOKUP($A18&amp;R$1,Data!$A$2:$D$3954,4,FALSE)</f>
        <v>-6.1650000000000003E-2</v>
      </c>
      <c r="S18">
        <f>VLOOKUP($A18&amp;S$1,Data!$A$2:$D$3954,4,FALSE)</f>
        <v>0.11899999999999999</v>
      </c>
      <c r="T18">
        <f>VLOOKUP($A18&amp;T$1,Data!$A$2:$D$3954,4,FALSE)</f>
        <v>-0.35099999999999998</v>
      </c>
      <c r="U18">
        <f>VLOOKUP($A18&amp;U$1,Data!$A$2:$D$3954,4,FALSE)</f>
        <v>-4.0300000000000002E-2</v>
      </c>
      <c r="V18">
        <f>VLOOKUP($A18&amp;V$1,Data!$A$2:$D$3954,4,FALSE)</f>
        <v>0.6</v>
      </c>
      <c r="W18">
        <f>VLOOKUP($A18&amp;W$1,Data!$A$2:$D$3954,4,FALSE)</f>
        <v>0.4</v>
      </c>
      <c r="X18">
        <f>VLOOKUP($A18&amp;X$1,Data!$A$2:$D$3954,4,FALSE)</f>
        <v>0.62</v>
      </c>
      <c r="Y18">
        <f>VLOOKUP($A18&amp;Y$1,Data!$A$2:$D$3954,4,FALSE)</f>
        <v>-6.5000000000000002E-2</v>
      </c>
      <c r="Z18">
        <f>VLOOKUP($A18&amp;Z$1,Data!$A$2:$D$3954,4,FALSE)</f>
        <v>0.49299999999999999</v>
      </c>
      <c r="AA18">
        <f>VLOOKUP($A18&amp;AA$1,Data!$A$2:$D$3954,4,FALSE)</f>
        <v>0.14099999999999999</v>
      </c>
      <c r="AB18">
        <f>VLOOKUP($A18&amp;AB$1,Data!$A$2:$D$3954,4,FALSE)</f>
        <v>0.02</v>
      </c>
      <c r="AC18">
        <f>VLOOKUP($A18&amp;AC$1,Data!$A$2:$D$3954,4,FALSE)</f>
        <v>-0.69099999999999995</v>
      </c>
      <c r="AD18">
        <f>VLOOKUP($A18&amp;AD$1,Data!$A$2:$D$3954,4,FALSE)</f>
        <v>0.14099999999999999</v>
      </c>
      <c r="AE18">
        <f>VLOOKUP($A18&amp;AE$1,Data!$A$2:$D$3954,4,FALSE)</f>
        <v>-6.8000000000000005E-2</v>
      </c>
      <c r="AF18">
        <f>VLOOKUP($A18&amp;AF$1,Data!$A$2:$D$3954,4,FALSE)</f>
        <v>0</v>
      </c>
      <c r="AG18">
        <f>VLOOKUP($A18&amp;AG$1,Data!$A$2:$D$3954,4,FALSE)</f>
        <v>5100000</v>
      </c>
    </row>
    <row r="19" spans="1:33" hidden="1" x14ac:dyDescent="0.35">
      <c r="A19" s="13">
        <f t="shared" si="2"/>
        <v>18</v>
      </c>
      <c r="B19" t="s">
        <v>0</v>
      </c>
      <c r="C19" t="s">
        <v>22</v>
      </c>
      <c r="D19">
        <v>5000</v>
      </c>
      <c r="E19" t="s">
        <v>17</v>
      </c>
      <c r="F19" s="5">
        <v>43831</v>
      </c>
      <c r="G19" s="5">
        <v>44562</v>
      </c>
      <c r="H19">
        <v>14</v>
      </c>
      <c r="I19">
        <v>9</v>
      </c>
      <c r="J19">
        <f t="shared" si="0"/>
        <v>32</v>
      </c>
      <c r="K19">
        <f t="shared" si="1"/>
        <v>68</v>
      </c>
      <c r="L19">
        <v>1000000</v>
      </c>
      <c r="M19">
        <f>VLOOKUP($A19&amp;M$1,Data!$A$2:$D$3954,4,FALSE)</f>
        <v>0.15504000000000001</v>
      </c>
      <c r="N19">
        <f>VLOOKUP($A19&amp;N$1,Data!$A$2:$D$3954,4,FALSE)</f>
        <v>-5.7000000000000002E-2</v>
      </c>
      <c r="O19">
        <f>VLOOKUP($A19&amp;O$1,Data!$A$2:$D$3954,4,FALSE)</f>
        <v>177</v>
      </c>
      <c r="P19">
        <f>VLOOKUP($A19&amp;P$1,Data!$A$2:$D$3954,4,FALSE)</f>
        <v>6.8199999999999997E-2</v>
      </c>
      <c r="Q19">
        <f>VLOOKUP($A19&amp;Q$1,Data!$A$2:$D$3954,4,FALSE)</f>
        <v>-9.8699999999999996E-2</v>
      </c>
      <c r="R19">
        <f>VLOOKUP($A19&amp;R$1,Data!$A$2:$D$3954,4,FALSE)</f>
        <v>-0.37302999999999997</v>
      </c>
      <c r="S19">
        <f>VLOOKUP($A19&amp;S$1,Data!$A$2:$D$3954,4,FALSE)</f>
        <v>0.50700000000000001</v>
      </c>
      <c r="T19">
        <f>VLOOKUP($A19&amp;T$1,Data!$A$2:$D$3954,4,FALSE)</f>
        <v>-0.436</v>
      </c>
      <c r="U19">
        <f>VLOOKUP($A19&amp;U$1,Data!$A$2:$D$3954,4,FALSE)</f>
        <v>-0.26051000000000002</v>
      </c>
      <c r="V19">
        <f>VLOOKUP($A19&amp;V$1,Data!$A$2:$D$3954,4,FALSE)</f>
        <v>0.67</v>
      </c>
      <c r="W19">
        <f>VLOOKUP($A19&amp;W$1,Data!$A$2:$D$3954,4,FALSE)</f>
        <v>0.33</v>
      </c>
      <c r="X19">
        <f>VLOOKUP($A19&amp;X$1,Data!$A$2:$D$3954,4,FALSE)</f>
        <v>0.69</v>
      </c>
      <c r="Y19">
        <f>VLOOKUP($A19&amp;Y$1,Data!$A$2:$D$3954,4,FALSE)</f>
        <v>-0.21099999999999999</v>
      </c>
      <c r="Z19">
        <f>VLOOKUP($A19&amp;Z$1,Data!$A$2:$D$3954,4,FALSE)</f>
        <v>2.6269999999999998</v>
      </c>
      <c r="AA19">
        <f>VLOOKUP($A19&amp;AA$1,Data!$A$2:$D$3954,4,FALSE)</f>
        <v>0.77</v>
      </c>
      <c r="AB19">
        <f>VLOOKUP($A19&amp;AB$1,Data!$A$2:$D$3954,4,FALSE)</f>
        <v>0.59299999999999997</v>
      </c>
      <c r="AC19">
        <f>VLOOKUP($A19&amp;AC$1,Data!$A$2:$D$3954,4,FALSE)</f>
        <v>-0.14199999999999999</v>
      </c>
      <c r="AD19">
        <f>VLOOKUP($A19&amp;AD$1,Data!$A$2:$D$3954,4,FALSE)</f>
        <v>0.75800000000000001</v>
      </c>
      <c r="AE19">
        <f>VLOOKUP($A19&amp;AE$1,Data!$A$2:$D$3954,4,FALSE)</f>
        <v>-1.7000000000000001E-2</v>
      </c>
      <c r="AF19">
        <f>VLOOKUP($A19&amp;AF$1,Data!$A$2:$D$3954,4,FALSE)</f>
        <v>0</v>
      </c>
      <c r="AG19">
        <f>VLOOKUP($A19&amp;AG$1,Data!$A$2:$D$3954,4,FALSE)</f>
        <v>2300000</v>
      </c>
    </row>
    <row r="20" spans="1:33" hidden="1" x14ac:dyDescent="0.35">
      <c r="A20" s="13">
        <f t="shared" si="2"/>
        <v>19</v>
      </c>
      <c r="B20" t="s">
        <v>0</v>
      </c>
      <c r="C20" t="s">
        <v>3</v>
      </c>
      <c r="D20">
        <v>100</v>
      </c>
      <c r="E20" t="s">
        <v>17</v>
      </c>
      <c r="F20" s="5">
        <v>43831</v>
      </c>
      <c r="G20" s="5">
        <v>44562</v>
      </c>
      <c r="H20">
        <v>14</v>
      </c>
      <c r="I20">
        <v>9</v>
      </c>
      <c r="J20">
        <f t="shared" si="0"/>
        <v>28</v>
      </c>
      <c r="K20">
        <f t="shared" si="1"/>
        <v>72</v>
      </c>
      <c r="L20">
        <v>1000000</v>
      </c>
      <c r="M20">
        <f>VLOOKUP($A20&amp;M$1,Data!$A$2:$D$3723,4,FALSE)</f>
        <v>0.32308999999999999</v>
      </c>
      <c r="N20">
        <f>VLOOKUP($A20&amp;N$1,Data!$A$2:$D$3723,4,FALSE)</f>
        <v>0.52</v>
      </c>
      <c r="O20">
        <f>VLOOKUP($A20&amp;O$1,Data!$A$2:$D$3723,4,FALSE)</f>
        <v>354</v>
      </c>
      <c r="P20">
        <f>VLOOKUP($A20&amp;P$1,Data!$A$2:$D$3723,4,FALSE)</f>
        <v>3.0000000000000001E-3</v>
      </c>
      <c r="Q20">
        <f>VLOOKUP($A20&amp;Q$1,Data!$A$2:$D$3723,4,FALSE)</f>
        <v>-1.1000000000000001E-3</v>
      </c>
      <c r="R20">
        <f>VLOOKUP($A20&amp;R$1,Data!$A$2:$D$3723,4,FALSE)</f>
        <v>6.2199999999999998E-3</v>
      </c>
      <c r="S20">
        <f>VLOOKUP($A20&amp;S$1,Data!$A$2:$D$3723,4,FALSE)</f>
        <v>8.0000000000000002E-3</v>
      </c>
      <c r="T20">
        <f>VLOOKUP($A20&amp;T$1,Data!$A$2:$D$3723,4,FALSE)</f>
        <v>0.38500000000000001</v>
      </c>
      <c r="U20">
        <f>VLOOKUP($A20&amp;U$1,Data!$A$2:$D$3723,4,FALSE)</f>
        <v>4.0000000000000001E-3</v>
      </c>
      <c r="V20">
        <f>VLOOKUP($A20&amp;V$1,Data!$A$2:$D$3723,4,FALSE)</f>
        <v>0.64</v>
      </c>
      <c r="W20">
        <f>VLOOKUP($A20&amp;W$1,Data!$A$2:$D$3723,4,FALSE)</f>
        <v>0.36</v>
      </c>
      <c r="X20">
        <f>VLOOKUP($A20&amp;X$1,Data!$A$2:$D$3723,4,FALSE)</f>
        <v>2.81</v>
      </c>
      <c r="Y20">
        <f>VLOOKUP($A20&amp;Y$1,Data!$A$2:$D$3723,4,FALSE)</f>
        <v>2E-3</v>
      </c>
      <c r="Z20">
        <f>VLOOKUP($A20&amp;Z$1,Data!$A$2:$D$3723,4,FALSE)</f>
        <v>3.2000000000000001E-2</v>
      </c>
      <c r="AA20">
        <f>VLOOKUP($A20&amp;AA$1,Data!$A$2:$D$3723,4,FALSE)</f>
        <v>8.0000000000000002E-3</v>
      </c>
      <c r="AB20">
        <f>VLOOKUP($A20&amp;AB$1,Data!$A$2:$D$3723,4,FALSE)</f>
        <v>0</v>
      </c>
      <c r="AC20">
        <f>VLOOKUP($A20&amp;AC$1,Data!$A$2:$D$3723,4,FALSE)</f>
        <v>-0.91400000000000003</v>
      </c>
      <c r="AD20">
        <f>VLOOKUP($A20&amp;AD$1,Data!$A$2:$D$3723,4,FALSE)</f>
        <v>6.5000000000000002E-2</v>
      </c>
      <c r="AE20">
        <f>VLOOKUP($A20&amp;AE$1,Data!$A$2:$D$3723,4,FALSE)</f>
        <v>0.13500000000000001</v>
      </c>
      <c r="AF20">
        <f>VLOOKUP($A20&amp;AF$1,Data!$A$2:$D$3723,4,FALSE)</f>
        <v>0</v>
      </c>
      <c r="AG20">
        <f>VLOOKUP($A20&amp;AG$1,Data!$A$2:$D$3723,4,FALSE)</f>
        <v>190000000</v>
      </c>
    </row>
    <row r="21" spans="1:33" hidden="1" x14ac:dyDescent="0.35">
      <c r="A21" s="13">
        <f t="shared" si="2"/>
        <v>20</v>
      </c>
      <c r="B21" t="s">
        <v>0</v>
      </c>
      <c r="C21" t="s">
        <v>3</v>
      </c>
      <c r="D21">
        <v>1000</v>
      </c>
      <c r="E21" t="s">
        <v>17</v>
      </c>
      <c r="F21" s="5">
        <v>43831</v>
      </c>
      <c r="G21" s="5">
        <v>44562</v>
      </c>
      <c r="H21">
        <v>14</v>
      </c>
      <c r="I21">
        <v>9</v>
      </c>
      <c r="J21">
        <f t="shared" si="0"/>
        <v>28</v>
      </c>
      <c r="K21">
        <f t="shared" si="1"/>
        <v>72</v>
      </c>
      <c r="L21">
        <v>1000000</v>
      </c>
      <c r="M21">
        <f>VLOOKUP($A21&amp;M$1,Data!$A$2:$D$3765,4,FALSE)</f>
        <v>1.4290000000000001E-2</v>
      </c>
      <c r="N21">
        <f>VLOOKUP($A21&amp;N$1,Data!$A$2:$D$3765,4,FALSE)</f>
        <v>-1.228</v>
      </c>
      <c r="O21">
        <f>VLOOKUP($A21&amp;O$1,Data!$A$2:$D$3765,4,FALSE)</f>
        <v>246</v>
      </c>
      <c r="P21">
        <f>VLOOKUP($A21&amp;P$1,Data!$A$2:$D$3765,4,FALSE)</f>
        <v>1.4999999999999999E-2</v>
      </c>
      <c r="Q21">
        <f>VLOOKUP($A21&amp;Q$1,Data!$A$2:$D$3765,4,FALSE)</f>
        <v>-3.5299999999999998E-2</v>
      </c>
      <c r="R21">
        <f>VLOOKUP($A21&amp;R$1,Data!$A$2:$D$3765,4,FALSE)</f>
        <v>-0.19373000000000001</v>
      </c>
      <c r="S21">
        <f>VLOOKUP($A21&amp;S$1,Data!$A$2:$D$3765,4,FALSE)</f>
        <v>0.159</v>
      </c>
      <c r="T21">
        <f>VLOOKUP($A21&amp;T$1,Data!$A$2:$D$3765,4,FALSE)</f>
        <v>-0.46500000000000002</v>
      </c>
      <c r="U21">
        <f>VLOOKUP($A21&amp;U$1,Data!$A$2:$D$3765,4,FALSE)</f>
        <v>-0.12995000000000001</v>
      </c>
      <c r="V21">
        <f>VLOOKUP($A21&amp;V$1,Data!$A$2:$D$3765,4,FALSE)</f>
        <v>0.62</v>
      </c>
      <c r="W21">
        <f>VLOOKUP($A21&amp;W$1,Data!$A$2:$D$3765,4,FALSE)</f>
        <v>0.38</v>
      </c>
      <c r="X21">
        <f>VLOOKUP($A21&amp;X$1,Data!$A$2:$D$3765,4,FALSE)</f>
        <v>0.43</v>
      </c>
      <c r="Y21">
        <f>VLOOKUP($A21&amp;Y$1,Data!$A$2:$D$3765,4,FALSE)</f>
        <v>-0.15</v>
      </c>
      <c r="Z21">
        <f>VLOOKUP($A21&amp;Z$1,Data!$A$2:$D$3765,4,FALSE)</f>
        <v>0.25800000000000001</v>
      </c>
      <c r="AA21">
        <f>VLOOKUP($A21&amp;AA$1,Data!$A$2:$D$3765,4,FALSE)</f>
        <v>0.109</v>
      </c>
      <c r="AB21">
        <f>VLOOKUP($A21&amp;AB$1,Data!$A$2:$D$3765,4,FALSE)</f>
        <v>1.2E-2</v>
      </c>
      <c r="AC21">
        <f>VLOOKUP($A21&amp;AC$1,Data!$A$2:$D$3765,4,FALSE)</f>
        <v>-1.6679999999999999</v>
      </c>
      <c r="AD21">
        <f>VLOOKUP($A21&amp;AD$1,Data!$A$2:$D$3765,4,FALSE)</f>
        <v>0.11799999999999999</v>
      </c>
      <c r="AE21">
        <f>VLOOKUP($A21&amp;AE$1,Data!$A$2:$D$3765,4,FALSE)</f>
        <v>-0.51700000000000002</v>
      </c>
      <c r="AF21">
        <f>VLOOKUP($A21&amp;AF$1,Data!$A$2:$D$3765,4,FALSE)</f>
        <v>0</v>
      </c>
      <c r="AG21">
        <f>VLOOKUP($A21&amp;AG$1,Data!$A$2:$D$3765,4,FALSE)</f>
        <v>200000000</v>
      </c>
    </row>
    <row r="22" spans="1:33" hidden="1" x14ac:dyDescent="0.35">
      <c r="A22" s="13">
        <f t="shared" si="2"/>
        <v>21</v>
      </c>
      <c r="B22" t="s">
        <v>0</v>
      </c>
      <c r="C22" t="s">
        <v>3</v>
      </c>
      <c r="D22">
        <v>5000</v>
      </c>
      <c r="E22" t="s">
        <v>17</v>
      </c>
      <c r="F22" s="5">
        <v>43831</v>
      </c>
      <c r="G22" s="5">
        <v>44562</v>
      </c>
      <c r="H22">
        <v>14</v>
      </c>
      <c r="I22">
        <v>9</v>
      </c>
      <c r="J22">
        <f t="shared" si="0"/>
        <v>28</v>
      </c>
      <c r="K22">
        <f t="shared" si="1"/>
        <v>72</v>
      </c>
      <c r="L22">
        <v>1000000</v>
      </c>
      <c r="M22">
        <f>VLOOKUP($A22&amp;M$1,Data!$A$2:$D$3744,4,FALSE)</f>
        <v>1.1939999999999999E-2</v>
      </c>
      <c r="N22">
        <f>VLOOKUP($A22&amp;N$1,Data!$A$2:$D$3744,4,FALSE)</f>
        <v>-1.3759999999999999</v>
      </c>
      <c r="O22">
        <f>VLOOKUP($A22&amp;O$1,Data!$A$2:$D$3744,4,FALSE)</f>
        <v>246</v>
      </c>
      <c r="P22">
        <f>VLOOKUP($A22&amp;P$1,Data!$A$2:$D$3744,4,FALSE)</f>
        <v>1.4E-3</v>
      </c>
      <c r="Q22">
        <f>VLOOKUP($A22&amp;Q$1,Data!$A$2:$D$3744,4,FALSE)</f>
        <v>-3.3999999999999998E-3</v>
      </c>
      <c r="R22">
        <f>VLOOKUP($A22&amp;R$1,Data!$A$2:$D$3744,4,FALSE)</f>
        <v>-2.0029999999999999E-2</v>
      </c>
      <c r="S22">
        <f>VLOOKUP($A22&amp;S$1,Data!$A$2:$D$3744,4,FALSE)</f>
        <v>1.6E-2</v>
      </c>
      <c r="T22">
        <f>VLOOKUP($A22&amp;T$1,Data!$A$2:$D$3744,4,FALSE)</f>
        <v>-0.47</v>
      </c>
      <c r="U22">
        <f>VLOOKUP($A22&amp;U$1,Data!$A$2:$D$3744,4,FALSE)</f>
        <v>-1.2999999999999999E-2</v>
      </c>
      <c r="V22">
        <f>VLOOKUP($A22&amp;V$1,Data!$A$2:$D$3744,4,FALSE)</f>
        <v>0.62</v>
      </c>
      <c r="W22">
        <f>VLOOKUP($A22&amp;W$1,Data!$A$2:$D$3744,4,FALSE)</f>
        <v>0.38</v>
      </c>
      <c r="X22">
        <f>VLOOKUP($A22&amp;X$1,Data!$A$2:$D$3744,4,FALSE)</f>
        <v>0.41</v>
      </c>
      <c r="Y22">
        <f>VLOOKUP($A22&amp;Y$1,Data!$A$2:$D$3744,4,FALSE)</f>
        <v>-1.4999999999999999E-2</v>
      </c>
      <c r="Z22">
        <f>VLOOKUP($A22&amp;Z$1,Data!$A$2:$D$3744,4,FALSE)</f>
        <v>2.4E-2</v>
      </c>
      <c r="AA22">
        <f>VLOOKUP($A22&amp;AA$1,Data!$A$2:$D$3744,4,FALSE)</f>
        <v>0.01</v>
      </c>
      <c r="AB22">
        <f>VLOOKUP($A22&amp;AB$1,Data!$A$2:$D$3744,4,FALSE)</f>
        <v>0</v>
      </c>
      <c r="AC22">
        <f>VLOOKUP($A22&amp;AC$1,Data!$A$2:$D$3744,4,FALSE)</f>
        <v>-1.1779999999999999</v>
      </c>
      <c r="AD22">
        <f>VLOOKUP($A22&amp;AD$1,Data!$A$2:$D$3744,4,FALSE)</f>
        <v>6.6000000000000003E-2</v>
      </c>
      <c r="AE22">
        <f>VLOOKUP($A22&amp;AE$1,Data!$A$2:$D$3744,4,FALSE)</f>
        <v>-0.56799999999999995</v>
      </c>
      <c r="AF22">
        <f>VLOOKUP($A22&amp;AF$1,Data!$A$2:$D$3744,4,FALSE)</f>
        <v>0</v>
      </c>
      <c r="AG22">
        <f>VLOOKUP($A22&amp;AG$1,Data!$A$2:$D$3744,4,FALSE)</f>
        <v>2200000000</v>
      </c>
    </row>
    <row r="23" spans="1:33" hidden="1" x14ac:dyDescent="0.35">
      <c r="A23" s="13">
        <f t="shared" si="2"/>
        <v>22</v>
      </c>
      <c r="B23" t="s">
        <v>0</v>
      </c>
      <c r="C23" t="s">
        <v>2</v>
      </c>
      <c r="D23">
        <v>100</v>
      </c>
      <c r="E23" t="s">
        <v>17</v>
      </c>
      <c r="F23" s="5">
        <v>43831</v>
      </c>
      <c r="G23" s="5">
        <v>44562</v>
      </c>
      <c r="H23">
        <v>14</v>
      </c>
      <c r="I23">
        <v>9</v>
      </c>
      <c r="J23">
        <f t="shared" si="0"/>
        <v>28</v>
      </c>
      <c r="K23">
        <f t="shared" si="1"/>
        <v>72</v>
      </c>
      <c r="L23">
        <v>1000000</v>
      </c>
      <c r="M23">
        <f>VLOOKUP($A23&amp;M$1,Data!$A$2:$D$3723,4,FALSE)</f>
        <v>1.0000000000000001E-5</v>
      </c>
      <c r="N23">
        <f>VLOOKUP($A23&amp;N$1,Data!$A$2:$D$3723,4,FALSE)</f>
        <v>-2.1930000000000001</v>
      </c>
      <c r="O23">
        <f>VLOOKUP($A23&amp;O$1,Data!$A$2:$D$3723,4,FALSE)</f>
        <v>153</v>
      </c>
      <c r="P23">
        <f>VLOOKUP($A23&amp;P$1,Data!$A$2:$D$3723,4,FALSE)</f>
        <v>0</v>
      </c>
      <c r="Q23">
        <f>VLOOKUP($A23&amp;Q$1,Data!$A$2:$D$3723,4,FALSE)</f>
        <v>-2.5000000000000001E-3</v>
      </c>
      <c r="R23">
        <f>VLOOKUP($A23&amp;R$1,Data!$A$2:$D$3723,4,FALSE)</f>
        <v>-1.9519999999999999E-2</v>
      </c>
      <c r="S23">
        <f>VLOOKUP($A23&amp;S$1,Data!$A$2:$D$3723,4,FALSE)</f>
        <v>1.4E-2</v>
      </c>
      <c r="T23">
        <f>VLOOKUP($A23&amp;T$1,Data!$A$2:$D$3723,4,FALSE)</f>
        <v>-1</v>
      </c>
      <c r="U23">
        <f>VLOOKUP($A23&amp;U$1,Data!$A$2:$D$3723,4,FALSE)</f>
        <v>-1.2659999999999999E-2</v>
      </c>
      <c r="V23">
        <f>VLOOKUP($A23&amp;V$1,Data!$A$2:$D$3723,4,FALSE)</f>
        <v>1</v>
      </c>
      <c r="W23">
        <f>VLOOKUP($A23&amp;W$1,Data!$A$2:$D$3723,4,FALSE)</f>
        <v>0</v>
      </c>
      <c r="X23">
        <f>VLOOKUP($A23&amp;X$1,Data!$A$2:$D$3723,4,FALSE)</f>
        <v>0</v>
      </c>
      <c r="Y23">
        <f>VLOOKUP($A23&amp;Y$1,Data!$A$2:$D$3723,4,FALSE)</f>
        <v>-1.2999999999999999E-2</v>
      </c>
      <c r="Z23">
        <f>VLOOKUP($A23&amp;Z$1,Data!$A$2:$D$3723,4,FALSE)</f>
        <v>-6.0000000000000001E-3</v>
      </c>
      <c r="AA23">
        <f>VLOOKUP($A23&amp;AA$1,Data!$A$2:$D$3723,4,FALSE)</f>
        <v>6.0000000000000001E-3</v>
      </c>
      <c r="AB23">
        <f>VLOOKUP($A23&amp;AB$1,Data!$A$2:$D$3723,4,FALSE)</f>
        <v>0</v>
      </c>
      <c r="AC23">
        <f>VLOOKUP($A23&amp;AC$1,Data!$A$2:$D$3723,4,FALSE)</f>
        <v>-1.1459999999999999</v>
      </c>
      <c r="AD23">
        <f>VLOOKUP($A23&amp;AD$1,Data!$A$2:$D$3723,4,FALSE)</f>
        <v>6.7000000000000004E-2</v>
      </c>
      <c r="AE23">
        <f>VLOOKUP($A23&amp;AE$1,Data!$A$2:$D$3723,4,FALSE)</f>
        <v>2.2679999999999998</v>
      </c>
      <c r="AF23">
        <f>VLOOKUP($A23&amp;AF$1,Data!$A$2:$D$3723,4,FALSE)</f>
        <v>0</v>
      </c>
      <c r="AG23">
        <f>VLOOKUP($A23&amp;AG$1,Data!$A$2:$D$3723,4,FALSE)</f>
        <v>7700000000</v>
      </c>
    </row>
    <row r="24" spans="1:33" hidden="1" x14ac:dyDescent="0.35">
      <c r="A24" s="13">
        <f>A23+1</f>
        <v>23</v>
      </c>
      <c r="B24" t="s">
        <v>0</v>
      </c>
      <c r="C24" t="s">
        <v>2</v>
      </c>
      <c r="D24">
        <v>1000</v>
      </c>
      <c r="E24" t="s">
        <v>17</v>
      </c>
      <c r="F24" s="5">
        <v>43831</v>
      </c>
      <c r="G24" s="5">
        <v>44562</v>
      </c>
      <c r="H24">
        <v>14</v>
      </c>
      <c r="I24">
        <v>9</v>
      </c>
      <c r="J24">
        <f t="shared" si="0"/>
        <v>28</v>
      </c>
      <c r="K24">
        <f t="shared" si="1"/>
        <v>72</v>
      </c>
      <c r="L24">
        <v>1000000</v>
      </c>
      <c r="M24">
        <f>VLOOKUP($A24&amp;M$1,Data!$A$2:$D$3723,4,FALSE)</f>
        <v>1.0000000000000001E-5</v>
      </c>
      <c r="N24">
        <f>VLOOKUP($A24&amp;N$1,Data!$A$2:$D$3723,4,FALSE)</f>
        <v>-2.0590000000000002</v>
      </c>
      <c r="O24">
        <f>VLOOKUP($A24&amp;O$1,Data!$A$2:$D$3723,4,FALSE)</f>
        <v>153</v>
      </c>
      <c r="P24">
        <f>VLOOKUP($A24&amp;P$1,Data!$A$2:$D$3723,4,FALSE)</f>
        <v>0</v>
      </c>
      <c r="Q24">
        <f>VLOOKUP($A24&amp;Q$1,Data!$A$2:$D$3723,4,FALSE)</f>
        <v>-2.58E-2</v>
      </c>
      <c r="R24">
        <f>VLOOKUP($A24&amp;R$1,Data!$A$2:$D$3723,4,FALSE)</f>
        <v>-0.18892</v>
      </c>
      <c r="S24">
        <f>VLOOKUP($A24&amp;S$1,Data!$A$2:$D$3723,4,FALSE)</f>
        <v>0.13700000000000001</v>
      </c>
      <c r="T24">
        <f>VLOOKUP($A24&amp;T$1,Data!$A$2:$D$3723,4,FALSE)</f>
        <v>-1</v>
      </c>
      <c r="U24">
        <f>VLOOKUP($A24&amp;U$1,Data!$A$2:$D$3723,4,FALSE)</f>
        <v>-0.12659999999999999</v>
      </c>
      <c r="V24">
        <f>VLOOKUP($A24&amp;V$1,Data!$A$2:$D$3723,4,FALSE)</f>
        <v>1</v>
      </c>
      <c r="W24">
        <f>VLOOKUP($A24&amp;W$1,Data!$A$2:$D$3723,4,FALSE)</f>
        <v>0</v>
      </c>
      <c r="X24">
        <f>VLOOKUP($A24&amp;X$1,Data!$A$2:$D$3723,4,FALSE)</f>
        <v>0</v>
      </c>
      <c r="Y24">
        <f>VLOOKUP($A24&amp;Y$1,Data!$A$2:$D$3723,4,FALSE)</f>
        <v>-0.13</v>
      </c>
      <c r="Z24">
        <f>VLOOKUP($A24&amp;Z$1,Data!$A$2:$D$3723,4,FALSE)</f>
        <v>-5.8999999999999997E-2</v>
      </c>
      <c r="AA24">
        <f>VLOOKUP($A24&amp;AA$1,Data!$A$2:$D$3723,4,FALSE)</f>
        <v>6.5000000000000002E-2</v>
      </c>
      <c r="AB24">
        <f>VLOOKUP($A24&amp;AB$1,Data!$A$2:$D$3723,4,FALSE)</f>
        <v>4.0000000000000001E-3</v>
      </c>
      <c r="AC24">
        <f>VLOOKUP($A24&amp;AC$1,Data!$A$2:$D$3723,4,FALSE)</f>
        <v>-2.0569999999999999</v>
      </c>
      <c r="AD24">
        <f>VLOOKUP($A24&amp;AD$1,Data!$A$2:$D$3723,4,FALSE)</f>
        <v>9.6000000000000002E-2</v>
      </c>
      <c r="AE24">
        <f>VLOOKUP($A24&amp;AE$1,Data!$A$2:$D$3723,4,FALSE)</f>
        <v>2.254</v>
      </c>
      <c r="AF24">
        <f>VLOOKUP($A24&amp;AF$1,Data!$A$2:$D$3723,4,FALSE)</f>
        <v>0</v>
      </c>
      <c r="AG24">
        <f>VLOOKUP($A24&amp;AG$1,Data!$A$2:$D$3723,4,FALSE)</f>
        <v>690000000</v>
      </c>
    </row>
    <row r="25" spans="1:33" hidden="1" x14ac:dyDescent="0.35">
      <c r="A25" s="13">
        <f>A24+1</f>
        <v>24</v>
      </c>
      <c r="B25" t="s">
        <v>0</v>
      </c>
      <c r="C25" t="s">
        <v>2</v>
      </c>
      <c r="D25">
        <v>5000</v>
      </c>
      <c r="E25" t="s">
        <v>17</v>
      </c>
      <c r="F25" s="5">
        <v>43831</v>
      </c>
      <c r="G25" s="5">
        <v>44562</v>
      </c>
      <c r="H25">
        <v>14</v>
      </c>
      <c r="I25">
        <v>9</v>
      </c>
      <c r="J25">
        <f t="shared" si="0"/>
        <v>28</v>
      </c>
      <c r="K25">
        <f t="shared" si="1"/>
        <v>72</v>
      </c>
      <c r="L25">
        <v>1000000</v>
      </c>
      <c r="M25">
        <f>VLOOKUP($A25&amp;M$1,Data!$A$2:$D$3723,4,FALSE)</f>
        <v>4.0000000000000003E-5</v>
      </c>
      <c r="N25">
        <f>VLOOKUP($A25&amp;N$1,Data!$A$2:$D$3723,4,FALSE)</f>
        <v>-1.4019999999999999</v>
      </c>
      <c r="O25">
        <f>VLOOKUP($A25&amp;O$1,Data!$A$2:$D$3723,4,FALSE)</f>
        <v>152</v>
      </c>
      <c r="P25">
        <f>VLOOKUP($A25&amp;P$1,Data!$A$2:$D$3723,4,FALSE)</f>
        <v>0</v>
      </c>
      <c r="Q25">
        <f>VLOOKUP($A25&amp;Q$1,Data!$A$2:$D$3723,4,FALSE)</f>
        <v>-0.10249999999999999</v>
      </c>
      <c r="R25">
        <f>VLOOKUP($A25&amp;R$1,Data!$A$2:$D$3723,4,FALSE)</f>
        <v>-0.77117000000000002</v>
      </c>
      <c r="S25">
        <f>VLOOKUP($A25&amp;S$1,Data!$A$2:$D$3723,4,FALSE)</f>
        <v>0.63700000000000001</v>
      </c>
      <c r="T25">
        <f>VLOOKUP($A25&amp;T$1,Data!$A$2:$D$3723,4,FALSE)</f>
        <v>-1</v>
      </c>
      <c r="U25">
        <f>VLOOKUP($A25&amp;U$1,Data!$A$2:$D$3723,4,FALSE)</f>
        <v>-0.61456999999999995</v>
      </c>
      <c r="V25">
        <f>VLOOKUP($A25&amp;V$1,Data!$A$2:$D$3723,4,FALSE)</f>
        <v>1</v>
      </c>
      <c r="W25">
        <f>VLOOKUP($A25&amp;W$1,Data!$A$2:$D$3723,4,FALSE)</f>
        <v>0</v>
      </c>
      <c r="X25">
        <f>VLOOKUP($A25&amp;X$1,Data!$A$2:$D$3723,4,FALSE)</f>
        <v>0</v>
      </c>
      <c r="Y25">
        <f>VLOOKUP($A25&amp;Y$1,Data!$A$2:$D$3723,4,FALSE)</f>
        <v>-0.59099999999999997</v>
      </c>
      <c r="Z25">
        <f>VLOOKUP($A25&amp;Z$1,Data!$A$2:$D$3723,4,FALSE)</f>
        <v>-0.182</v>
      </c>
      <c r="AA25">
        <f>VLOOKUP($A25&amp;AA$1,Data!$A$2:$D$3723,4,FALSE)</f>
        <v>0.42899999999999999</v>
      </c>
      <c r="AB25">
        <f>VLOOKUP($A25&amp;AB$1,Data!$A$2:$D$3723,4,FALSE)</f>
        <v>0.184</v>
      </c>
      <c r="AC25">
        <f>VLOOKUP($A25&amp;AC$1,Data!$A$2:$D$3723,4,FALSE)</f>
        <v>-1.526</v>
      </c>
      <c r="AD25">
        <f>VLOOKUP($A25&amp;AD$1,Data!$A$2:$D$3723,4,FALSE)</f>
        <v>0.436</v>
      </c>
      <c r="AE25">
        <f>VLOOKUP($A25&amp;AE$1,Data!$A$2:$D$3723,4,FALSE)</f>
        <v>3.302</v>
      </c>
      <c r="AF25">
        <f>VLOOKUP($A25&amp;AF$1,Data!$A$2:$D$3723,4,FALSE)</f>
        <v>0</v>
      </c>
      <c r="AG25">
        <f>VLOOKUP($A25&amp;AG$1,Data!$A$2:$D$3723,4,FALSE)</f>
        <v>54000000</v>
      </c>
    </row>
    <row r="26" spans="1:33" hidden="1" x14ac:dyDescent="0.35">
      <c r="A26" s="13">
        <f t="shared" si="2"/>
        <v>25</v>
      </c>
      <c r="B26" t="s">
        <v>0</v>
      </c>
      <c r="C26" t="s">
        <v>22</v>
      </c>
      <c r="D26">
        <v>100</v>
      </c>
      <c r="E26" t="s">
        <v>17</v>
      </c>
      <c r="F26" s="5">
        <v>43831</v>
      </c>
      <c r="G26" s="5">
        <v>44562</v>
      </c>
      <c r="H26">
        <v>14</v>
      </c>
      <c r="I26">
        <v>9</v>
      </c>
      <c r="J26">
        <f t="shared" si="0"/>
        <v>28</v>
      </c>
      <c r="K26">
        <f t="shared" si="1"/>
        <v>72</v>
      </c>
      <c r="L26">
        <v>1000000</v>
      </c>
      <c r="M26">
        <f>VLOOKUP($A26&amp;M$1,Data!$A$2:$D$3723,4,FALSE)</f>
        <v>8.9389999999999997E-2</v>
      </c>
      <c r="N26">
        <f>VLOOKUP($A26&amp;N$1,Data!$A$2:$D$3723,4,FALSE)</f>
        <v>-0.39900000000000002</v>
      </c>
      <c r="O26">
        <f>VLOOKUP($A26&amp;O$1,Data!$A$2:$D$3723,4,FALSE)</f>
        <v>111</v>
      </c>
      <c r="P26">
        <f>VLOOKUP($A26&amp;P$1,Data!$A$2:$D$3723,4,FALSE)</f>
        <v>2.0000000000000001E-4</v>
      </c>
      <c r="Q26">
        <f>VLOOKUP($A26&amp;Q$1,Data!$A$2:$D$3723,4,FALSE)</f>
        <v>-8.0000000000000004E-4</v>
      </c>
      <c r="R26">
        <f>VLOOKUP($A26&amp;R$1,Data!$A$2:$D$3723,4,FALSE)</f>
        <v>-2.4199999999999998E-3</v>
      </c>
      <c r="S26">
        <f>VLOOKUP($A26&amp;S$1,Data!$A$2:$D$3723,4,FALSE)</f>
        <v>5.0000000000000001E-3</v>
      </c>
      <c r="T26">
        <f>VLOOKUP($A26&amp;T$1,Data!$A$2:$D$3723,4,FALSE)</f>
        <v>-0.57299999999999995</v>
      </c>
      <c r="U26">
        <f>VLOOKUP($A26&amp;U$1,Data!$A$2:$D$3723,4,FALSE)</f>
        <v>-1.56E-3</v>
      </c>
      <c r="V26">
        <f>VLOOKUP($A26&amp;V$1,Data!$A$2:$D$3723,4,FALSE)</f>
        <v>0.67</v>
      </c>
      <c r="W26">
        <f>VLOOKUP($A26&amp;W$1,Data!$A$2:$D$3723,4,FALSE)</f>
        <v>0.33</v>
      </c>
      <c r="X26">
        <f>VLOOKUP($A26&amp;X$1,Data!$A$2:$D$3723,4,FALSE)</f>
        <v>0.28000000000000003</v>
      </c>
      <c r="Y26">
        <f>VLOOKUP($A26&amp;Y$1,Data!$A$2:$D$3723,4,FALSE)</f>
        <v>-3.0000000000000001E-3</v>
      </c>
      <c r="Z26">
        <f>VLOOKUP($A26&amp;Z$1,Data!$A$2:$D$3723,4,FALSE)</f>
        <v>1.6E-2</v>
      </c>
      <c r="AA26">
        <f>VLOOKUP($A26&amp;AA$1,Data!$A$2:$D$3723,4,FALSE)</f>
        <v>4.0000000000000001E-3</v>
      </c>
      <c r="AB26">
        <f>VLOOKUP($A26&amp;AB$1,Data!$A$2:$D$3723,4,FALSE)</f>
        <v>0</v>
      </c>
      <c r="AC26">
        <f>VLOOKUP($A26&amp;AC$1,Data!$A$2:$D$3723,4,FALSE)</f>
        <v>-0.99299999999999999</v>
      </c>
      <c r="AD26">
        <f>VLOOKUP($A26&amp;AD$1,Data!$A$2:$D$3723,4,FALSE)</f>
        <v>6.6000000000000003E-2</v>
      </c>
      <c r="AE26">
        <f>VLOOKUP($A26&amp;AE$1,Data!$A$2:$D$3723,4,FALSE)</f>
        <v>-0.107</v>
      </c>
      <c r="AF26">
        <f>VLOOKUP($A26&amp;AF$1,Data!$A$2:$D$3723,4,FALSE)</f>
        <v>0</v>
      </c>
      <c r="AG26">
        <f>VLOOKUP($A26&amp;AG$1,Data!$A$2:$D$3723,4,FALSE)</f>
        <v>200000000</v>
      </c>
    </row>
    <row r="27" spans="1:33" hidden="1" x14ac:dyDescent="0.35">
      <c r="A27" s="13">
        <f t="shared" si="2"/>
        <v>26</v>
      </c>
      <c r="B27" t="s">
        <v>0</v>
      </c>
      <c r="C27" t="s">
        <v>22</v>
      </c>
      <c r="D27">
        <v>1000</v>
      </c>
      <c r="E27" t="s">
        <v>17</v>
      </c>
      <c r="F27" s="5">
        <v>43831</v>
      </c>
      <c r="G27" s="5">
        <v>44562</v>
      </c>
      <c r="H27">
        <v>14</v>
      </c>
      <c r="I27">
        <v>9</v>
      </c>
      <c r="J27">
        <f t="shared" si="0"/>
        <v>28</v>
      </c>
      <c r="K27">
        <f t="shared" si="1"/>
        <v>72</v>
      </c>
      <c r="L27">
        <v>1000000</v>
      </c>
      <c r="M27">
        <f>VLOOKUP($A27&amp;M$1,Data!$A$2:$D$3723,4,FALSE)</f>
        <v>9.3100000000000002E-2</v>
      </c>
      <c r="N27">
        <f>VLOOKUP($A27&amp;N$1,Data!$A$2:$D$3723,4,FALSE)</f>
        <v>-0.374</v>
      </c>
      <c r="O27">
        <f>VLOOKUP($A27&amp;O$1,Data!$A$2:$D$3723,4,FALSE)</f>
        <v>111</v>
      </c>
      <c r="P27">
        <f>VLOOKUP($A27&amp;P$1,Data!$A$2:$D$3723,4,FALSE)</f>
        <v>2.3999999999999998E-3</v>
      </c>
      <c r="Q27">
        <f>VLOOKUP($A27&amp;Q$1,Data!$A$2:$D$3723,4,FALSE)</f>
        <v>-8.3000000000000001E-3</v>
      </c>
      <c r="R27">
        <f>VLOOKUP($A27&amp;R$1,Data!$A$2:$D$3723,4,FALSE)</f>
        <v>-2.4080000000000001E-2</v>
      </c>
      <c r="S27">
        <f>VLOOKUP($A27&amp;S$1,Data!$A$2:$D$3723,4,FALSE)</f>
        <v>5.3999999999999999E-2</v>
      </c>
      <c r="T27">
        <f>VLOOKUP($A27&amp;T$1,Data!$A$2:$D$3723,4,FALSE)</f>
        <v>-0.57199999999999995</v>
      </c>
      <c r="U27">
        <f>VLOOKUP($A27&amp;U$1,Data!$A$2:$D$3723,4,FALSE)</f>
        <v>-1.5630000000000002E-2</v>
      </c>
      <c r="V27">
        <f>VLOOKUP($A27&amp;V$1,Data!$A$2:$D$3723,4,FALSE)</f>
        <v>0.67</v>
      </c>
      <c r="W27">
        <f>VLOOKUP($A27&amp;W$1,Data!$A$2:$D$3723,4,FALSE)</f>
        <v>0.33</v>
      </c>
      <c r="X27">
        <f>VLOOKUP($A27&amp;X$1,Data!$A$2:$D$3723,4,FALSE)</f>
        <v>0.28000000000000003</v>
      </c>
      <c r="Y27">
        <f>VLOOKUP($A27&amp;Y$1,Data!$A$2:$D$3723,4,FALSE)</f>
        <v>-2.5999999999999999E-2</v>
      </c>
      <c r="Z27">
        <f>VLOOKUP($A27&amp;Z$1,Data!$A$2:$D$3723,4,FALSE)</f>
        <v>0.158</v>
      </c>
      <c r="AA27">
        <f>VLOOKUP($A27&amp;AA$1,Data!$A$2:$D$3723,4,FALSE)</f>
        <v>4.2000000000000003E-2</v>
      </c>
      <c r="AB27">
        <f>VLOOKUP($A27&amp;AB$1,Data!$A$2:$D$3723,4,FALSE)</f>
        <v>2E-3</v>
      </c>
      <c r="AC27">
        <f>VLOOKUP($A27&amp;AC$1,Data!$A$2:$D$3723,4,FALSE)</f>
        <v>-1.1419999999999999</v>
      </c>
      <c r="AD27">
        <f>VLOOKUP($A27&amp;AD$1,Data!$A$2:$D$3723,4,FALSE)</f>
        <v>7.0000000000000007E-2</v>
      </c>
      <c r="AE27">
        <f>VLOOKUP($A27&amp;AE$1,Data!$A$2:$D$3723,4,FALSE)</f>
        <v>-0.1</v>
      </c>
      <c r="AF27">
        <f>VLOOKUP($A27&amp;AF$1,Data!$A$2:$D$3723,4,FALSE)</f>
        <v>0</v>
      </c>
      <c r="AG27">
        <f>VLOOKUP($A27&amp;AG$1,Data!$A$2:$D$3723,4,FALSE)</f>
        <v>25000000</v>
      </c>
    </row>
    <row r="28" spans="1:33" hidden="1" x14ac:dyDescent="0.35">
      <c r="A28" s="13">
        <f t="shared" si="2"/>
        <v>27</v>
      </c>
      <c r="B28" t="s">
        <v>0</v>
      </c>
      <c r="C28" t="s">
        <v>22</v>
      </c>
      <c r="D28">
        <v>5000</v>
      </c>
      <c r="E28" t="s">
        <v>17</v>
      </c>
      <c r="F28" s="5">
        <v>43831</v>
      </c>
      <c r="G28" s="5">
        <v>44562</v>
      </c>
      <c r="H28">
        <v>14</v>
      </c>
      <c r="I28">
        <v>9</v>
      </c>
      <c r="J28">
        <f t="shared" si="0"/>
        <v>28</v>
      </c>
      <c r="K28">
        <f t="shared" si="1"/>
        <v>72</v>
      </c>
      <c r="L28">
        <v>1000000</v>
      </c>
      <c r="M28">
        <f>VLOOKUP($A28&amp;M$1,Data!$A$2:$D$3723,4,FALSE)</f>
        <v>0.11261</v>
      </c>
      <c r="N28">
        <f>VLOOKUP($A28&amp;N$1,Data!$A$2:$D$3723,4,FALSE)</f>
        <v>-0.25700000000000001</v>
      </c>
      <c r="O28">
        <f>VLOOKUP($A28&amp;O$1,Data!$A$2:$D$3723,4,FALSE)</f>
        <v>111</v>
      </c>
      <c r="P28">
        <f>VLOOKUP($A28&amp;P$1,Data!$A$2:$D$3723,4,FALSE)</f>
        <v>1.23E-2</v>
      </c>
      <c r="Q28">
        <f>VLOOKUP($A28&amp;Q$1,Data!$A$2:$D$3723,4,FALSE)</f>
        <v>-4.2200000000000001E-2</v>
      </c>
      <c r="R28">
        <f>VLOOKUP($A28&amp;R$1,Data!$A$2:$D$3723,4,FALSE)</f>
        <v>-0.1183</v>
      </c>
      <c r="S28">
        <f>VLOOKUP($A28&amp;S$1,Data!$A$2:$D$3723,4,FALSE)</f>
        <v>0.255</v>
      </c>
      <c r="T28">
        <f>VLOOKUP($A28&amp;T$1,Data!$A$2:$D$3723,4,FALSE)</f>
        <v>-0.56999999999999995</v>
      </c>
      <c r="U28">
        <f>VLOOKUP($A28&amp;U$1,Data!$A$2:$D$3723,4,FALSE)</f>
        <v>-7.8170000000000003E-2</v>
      </c>
      <c r="V28">
        <f>VLOOKUP($A28&amp;V$1,Data!$A$2:$D$3723,4,FALSE)</f>
        <v>0.67</v>
      </c>
      <c r="W28">
        <f>VLOOKUP($A28&amp;W$1,Data!$A$2:$D$3723,4,FALSE)</f>
        <v>0.33</v>
      </c>
      <c r="X28">
        <f>VLOOKUP($A28&amp;X$1,Data!$A$2:$D$3723,4,FALSE)</f>
        <v>0.28999999999999998</v>
      </c>
      <c r="Y28">
        <f>VLOOKUP($A28&amp;Y$1,Data!$A$2:$D$3723,4,FALSE)</f>
        <v>-0.114</v>
      </c>
      <c r="Z28">
        <f>VLOOKUP($A28&amp;Z$1,Data!$A$2:$D$3723,4,FALSE)</f>
        <v>0.86099999999999999</v>
      </c>
      <c r="AA28">
        <f>VLOOKUP($A28&amp;AA$1,Data!$A$2:$D$3723,4,FALSE)</f>
        <v>0.23</v>
      </c>
      <c r="AB28">
        <f>VLOOKUP($A28&amp;AB$1,Data!$A$2:$D$3723,4,FALSE)</f>
        <v>5.2999999999999999E-2</v>
      </c>
      <c r="AC28">
        <f>VLOOKUP($A28&amp;AC$1,Data!$A$2:$D$3723,4,FALSE)</f>
        <v>-0.55100000000000005</v>
      </c>
      <c r="AD28">
        <f>VLOOKUP($A28&amp;AD$1,Data!$A$2:$D$3723,4,FALSE)</f>
        <v>0.223</v>
      </c>
      <c r="AE28">
        <f>VLOOKUP($A28&amp;AE$1,Data!$A$2:$D$3723,4,FALSE)</f>
        <v>-6.9000000000000006E-2</v>
      </c>
      <c r="AF28">
        <f>VLOOKUP($A28&amp;AF$1,Data!$A$2:$D$3723,4,FALSE)</f>
        <v>0</v>
      </c>
      <c r="AG28">
        <f>VLOOKUP($A28&amp;AG$1,Data!$A$2:$D$3723,4,FALSE)</f>
        <v>6300000</v>
      </c>
    </row>
    <row r="29" spans="1:33" hidden="1" x14ac:dyDescent="0.35">
      <c r="A29" s="13">
        <f>A28+1</f>
        <v>28</v>
      </c>
      <c r="B29" t="s">
        <v>5</v>
      </c>
      <c r="C29" t="s">
        <v>3</v>
      </c>
      <c r="D29">
        <v>100</v>
      </c>
      <c r="E29" t="s">
        <v>17</v>
      </c>
      <c r="F29" s="5">
        <v>43831</v>
      </c>
      <c r="G29" s="5">
        <v>44562</v>
      </c>
      <c r="H29">
        <v>14</v>
      </c>
      <c r="I29">
        <v>9</v>
      </c>
      <c r="J29">
        <f t="shared" si="0"/>
        <v>30</v>
      </c>
      <c r="K29">
        <f t="shared" si="1"/>
        <v>70</v>
      </c>
      <c r="L29">
        <v>1000000</v>
      </c>
      <c r="M29">
        <f>VLOOKUP($A29&amp;M$1,Data!$A$2:$D$3723,4,FALSE)</f>
        <v>1.125E-2</v>
      </c>
      <c r="N29">
        <f>VLOOKUP($A29&amp;N$1,Data!$A$2:$D$3723,4,FALSE)</f>
        <v>-1.2729999999999999</v>
      </c>
      <c r="O29">
        <f>VLOOKUP($A29&amp;O$1,Data!$A$2:$D$3723,4,FALSE)</f>
        <v>764</v>
      </c>
      <c r="P29">
        <f>VLOOKUP($A29&amp;P$1,Data!$A$2:$D$3723,4,FALSE)</f>
        <v>8.0000000000000004E-4</v>
      </c>
      <c r="Q29">
        <f>VLOOKUP($A29&amp;Q$1,Data!$A$2:$D$3723,4,FALSE)</f>
        <v>-1.1999999999999999E-3</v>
      </c>
      <c r="R29">
        <f>VLOOKUP($A29&amp;R$1,Data!$A$2:$D$3723,4,FALSE)</f>
        <v>-1.6959999999999999E-2</v>
      </c>
      <c r="S29">
        <f>VLOOKUP($A29&amp;S$1,Data!$A$2:$D$3723,4,FALSE)</f>
        <v>1.6E-2</v>
      </c>
      <c r="T29">
        <f>VLOOKUP($A29&amp;T$1,Data!$A$2:$D$3723,4,FALSE)</f>
        <v>-0.35599999999999998</v>
      </c>
      <c r="U29">
        <f>VLOOKUP($A29&amp;U$1,Data!$A$2:$D$3723,4,FALSE)</f>
        <v>-1.095E-2</v>
      </c>
      <c r="V29">
        <f>VLOOKUP($A29&amp;V$1,Data!$A$2:$D$3723,4,FALSE)</f>
        <v>0.6</v>
      </c>
      <c r="W29">
        <f>VLOOKUP($A29&amp;W$1,Data!$A$2:$D$3723,4,FALSE)</f>
        <v>0.4</v>
      </c>
      <c r="X29">
        <f>VLOOKUP($A29&amp;X$1,Data!$A$2:$D$3723,4,FALSE)</f>
        <v>0.61</v>
      </c>
      <c r="Y29">
        <f>VLOOKUP($A29&amp;Y$1,Data!$A$2:$D$3723,4,FALSE)</f>
        <v>-1.4E-2</v>
      </c>
      <c r="Z29">
        <f>VLOOKUP($A29&amp;Z$1,Data!$A$2:$D$3723,4,FALSE)</f>
        <v>3.3000000000000002E-2</v>
      </c>
      <c r="AA29">
        <f>VLOOKUP($A29&amp;AA$1,Data!$A$2:$D$3723,4,FALSE)</f>
        <v>8.9999999999999993E-3</v>
      </c>
      <c r="AB29">
        <f>VLOOKUP($A29&amp;AB$1,Data!$A$2:$D$3723,4,FALSE)</f>
        <v>0</v>
      </c>
      <c r="AC29">
        <f>VLOOKUP($A29&amp;AC$1,Data!$A$2:$D$3723,4,FALSE)</f>
        <v>-1.161</v>
      </c>
      <c r="AD29">
        <f>VLOOKUP($A29&amp;AD$1,Data!$A$2:$D$3723,4,FALSE)</f>
        <v>6.5000000000000002E-2</v>
      </c>
      <c r="AE29">
        <f>VLOOKUP($A29&amp;AE$1,Data!$A$2:$D$3723,4,FALSE)</f>
        <v>-0.35799999999999998</v>
      </c>
      <c r="AF29">
        <f>VLOOKUP($A29&amp;AF$1,Data!$A$2:$D$3723,4,FALSE)</f>
        <v>0</v>
      </c>
      <c r="AG29">
        <f>VLOOKUP($A29&amp;AG$1,Data!$A$2:$D$3723,4,FALSE)</f>
        <v>230000000</v>
      </c>
    </row>
    <row r="30" spans="1:33" hidden="1" x14ac:dyDescent="0.35">
      <c r="A30" s="13">
        <f t="shared" ref="A30:A55" si="3">A29+1</f>
        <v>29</v>
      </c>
      <c r="B30" t="s">
        <v>5</v>
      </c>
      <c r="C30" t="s">
        <v>3</v>
      </c>
      <c r="D30">
        <v>1000</v>
      </c>
      <c r="E30" t="s">
        <v>17</v>
      </c>
      <c r="F30" s="5">
        <v>43831</v>
      </c>
      <c r="G30" s="5">
        <v>44562</v>
      </c>
      <c r="H30">
        <v>14</v>
      </c>
      <c r="I30">
        <v>9</v>
      </c>
      <c r="J30">
        <f t="shared" si="0"/>
        <v>30</v>
      </c>
      <c r="K30">
        <f t="shared" si="1"/>
        <v>70</v>
      </c>
      <c r="L30">
        <v>1000000</v>
      </c>
      <c r="M30">
        <f>VLOOKUP($A30&amp;M$1,Data!$A$2:$D$3723,4,FALSE)</f>
        <v>1.3780000000000001E-2</v>
      </c>
      <c r="N30">
        <f>VLOOKUP($A30&amp;N$1,Data!$A$2:$D$3723,4,FALSE)</f>
        <v>-1.1679999999999999</v>
      </c>
      <c r="O30">
        <f>VLOOKUP($A30&amp;O$1,Data!$A$2:$D$3723,4,FALSE)</f>
        <v>764</v>
      </c>
      <c r="P30">
        <f>VLOOKUP($A30&amp;P$1,Data!$A$2:$D$3723,4,FALSE)</f>
        <v>7.9000000000000008E-3</v>
      </c>
      <c r="Q30">
        <f>VLOOKUP($A30&amp;Q$1,Data!$A$2:$D$3723,4,FALSE)</f>
        <v>-1.2699999999999999E-2</v>
      </c>
      <c r="R30">
        <f>VLOOKUP($A30&amp;R$1,Data!$A$2:$D$3723,4,FALSE)</f>
        <v>-0.16483999999999999</v>
      </c>
      <c r="S30">
        <f>VLOOKUP($A30&amp;S$1,Data!$A$2:$D$3723,4,FALSE)</f>
        <v>0.155</v>
      </c>
      <c r="T30">
        <f>VLOOKUP($A30&amp;T$1,Data!$A$2:$D$3723,4,FALSE)</f>
        <v>-0.35299999999999998</v>
      </c>
      <c r="U30">
        <f>VLOOKUP($A30&amp;U$1,Data!$A$2:$D$3723,4,FALSE)</f>
        <v>-0.10947999999999999</v>
      </c>
      <c r="V30">
        <f>VLOOKUP($A30&amp;V$1,Data!$A$2:$D$3723,4,FALSE)</f>
        <v>0.6</v>
      </c>
      <c r="W30">
        <f>VLOOKUP($A30&amp;W$1,Data!$A$2:$D$3723,4,FALSE)</f>
        <v>0.4</v>
      </c>
      <c r="X30">
        <f>VLOOKUP($A30&amp;X$1,Data!$A$2:$D$3723,4,FALSE)</f>
        <v>0.62</v>
      </c>
      <c r="Y30">
        <f>VLOOKUP($A30&amp;Y$1,Data!$A$2:$D$3723,4,FALSE)</f>
        <v>-0.13500000000000001</v>
      </c>
      <c r="Z30">
        <f>VLOOKUP($A30&amp;Z$1,Data!$A$2:$D$3723,4,FALSE)</f>
        <v>0.34599999999999997</v>
      </c>
      <c r="AA30">
        <f>VLOOKUP($A30&amp;AA$1,Data!$A$2:$D$3723,4,FALSE)</f>
        <v>9.7000000000000003E-2</v>
      </c>
      <c r="AB30">
        <f>VLOOKUP($A30&amp;AB$1,Data!$A$2:$D$3723,4,FALSE)</f>
        <v>8.9999999999999993E-3</v>
      </c>
      <c r="AC30">
        <f>VLOOKUP($A30&amp;AC$1,Data!$A$2:$D$3723,4,FALSE)</f>
        <v>-1.708</v>
      </c>
      <c r="AD30">
        <f>VLOOKUP($A30&amp;AD$1,Data!$A$2:$D$3723,4,FALSE)</f>
        <v>0.104</v>
      </c>
      <c r="AE30">
        <f>VLOOKUP($A30&amp;AE$1,Data!$A$2:$D$3723,4,FALSE)</f>
        <v>-0.32700000000000001</v>
      </c>
      <c r="AF30">
        <f>VLOOKUP($A30&amp;AF$1,Data!$A$2:$D$3723,4,FALSE)</f>
        <v>0</v>
      </c>
      <c r="AG30">
        <f>VLOOKUP($A30&amp;AG$1,Data!$A$2:$D$3723,4,FALSE)</f>
        <v>22000000</v>
      </c>
    </row>
    <row r="31" spans="1:33" hidden="1" x14ac:dyDescent="0.35">
      <c r="A31" s="13">
        <f t="shared" si="3"/>
        <v>30</v>
      </c>
      <c r="B31" t="s">
        <v>5</v>
      </c>
      <c r="C31" t="s">
        <v>3</v>
      </c>
      <c r="D31">
        <v>5000</v>
      </c>
      <c r="E31" t="s">
        <v>17</v>
      </c>
      <c r="F31" s="5">
        <v>43831</v>
      </c>
      <c r="G31" s="5">
        <v>44562</v>
      </c>
      <c r="H31">
        <v>14</v>
      </c>
      <c r="I31">
        <v>9</v>
      </c>
      <c r="J31">
        <f t="shared" si="0"/>
        <v>30</v>
      </c>
      <c r="K31">
        <f t="shared" si="1"/>
        <v>70</v>
      </c>
      <c r="L31">
        <v>1000000</v>
      </c>
      <c r="M31">
        <f>VLOOKUP($A31&amp;M$1,Data!$A$2:$D$3723,4,FALSE)</f>
        <v>4.7910000000000001E-2</v>
      </c>
      <c r="N31">
        <f>VLOOKUP($A31&amp;N$1,Data!$A$2:$D$3723,4,FALSE)</f>
        <v>-0.61899999999999999</v>
      </c>
      <c r="O31">
        <f>VLOOKUP($A31&amp;O$1,Data!$A$2:$D$3723,4,FALSE)</f>
        <v>764</v>
      </c>
      <c r="P31">
        <f>VLOOKUP($A31&amp;P$1,Data!$A$2:$D$3723,4,FALSE)</f>
        <v>5.0900000000000001E-2</v>
      </c>
      <c r="Q31">
        <f>VLOOKUP($A31&amp;Q$1,Data!$A$2:$D$3723,4,FALSE)</f>
        <v>-7.8899999999999998E-2</v>
      </c>
      <c r="R31">
        <f>VLOOKUP($A31&amp;R$1,Data!$A$2:$D$3723,4,FALSE)</f>
        <v>-0.70816000000000001</v>
      </c>
      <c r="S31">
        <f>VLOOKUP($A31&amp;S$1,Data!$A$2:$D$3723,4,FALSE)</f>
        <v>0.70899999999999996</v>
      </c>
      <c r="T31">
        <f>VLOOKUP($A31&amp;T$1,Data!$A$2:$D$3723,4,FALSE)</f>
        <v>-0.34200000000000003</v>
      </c>
      <c r="U31">
        <f>VLOOKUP($A31&amp;U$1,Data!$A$2:$D$3723,4,FALSE)</f>
        <v>-0.54740999999999995</v>
      </c>
      <c r="V31">
        <f>VLOOKUP($A31&amp;V$1,Data!$A$2:$D$3723,4,FALSE)</f>
        <v>0.6</v>
      </c>
      <c r="W31">
        <f>VLOOKUP($A31&amp;W$1,Data!$A$2:$D$3723,4,FALSE)</f>
        <v>0.4</v>
      </c>
      <c r="X31">
        <f>VLOOKUP($A31&amp;X$1,Data!$A$2:$D$3723,4,FALSE)</f>
        <v>0.65</v>
      </c>
      <c r="Y31">
        <f>VLOOKUP($A31&amp;Y$1,Data!$A$2:$D$3723,4,FALSE)</f>
        <v>-0.61199999999999999</v>
      </c>
      <c r="Z31">
        <f>VLOOKUP($A31&amp;Z$1,Data!$A$2:$D$3723,4,FALSE)</f>
        <v>2.528</v>
      </c>
      <c r="AA31">
        <f>VLOOKUP($A31&amp;AA$1,Data!$A$2:$D$3723,4,FALSE)</f>
        <v>0.72599999999999998</v>
      </c>
      <c r="AB31">
        <f>VLOOKUP($A31&amp;AB$1,Data!$A$2:$D$3723,4,FALSE)</f>
        <v>0.52800000000000002</v>
      </c>
      <c r="AC31">
        <f>VLOOKUP($A31&amp;AC$1,Data!$A$2:$D$3723,4,FALSE)</f>
        <v>-0.71899999999999997</v>
      </c>
      <c r="AD31">
        <f>VLOOKUP($A31&amp;AD$1,Data!$A$2:$D$3723,4,FALSE)</f>
        <v>0.71399999999999997</v>
      </c>
      <c r="AE31">
        <f>VLOOKUP($A31&amp;AE$1,Data!$A$2:$D$3723,4,FALSE)</f>
        <v>-0.17799999999999999</v>
      </c>
      <c r="AF31">
        <f>VLOOKUP($A31&amp;AF$1,Data!$A$2:$D$3723,4,FALSE)</f>
        <v>0</v>
      </c>
      <c r="AG31">
        <f>VLOOKUP($A31&amp;AG$1,Data!$A$2:$D$3723,4,FALSE)</f>
        <v>3300000</v>
      </c>
    </row>
    <row r="32" spans="1:33" hidden="1" x14ac:dyDescent="0.35">
      <c r="A32" s="13">
        <f t="shared" si="3"/>
        <v>31</v>
      </c>
      <c r="B32" t="s">
        <v>5</v>
      </c>
      <c r="C32" t="s">
        <v>2</v>
      </c>
      <c r="D32">
        <v>100</v>
      </c>
      <c r="E32" t="s">
        <v>17</v>
      </c>
      <c r="F32" s="5">
        <v>43831</v>
      </c>
      <c r="G32" s="5">
        <v>44562</v>
      </c>
      <c r="H32">
        <v>14</v>
      </c>
      <c r="I32">
        <v>9</v>
      </c>
      <c r="J32">
        <f t="shared" si="0"/>
        <v>30</v>
      </c>
      <c r="K32">
        <f t="shared" si="1"/>
        <v>70</v>
      </c>
      <c r="L32">
        <v>1000000</v>
      </c>
      <c r="M32">
        <f>VLOOKUP($A32&amp;M$1,Data!$A$2:$D$3723,4,FALSE)</f>
        <v>4.5999999999999999E-2</v>
      </c>
      <c r="N32">
        <f>VLOOKUP($A32&amp;N$1,Data!$A$2:$D$3723,4,FALSE)</f>
        <v>-0.76900000000000002</v>
      </c>
      <c r="O32">
        <f>VLOOKUP($A32&amp;O$1,Data!$A$2:$D$3723,4,FALSE)</f>
        <v>459</v>
      </c>
      <c r="P32">
        <f>VLOOKUP($A32&amp;P$1,Data!$A$2:$D$3723,4,FALSE)</f>
        <v>6.9999999999999999E-4</v>
      </c>
      <c r="Q32">
        <f>VLOOKUP($A32&amp;Q$1,Data!$A$2:$D$3723,4,FALSE)</f>
        <v>-1.4E-3</v>
      </c>
      <c r="R32">
        <f>VLOOKUP($A32&amp;R$1,Data!$A$2:$D$3723,4,FALSE)</f>
        <v>-1.0160000000000001E-2</v>
      </c>
      <c r="S32">
        <f>VLOOKUP($A32&amp;S$1,Data!$A$2:$D$3723,4,FALSE)</f>
        <v>1.4E-2</v>
      </c>
      <c r="T32">
        <f>VLOOKUP($A32&amp;T$1,Data!$A$2:$D$3723,4,FALSE)</f>
        <v>-0.30199999999999999</v>
      </c>
      <c r="U32">
        <f>VLOOKUP($A32&amp;U$1,Data!$A$2:$D$3723,4,FALSE)</f>
        <v>-6.5500000000000003E-3</v>
      </c>
      <c r="V32">
        <f>VLOOKUP($A32&amp;V$1,Data!$A$2:$D$3723,4,FALSE)</f>
        <v>0.53</v>
      </c>
      <c r="W32">
        <f>VLOOKUP($A32&amp;W$1,Data!$A$2:$D$3723,4,FALSE)</f>
        <v>0.47</v>
      </c>
      <c r="X32">
        <f>VLOOKUP($A32&amp;X$1,Data!$A$2:$D$3723,4,FALSE)</f>
        <v>0.5</v>
      </c>
      <c r="Y32">
        <f>VLOOKUP($A32&amp;Y$1,Data!$A$2:$D$3723,4,FALSE)</f>
        <v>-8.9999999999999993E-3</v>
      </c>
      <c r="Z32">
        <f>VLOOKUP($A32&amp;Z$1,Data!$A$2:$D$3723,4,FALSE)</f>
        <v>3.6999999999999998E-2</v>
      </c>
      <c r="AA32">
        <f>VLOOKUP($A32&amp;AA$1,Data!$A$2:$D$3723,4,FALSE)</f>
        <v>8.9999999999999993E-3</v>
      </c>
      <c r="AB32">
        <f>VLOOKUP($A32&amp;AB$1,Data!$A$2:$D$3723,4,FALSE)</f>
        <v>0</v>
      </c>
      <c r="AC32">
        <f>VLOOKUP($A32&amp;AC$1,Data!$A$2:$D$3723,4,FALSE)</f>
        <v>-1.0940000000000001</v>
      </c>
      <c r="AD32">
        <f>VLOOKUP($A32&amp;AD$1,Data!$A$2:$D$3723,4,FALSE)</f>
        <v>6.5000000000000002E-2</v>
      </c>
      <c r="AE32">
        <f>VLOOKUP($A32&amp;AE$1,Data!$A$2:$D$3723,4,FALSE)</f>
        <v>-0.188</v>
      </c>
      <c r="AF32">
        <f>VLOOKUP($A32&amp;AF$1,Data!$A$2:$D$3723,4,FALSE)</f>
        <v>0</v>
      </c>
      <c r="AG32">
        <f>VLOOKUP($A32&amp;AG$1,Data!$A$2:$D$3723,4,FALSE)</f>
        <v>1300000000</v>
      </c>
    </row>
    <row r="33" spans="1:33" hidden="1" x14ac:dyDescent="0.35">
      <c r="A33" s="13">
        <f t="shared" si="3"/>
        <v>32</v>
      </c>
      <c r="B33" t="s">
        <v>5</v>
      </c>
      <c r="C33" t="s">
        <v>2</v>
      </c>
      <c r="D33">
        <v>1000</v>
      </c>
      <c r="E33" t="s">
        <v>17</v>
      </c>
      <c r="F33" s="5">
        <v>43831</v>
      </c>
      <c r="G33" s="5">
        <v>44562</v>
      </c>
      <c r="H33">
        <v>14</v>
      </c>
      <c r="I33">
        <v>9</v>
      </c>
      <c r="J33">
        <f t="shared" si="0"/>
        <v>30</v>
      </c>
      <c r="K33">
        <f t="shared" si="1"/>
        <v>70</v>
      </c>
      <c r="L33">
        <v>1000000</v>
      </c>
      <c r="M33">
        <f>VLOOKUP($A33&amp;M$1,Data!$A$2:$D$3723,4,FALSE)</f>
        <v>5.142E-2</v>
      </c>
      <c r="N33">
        <f>VLOOKUP($A33&amp;N$1,Data!$A$2:$D$3723,4,FALSE)</f>
        <v>-0.7</v>
      </c>
      <c r="O33">
        <f>VLOOKUP($A33&amp;O$1,Data!$A$2:$D$3723,4,FALSE)</f>
        <v>459</v>
      </c>
      <c r="P33">
        <f>VLOOKUP($A33&amp;P$1,Data!$A$2:$D$3723,4,FALSE)</f>
        <v>7.3000000000000001E-3</v>
      </c>
      <c r="Q33">
        <f>VLOOKUP($A33&amp;Q$1,Data!$A$2:$D$3723,4,FALSE)</f>
        <v>-1.47E-2</v>
      </c>
      <c r="R33">
        <f>VLOOKUP($A33&amp;R$1,Data!$A$2:$D$3723,4,FALSE)</f>
        <v>-9.9900000000000003E-2</v>
      </c>
      <c r="S33">
        <f>VLOOKUP($A33&amp;S$1,Data!$A$2:$D$3723,4,FALSE)</f>
        <v>0.13700000000000001</v>
      </c>
      <c r="T33">
        <f>VLOOKUP($A33&amp;T$1,Data!$A$2:$D$3723,4,FALSE)</f>
        <v>-0.3</v>
      </c>
      <c r="U33">
        <f>VLOOKUP($A33&amp;U$1,Data!$A$2:$D$3723,4,FALSE)</f>
        <v>-6.5509999999999999E-2</v>
      </c>
      <c r="V33">
        <f>VLOOKUP($A33&amp;V$1,Data!$A$2:$D$3723,4,FALSE)</f>
        <v>0.53</v>
      </c>
      <c r="W33">
        <f>VLOOKUP($A33&amp;W$1,Data!$A$2:$D$3723,4,FALSE)</f>
        <v>0.47</v>
      </c>
      <c r="X33" t="e">
        <f>VLOOKUP($A33&amp;X$1,Data!$A$2:$D$3723,4,FALSE)</f>
        <v>#N/A</v>
      </c>
      <c r="Y33">
        <f>VLOOKUP($A33&amp;Y$1,Data!$A$2:$D$3723,4,FALSE)</f>
        <v>-9.0999999999999998E-2</v>
      </c>
      <c r="Z33">
        <f>VLOOKUP($A33&amp;Z$1,Data!$A$2:$D$3723,4,FALSE)</f>
        <v>0.38</v>
      </c>
      <c r="AA33">
        <f>VLOOKUP($A33&amp;AA$1,Data!$A$2:$D$3723,4,FALSE)</f>
        <v>9.5000000000000001E-2</v>
      </c>
      <c r="AB33">
        <f>VLOOKUP($A33&amp;AB$1,Data!$A$2:$D$3723,4,FALSE)</f>
        <v>8.9999999999999993E-3</v>
      </c>
      <c r="AC33">
        <f>VLOOKUP($A33&amp;AC$1,Data!$A$2:$D$3723,4,FALSE)</f>
        <v>-1.3009999999999999</v>
      </c>
      <c r="AD33">
        <f>VLOOKUP($A33&amp;AD$1,Data!$A$2:$D$3723,4,FALSE)</f>
        <v>0.1</v>
      </c>
      <c r="AE33">
        <f>VLOOKUP($A33&amp;AE$1,Data!$A$2:$D$3723,4,FALSE)</f>
        <v>-0.17399999999999999</v>
      </c>
      <c r="AF33">
        <f>VLOOKUP($A33&amp;AF$1,Data!$A$2:$D$3723,4,FALSE)</f>
        <v>0</v>
      </c>
      <c r="AG33">
        <f>VLOOKUP($A33&amp;AG$1,Data!$A$2:$D$3723,4,FALSE)</f>
        <v>120000000</v>
      </c>
    </row>
    <row r="34" spans="1:33" hidden="1" x14ac:dyDescent="0.35">
      <c r="A34" s="13">
        <f t="shared" si="3"/>
        <v>33</v>
      </c>
      <c r="B34" t="s">
        <v>5</v>
      </c>
      <c r="C34" t="s">
        <v>2</v>
      </c>
      <c r="D34">
        <v>5000</v>
      </c>
      <c r="E34" t="s">
        <v>17</v>
      </c>
      <c r="F34" s="5">
        <v>43831</v>
      </c>
      <c r="G34" s="5">
        <v>44562</v>
      </c>
      <c r="H34">
        <v>14</v>
      </c>
      <c r="I34">
        <v>9</v>
      </c>
      <c r="J34">
        <f t="shared" si="0"/>
        <v>30</v>
      </c>
      <c r="K34">
        <f t="shared" si="1"/>
        <v>70</v>
      </c>
      <c r="L34">
        <v>1000000</v>
      </c>
      <c r="M34">
        <f>VLOOKUP($A34&amp;M$1,Data!$A$2:$D$3723,4,FALSE)</f>
        <v>9.3880000000000005E-2</v>
      </c>
      <c r="N34">
        <f>VLOOKUP($A34&amp;N$1,Data!$A$2:$D$3723,4,FALSE)</f>
        <v>-0.36699999999999999</v>
      </c>
      <c r="O34">
        <f>VLOOKUP($A34&amp;O$1,Data!$A$2:$D$3723,4,FALSE)</f>
        <v>459</v>
      </c>
      <c r="P34">
        <f>VLOOKUP($A34&amp;P$1,Data!$A$2:$D$3723,4,FALSE)</f>
        <v>4.1099999999999998E-2</v>
      </c>
      <c r="Q34">
        <f>VLOOKUP($A34&amp;Q$1,Data!$A$2:$D$3723,4,FALSE)</f>
        <v>-7.9299999999999995E-2</v>
      </c>
      <c r="R34">
        <f>VLOOKUP($A34&amp;R$1,Data!$A$2:$D$3723,4,FALSE)</f>
        <v>-0.46013999999999999</v>
      </c>
      <c r="S34">
        <f>VLOOKUP($A34&amp;S$1,Data!$A$2:$D$3723,4,FALSE)</f>
        <v>0.59299999999999997</v>
      </c>
      <c r="T34">
        <f>VLOOKUP($A34&amp;T$1,Data!$A$2:$D$3723,4,FALSE)</f>
        <v>-0.29099999999999998</v>
      </c>
      <c r="U34">
        <f>VLOOKUP($A34&amp;U$1,Data!$A$2:$D$3723,4,FALSE)</f>
        <v>-0.32754</v>
      </c>
      <c r="V34">
        <f>VLOOKUP($A34&amp;V$1,Data!$A$2:$D$3723,4,FALSE)</f>
        <v>0.53</v>
      </c>
      <c r="W34">
        <f>VLOOKUP($A34&amp;W$1,Data!$A$2:$D$3723,4,FALSE)</f>
        <v>0.47</v>
      </c>
      <c r="X34">
        <f>VLOOKUP($A34&amp;X$1,Data!$A$2:$D$3723,4,FALSE)</f>
        <v>0.52</v>
      </c>
      <c r="Y34">
        <f>VLOOKUP($A34&amp;Y$1,Data!$A$2:$D$3723,4,FALSE)</f>
        <v>-0.36</v>
      </c>
      <c r="Z34">
        <f>VLOOKUP($A34&amp;Z$1,Data!$A$2:$D$3723,4,FALSE)</f>
        <v>2.1549999999999998</v>
      </c>
      <c r="AA34">
        <f>VLOOKUP($A34&amp;AA$1,Data!$A$2:$D$3723,4,FALSE)</f>
        <v>0.60599999999999998</v>
      </c>
      <c r="AB34">
        <f>VLOOKUP($A34&amp;AB$1,Data!$A$2:$D$3723,4,FALSE)</f>
        <v>0.36699999999999999</v>
      </c>
      <c r="AC34">
        <f>VLOOKUP($A34&amp;AC$1,Data!$A$2:$D$3723,4,FALSE)</f>
        <v>-0.48199999999999998</v>
      </c>
      <c r="AD34">
        <f>VLOOKUP($A34&amp;AD$1,Data!$A$2:$D$3723,4,FALSE)</f>
        <v>0.59299999999999997</v>
      </c>
      <c r="AE34">
        <f>VLOOKUP($A34&amp;AE$1,Data!$A$2:$D$3723,4,FALSE)</f>
        <v>-0.10299999999999999</v>
      </c>
      <c r="AF34">
        <f>VLOOKUP($A34&amp;AF$1,Data!$A$2:$D$3723,4,FALSE)</f>
        <v>0</v>
      </c>
      <c r="AG34">
        <f>VLOOKUP($A34&amp;AG$1,Data!$A$2:$D$3723,4,FALSE)</f>
        <v>19000000</v>
      </c>
    </row>
    <row r="35" spans="1:33" hidden="1" x14ac:dyDescent="0.35">
      <c r="A35" s="13">
        <f t="shared" si="3"/>
        <v>34</v>
      </c>
      <c r="B35" t="s">
        <v>5</v>
      </c>
      <c r="C35" t="s">
        <v>22</v>
      </c>
      <c r="D35">
        <v>100</v>
      </c>
      <c r="E35" t="s">
        <v>17</v>
      </c>
      <c r="F35" s="5">
        <v>43831</v>
      </c>
      <c r="G35" s="5">
        <v>44562</v>
      </c>
      <c r="H35">
        <v>14</v>
      </c>
      <c r="I35">
        <v>9</v>
      </c>
      <c r="J35">
        <f t="shared" si="0"/>
        <v>30</v>
      </c>
      <c r="K35">
        <f t="shared" si="1"/>
        <v>70</v>
      </c>
      <c r="L35">
        <v>1000000</v>
      </c>
      <c r="M35">
        <f>VLOOKUP($A35&amp;M$1,Data!$A$2:$D$3723,4,FALSE)</f>
        <v>0.22356999999999999</v>
      </c>
      <c r="N35">
        <f>VLOOKUP($A35&amp;N$1,Data!$A$2:$D$3723,4,FALSE)</f>
        <v>0.23699999999999999</v>
      </c>
      <c r="O35">
        <f>VLOOKUP($A35&amp;O$1,Data!$A$2:$D$3723,4,FALSE)</f>
        <v>317</v>
      </c>
      <c r="P35">
        <f>VLOOKUP($A35&amp;P$1,Data!$A$2:$D$3723,4,FALSE)</f>
        <v>1.6999999999999999E-3</v>
      </c>
      <c r="Q35">
        <f>VLOOKUP($A35&amp;Q$1,Data!$A$2:$D$3723,4,FALSE)</f>
        <v>-8.0000000000000004E-4</v>
      </c>
      <c r="R35">
        <f>VLOOKUP($A35&amp;R$1,Data!$A$2:$D$3723,4,FALSE)</f>
        <v>3.1199999999999999E-3</v>
      </c>
      <c r="S35">
        <f>VLOOKUP($A35&amp;S$1,Data!$A$2:$D$3723,4,FALSE)</f>
        <v>5.0000000000000001E-3</v>
      </c>
      <c r="T35">
        <f>VLOOKUP($A35&amp;T$1,Data!$A$2:$D$3723,4,FALSE)</f>
        <v>0.28699999999999998</v>
      </c>
      <c r="U35">
        <f>VLOOKUP($A35&amp;U$1,Data!$A$2:$D$3723,4,FALSE)</f>
        <v>2.0100000000000001E-3</v>
      </c>
      <c r="V35">
        <f>VLOOKUP($A35&amp;V$1,Data!$A$2:$D$3723,4,FALSE)</f>
        <v>0.6</v>
      </c>
      <c r="W35">
        <f>VLOOKUP($A35&amp;W$1,Data!$A$2:$D$3723,4,FALSE)</f>
        <v>0.4</v>
      </c>
      <c r="X35">
        <f>VLOOKUP($A35&amp;X$1,Data!$A$2:$D$3723,4,FALSE)</f>
        <v>2.2200000000000002</v>
      </c>
      <c r="Y35">
        <f>VLOOKUP($A35&amp;Y$1,Data!$A$2:$D$3723,4,FALSE)</f>
        <v>0</v>
      </c>
      <c r="Z35">
        <f>VLOOKUP($A35&amp;Z$1,Data!$A$2:$D$3723,4,FALSE)</f>
        <v>4.2000000000000003E-2</v>
      </c>
      <c r="AA35">
        <f>VLOOKUP($A35&amp;AA$1,Data!$A$2:$D$3723,4,FALSE)</f>
        <v>8.9999999999999993E-3</v>
      </c>
      <c r="AB35">
        <f>VLOOKUP($A35&amp;AB$1,Data!$A$2:$D$3723,4,FALSE)</f>
        <v>0</v>
      </c>
      <c r="AC35">
        <f>VLOOKUP($A35&amp;AC$1,Data!$A$2:$D$3723,4,FALSE)</f>
        <v>-0.95699999999999996</v>
      </c>
      <c r="AD35">
        <f>VLOOKUP($A35&amp;AD$1,Data!$A$2:$D$3723,4,FALSE)</f>
        <v>6.5000000000000002E-2</v>
      </c>
      <c r="AE35">
        <f>VLOOKUP($A35&amp;AE$1,Data!$A$2:$D$3723,4,FALSE)</f>
        <v>5.2999999999999999E-2</v>
      </c>
      <c r="AF35">
        <f>VLOOKUP($A35&amp;AF$1,Data!$A$2:$D$3723,4,FALSE)</f>
        <v>0</v>
      </c>
      <c r="AG35">
        <f>VLOOKUP($A35&amp;AG$1,Data!$A$2:$D$3723,4,FALSE)</f>
        <v>230000000</v>
      </c>
    </row>
    <row r="36" spans="1:33" hidden="1" x14ac:dyDescent="0.35">
      <c r="A36" s="13">
        <f>A35+1</f>
        <v>35</v>
      </c>
      <c r="B36" t="s">
        <v>5</v>
      </c>
      <c r="C36" t="s">
        <v>22</v>
      </c>
      <c r="D36">
        <v>1000</v>
      </c>
      <c r="E36" t="s">
        <v>17</v>
      </c>
      <c r="F36" s="5">
        <v>43831</v>
      </c>
      <c r="G36" s="5">
        <v>44562</v>
      </c>
      <c r="H36">
        <v>14</v>
      </c>
      <c r="I36">
        <v>9</v>
      </c>
      <c r="J36">
        <f t="shared" si="0"/>
        <v>30</v>
      </c>
      <c r="K36">
        <f t="shared" si="1"/>
        <v>70</v>
      </c>
      <c r="L36">
        <v>1000000</v>
      </c>
      <c r="M36">
        <f>VLOOKUP($A36&amp;M$1,Data!$A$2:$D$3723,4,FALSE)</f>
        <v>0.23299</v>
      </c>
      <c r="N36">
        <f>VLOOKUP($A36&amp;N$1,Data!$A$2:$D$3723,4,FALSE)</f>
        <v>0.28000000000000003</v>
      </c>
      <c r="O36">
        <f>VLOOKUP($A36&amp;O$1,Data!$A$2:$D$3723,4,FALSE)</f>
        <v>317</v>
      </c>
      <c r="P36">
        <f>VLOOKUP($A36&amp;P$1,Data!$A$2:$D$3723,4,FALSE)</f>
        <v>1.6500000000000001E-2</v>
      </c>
      <c r="Q36">
        <f>VLOOKUP($A36&amp;Q$1,Data!$A$2:$D$3723,4,FALSE)</f>
        <v>-7.3000000000000001E-3</v>
      </c>
      <c r="R36">
        <f>VLOOKUP($A36&amp;R$1,Data!$A$2:$D$3723,4,FALSE)</f>
        <v>3.1510000000000003E-2</v>
      </c>
      <c r="S36">
        <f>VLOOKUP($A36&amp;S$1,Data!$A$2:$D$3723,4,FALSE)</f>
        <v>4.8000000000000001E-2</v>
      </c>
      <c r="T36">
        <f>VLOOKUP($A36&amp;T$1,Data!$A$2:$D$3723,4,FALSE)</f>
        <v>0.30099999999999999</v>
      </c>
      <c r="U36">
        <f>VLOOKUP($A36&amp;U$1,Data!$A$2:$D$3723,4,FALSE)</f>
        <v>2.026E-2</v>
      </c>
      <c r="V36">
        <f>VLOOKUP($A36&amp;V$1,Data!$A$2:$D$3723,4,FALSE)</f>
        <v>0.6</v>
      </c>
      <c r="W36">
        <f>VLOOKUP($A36&amp;W$1,Data!$A$2:$D$3723,4,FALSE)</f>
        <v>0.4</v>
      </c>
      <c r="X36">
        <f>VLOOKUP($A36&amp;X$1,Data!$A$2:$D$3723,4,FALSE)</f>
        <v>2.25</v>
      </c>
      <c r="Y36">
        <f>VLOOKUP($A36&amp;Y$1,Data!$A$2:$D$3723,4,FALSE)</f>
        <v>-1E-3</v>
      </c>
      <c r="Z36">
        <f>VLOOKUP($A36&amp;Z$1,Data!$A$2:$D$3723,4,FALSE)</f>
        <v>0.42299999999999999</v>
      </c>
      <c r="AA36">
        <f>VLOOKUP($A36&amp;AA$1,Data!$A$2:$D$3723,4,FALSE)</f>
        <v>9.2999999999999999E-2</v>
      </c>
      <c r="AB36">
        <f>VLOOKUP($A36&amp;AB$1,Data!$A$2:$D$3723,4,FALSE)</f>
        <v>8.9999999999999993E-3</v>
      </c>
      <c r="AC36">
        <f>VLOOKUP($A36&amp;AC$1,Data!$A$2:$D$3723,4,FALSE)</f>
        <v>-0.38800000000000001</v>
      </c>
      <c r="AD36">
        <f>VLOOKUP($A36&amp;AD$1,Data!$A$2:$D$3723,4,FALSE)</f>
        <v>9.7000000000000003E-2</v>
      </c>
      <c r="AE36">
        <f>VLOOKUP($A36&amp;AE$1,Data!$A$2:$D$3723,4,FALSE)</f>
        <v>6.2E-2</v>
      </c>
      <c r="AF36">
        <f>VLOOKUP($A36&amp;AF$1,Data!$A$2:$D$3723,4,FALSE)</f>
        <v>0</v>
      </c>
      <c r="AG36">
        <f>VLOOKUP($A36&amp;AG$1,Data!$A$2:$D$3723,4,FALSE)</f>
        <v>25000000</v>
      </c>
    </row>
    <row r="37" spans="1:33" hidden="1" x14ac:dyDescent="0.35">
      <c r="A37" s="13">
        <f t="shared" si="3"/>
        <v>36</v>
      </c>
      <c r="B37" t="s">
        <v>5</v>
      </c>
      <c r="C37" t="s">
        <v>22</v>
      </c>
      <c r="D37">
        <v>5000</v>
      </c>
      <c r="E37" t="s">
        <v>17</v>
      </c>
      <c r="F37" s="5">
        <v>43831</v>
      </c>
      <c r="G37" s="5">
        <v>44562</v>
      </c>
      <c r="H37">
        <v>14</v>
      </c>
      <c r="I37">
        <v>9</v>
      </c>
      <c r="J37">
        <f t="shared" si="0"/>
        <v>30</v>
      </c>
      <c r="K37">
        <f t="shared" si="1"/>
        <v>70</v>
      </c>
      <c r="L37">
        <v>1000000</v>
      </c>
      <c r="M37">
        <f>VLOOKUP($A37&amp;M$1,Data!$A$2:$D$3723,4,FALSE)</f>
        <v>0.27490999999999999</v>
      </c>
      <c r="N37">
        <f>VLOOKUP($A37&amp;N$1,Data!$A$2:$D$3723,4,FALSE)</f>
        <v>0.47799999999999998</v>
      </c>
      <c r="O37">
        <f>VLOOKUP($A37&amp;O$1,Data!$A$2:$D$3723,4,FALSE)</f>
        <v>317</v>
      </c>
      <c r="P37">
        <f>VLOOKUP($A37&amp;P$1,Data!$A$2:$D$3723,4,FALSE)</f>
        <v>8.09E-2</v>
      </c>
      <c r="Q37">
        <f>VLOOKUP($A37&amp;Q$1,Data!$A$2:$D$3723,4,FALSE)</f>
        <v>-3.3799999999999997E-2</v>
      </c>
      <c r="R37">
        <f>VLOOKUP($A37&amp;R$1,Data!$A$2:$D$3723,4,FALSE)</f>
        <v>0.16094</v>
      </c>
      <c r="S37">
        <f>VLOOKUP($A37&amp;S$1,Data!$A$2:$D$3723,4,FALSE)</f>
        <v>0.20799999999999999</v>
      </c>
      <c r="T37">
        <f>VLOOKUP($A37&amp;T$1,Data!$A$2:$D$3723,4,FALSE)</f>
        <v>0.35799999999999998</v>
      </c>
      <c r="U37">
        <f>VLOOKUP($A37&amp;U$1,Data!$A$2:$D$3723,4,FALSE)</f>
        <v>0.10128</v>
      </c>
      <c r="V37">
        <f>VLOOKUP($A37&amp;V$1,Data!$A$2:$D$3723,4,FALSE)</f>
        <v>0.6</v>
      </c>
      <c r="W37">
        <f>VLOOKUP($A37&amp;W$1,Data!$A$2:$D$3723,4,FALSE)</f>
        <v>0.4</v>
      </c>
      <c r="X37">
        <f>VLOOKUP($A37&amp;X$1,Data!$A$2:$D$3723,4,FALSE)</f>
        <v>2.4</v>
      </c>
      <c r="Y37">
        <f>VLOOKUP($A37&amp;Y$1,Data!$A$2:$D$3723,4,FALSE)</f>
        <v>8.8999999999999996E-2</v>
      </c>
      <c r="Z37">
        <f>VLOOKUP($A37&amp;Z$1,Data!$A$2:$D$3723,4,FALSE)</f>
        <v>2.2570000000000001</v>
      </c>
      <c r="AA37">
        <f>VLOOKUP($A37&amp;AA$1,Data!$A$2:$D$3723,4,FALSE)</f>
        <v>0.48699999999999999</v>
      </c>
      <c r="AB37">
        <f>VLOOKUP($A37&amp;AB$1,Data!$A$2:$D$3723,4,FALSE)</f>
        <v>0.23799999999999999</v>
      </c>
      <c r="AC37">
        <f>VLOOKUP($A37&amp;AC$1,Data!$A$2:$D$3723,4,FALSE)</f>
        <v>0.36</v>
      </c>
      <c r="AD37">
        <f>VLOOKUP($A37&amp;AD$1,Data!$A$2:$D$3723,4,FALSE)</f>
        <v>0.47099999999999997</v>
      </c>
      <c r="AE37">
        <f>VLOOKUP($A37&amp;AE$1,Data!$A$2:$D$3723,4,FALSE)</f>
        <v>0.10299999999999999</v>
      </c>
      <c r="AF37">
        <f>VLOOKUP($A37&amp;AF$1,Data!$A$2:$D$3723,4,FALSE)</f>
        <v>0</v>
      </c>
      <c r="AG37">
        <f>VLOOKUP($A37&amp;AG$1,Data!$A$2:$D$3723,4,FALSE)</f>
        <v>6600000</v>
      </c>
    </row>
    <row r="38" spans="1:33" hidden="1" x14ac:dyDescent="0.35">
      <c r="A38" s="13">
        <f>A37+1</f>
        <v>37</v>
      </c>
      <c r="B38" t="s">
        <v>5</v>
      </c>
      <c r="C38" t="s">
        <v>3</v>
      </c>
      <c r="D38">
        <v>100</v>
      </c>
      <c r="E38" t="s">
        <v>17</v>
      </c>
      <c r="F38" s="5">
        <v>43831</v>
      </c>
      <c r="G38" s="5">
        <v>44562</v>
      </c>
      <c r="H38">
        <v>14</v>
      </c>
      <c r="I38">
        <v>9</v>
      </c>
      <c r="J38">
        <f t="shared" si="0"/>
        <v>32</v>
      </c>
      <c r="K38">
        <f t="shared" si="1"/>
        <v>68</v>
      </c>
      <c r="L38">
        <v>1000000</v>
      </c>
      <c r="M38">
        <f>VLOOKUP($A38&amp;M$1,Data!$A$2:$D$3723,4,FALSE)</f>
        <v>3.0470000000000001E-2</v>
      </c>
      <c r="N38">
        <f>VLOOKUP($A38&amp;N$1,Data!$A$2:$D$3723,4,FALSE)</f>
        <v>-0.90300000000000002</v>
      </c>
      <c r="O38">
        <f>VLOOKUP($A38&amp;O$1,Data!$A$2:$D$3723,4,FALSE)</f>
        <v>961</v>
      </c>
      <c r="P38">
        <f>VLOOKUP($A38&amp;P$1,Data!$A$2:$D$3723,4,FALSE)</f>
        <v>1.2999999999999999E-3</v>
      </c>
      <c r="Q38">
        <f>VLOOKUP($A38&amp;Q$1,Data!$A$2:$D$3723,4,FALSE)</f>
        <v>-1.6999999999999999E-3</v>
      </c>
      <c r="R38">
        <f>VLOOKUP($A38&amp;R$1,Data!$A$2:$D$3723,4,FALSE)</f>
        <v>-2.8170000000000001E-2</v>
      </c>
      <c r="S38">
        <f>VLOOKUP($A38&amp;S$1,Data!$A$2:$D$3723,4,FALSE)</f>
        <v>2.9000000000000001E-2</v>
      </c>
      <c r="T38">
        <f>VLOOKUP($A38&amp;T$1,Data!$A$2:$D$3723,4,FALSE)</f>
        <v>-0.33300000000000002</v>
      </c>
      <c r="U38">
        <f>VLOOKUP($A38&amp;U$1,Data!$A$2:$D$3723,4,FALSE)</f>
        <v>-1.83E-2</v>
      </c>
      <c r="V38">
        <f>VLOOKUP($A38&amp;V$1,Data!$A$2:$D$3723,4,FALSE)</f>
        <v>0.62</v>
      </c>
      <c r="W38">
        <f>VLOOKUP($A38&amp;W$1,Data!$A$2:$D$3723,4,FALSE)</f>
        <v>0.38</v>
      </c>
      <c r="X38">
        <f>VLOOKUP($A38&amp;X$1,Data!$A$2:$D$3723,4,FALSE)</f>
        <v>0.78</v>
      </c>
      <c r="Y38">
        <f>VLOOKUP($A38&amp;Y$1,Data!$A$2:$D$3723,4,FALSE)</f>
        <v>-2.7E-2</v>
      </c>
      <c r="Z38">
        <f>VLOOKUP($A38&amp;Z$1,Data!$A$2:$D$3723,4,FALSE)</f>
        <v>0.13800000000000001</v>
      </c>
      <c r="AA38">
        <f>VLOOKUP($A38&amp;AA$1,Data!$A$2:$D$3723,4,FALSE)</f>
        <v>2.1000000000000001E-2</v>
      </c>
      <c r="AB38">
        <f>VLOOKUP($A38&amp;AB$1,Data!$A$2:$D$3723,4,FALSE)</f>
        <v>0</v>
      </c>
      <c r="AC38">
        <f>VLOOKUP($A38&amp;AC$1,Data!$A$2:$D$3723,4,FALSE)</f>
        <v>-1.2609999999999999</v>
      </c>
      <c r="AD38">
        <f>VLOOKUP($A38&amp;AD$1,Data!$A$2:$D$3723,4,FALSE)</f>
        <v>6.0999999999999999E-2</v>
      </c>
      <c r="AE38">
        <f>VLOOKUP($A38&amp;AE$1,Data!$A$2:$D$3723,4,FALSE)</f>
        <v>-0.14000000000000001</v>
      </c>
      <c r="AF38">
        <f>VLOOKUP($A38&amp;AF$1,Data!$A$2:$D$3723,4,FALSE)</f>
        <v>0</v>
      </c>
      <c r="AG38">
        <f>VLOOKUP($A38&amp;AG$1,Data!$A$2:$D$3723,4,FALSE)</f>
        <v>25000000000</v>
      </c>
    </row>
    <row r="39" spans="1:33" hidden="1" x14ac:dyDescent="0.35">
      <c r="A39" s="13">
        <f t="shared" si="3"/>
        <v>38</v>
      </c>
      <c r="B39" t="s">
        <v>5</v>
      </c>
      <c r="C39" t="s">
        <v>3</v>
      </c>
      <c r="D39">
        <v>1000</v>
      </c>
      <c r="E39" t="s">
        <v>17</v>
      </c>
      <c r="F39" s="5">
        <v>43831</v>
      </c>
      <c r="G39" s="5">
        <v>44562</v>
      </c>
      <c r="H39">
        <v>14</v>
      </c>
      <c r="I39">
        <v>9</v>
      </c>
      <c r="J39">
        <f t="shared" si="0"/>
        <v>32</v>
      </c>
      <c r="K39">
        <f t="shared" si="1"/>
        <v>68</v>
      </c>
      <c r="L39">
        <v>1000000</v>
      </c>
      <c r="M39">
        <f>VLOOKUP($A39&amp;M$1,Data!$A$2:$D$3723,4,FALSE)</f>
        <v>4.2520000000000002E-2</v>
      </c>
      <c r="N39">
        <f>VLOOKUP($A39&amp;N$1,Data!$A$2:$D$3723,4,FALSE)</f>
        <v>-0.71299999999999997</v>
      </c>
      <c r="O39">
        <f>VLOOKUP($A39&amp;O$1,Data!$A$2:$D$3723,4,FALSE)</f>
        <v>961</v>
      </c>
      <c r="P39">
        <f>VLOOKUP($A39&amp;P$1,Data!$A$2:$D$3723,4,FALSE)</f>
        <v>1.4200000000000001E-2</v>
      </c>
      <c r="Q39">
        <f>VLOOKUP($A39&amp;Q$1,Data!$A$2:$D$3723,4,FALSE)</f>
        <v>-1.8200000000000001E-2</v>
      </c>
      <c r="R39">
        <f>VLOOKUP($A39&amp;R$1,Data!$A$2:$D$3723,4,FALSE)</f>
        <v>-0.26854</v>
      </c>
      <c r="S39">
        <f>VLOOKUP($A39&amp;S$1,Data!$A$2:$D$3723,4,FALSE)</f>
        <v>0.27600000000000002</v>
      </c>
      <c r="T39">
        <f>VLOOKUP($A39&amp;T$1,Data!$A$2:$D$3723,4,FALSE)</f>
        <v>-0.33100000000000002</v>
      </c>
      <c r="U39">
        <f>VLOOKUP($A39&amp;U$1,Data!$A$2:$D$3723,4,FALSE)</f>
        <v>-0.18303</v>
      </c>
      <c r="V39">
        <f>VLOOKUP($A39&amp;V$1,Data!$A$2:$D$3723,4,FALSE)</f>
        <v>0.62</v>
      </c>
      <c r="W39">
        <f>VLOOKUP($A39&amp;W$1,Data!$A$2:$D$3723,4,FALSE)</f>
        <v>0.38</v>
      </c>
      <c r="X39">
        <f>VLOOKUP($A39&amp;X$1,Data!$A$2:$D$3723,4,FALSE)</f>
        <v>0.78</v>
      </c>
      <c r="Y39">
        <f>VLOOKUP($A39&amp;Y$1,Data!$A$2:$D$3723,4,FALSE)</f>
        <v>-0.27</v>
      </c>
      <c r="Z39">
        <f>VLOOKUP($A39&amp;Z$1,Data!$A$2:$D$3723,4,FALSE)</f>
        <v>1.546</v>
      </c>
      <c r="AA39">
        <f>VLOOKUP($A39&amp;AA$1,Data!$A$2:$D$3723,4,FALSE)</f>
        <v>0.24</v>
      </c>
      <c r="AB39">
        <f>VLOOKUP($A39&amp;AB$1,Data!$A$2:$D$3723,4,FALSE)</f>
        <v>5.8000000000000003E-2</v>
      </c>
      <c r="AC39">
        <f>VLOOKUP($A39&amp;AC$1,Data!$A$2:$D$3723,4,FALSE)</f>
        <v>-1.069</v>
      </c>
      <c r="AD39">
        <f>VLOOKUP($A39&amp;AD$1,Data!$A$2:$D$3723,4,FALSE)</f>
        <v>0.22</v>
      </c>
      <c r="AE39">
        <f>VLOOKUP($A39&amp;AE$1,Data!$A$2:$D$3723,4,FALSE)</f>
        <v>-0.111</v>
      </c>
      <c r="AF39">
        <f>VLOOKUP($A39&amp;AF$1,Data!$A$2:$D$3723,4,FALSE)</f>
        <v>0</v>
      </c>
      <c r="AG39">
        <f>VLOOKUP($A39&amp;AG$1,Data!$A$2:$D$3723,4,FALSE)</f>
        <v>2100000000</v>
      </c>
    </row>
    <row r="40" spans="1:33" hidden="1" x14ac:dyDescent="0.35">
      <c r="A40" s="13">
        <f t="shared" si="3"/>
        <v>39</v>
      </c>
      <c r="B40" t="s">
        <v>5</v>
      </c>
      <c r="C40" t="s">
        <v>3</v>
      </c>
      <c r="D40">
        <v>5000</v>
      </c>
      <c r="E40" t="s">
        <v>17</v>
      </c>
      <c r="F40" s="5">
        <v>43831</v>
      </c>
      <c r="G40" s="5">
        <v>44562</v>
      </c>
      <c r="H40">
        <v>14</v>
      </c>
      <c r="I40">
        <v>9</v>
      </c>
      <c r="J40">
        <f t="shared" si="0"/>
        <v>32</v>
      </c>
      <c r="K40">
        <f t="shared" si="1"/>
        <v>68</v>
      </c>
      <c r="L40">
        <v>1000000</v>
      </c>
      <c r="M40">
        <f>VLOOKUP($A40&amp;M$1,Data!$A$2:$D$3723,4,FALSE)</f>
        <v>3.5349999999999999E-2</v>
      </c>
      <c r="N40">
        <f>VLOOKUP($A40&amp;N$1,Data!$A$2:$D$3723,4,FALSE)</f>
        <v>-0.45200000000000001</v>
      </c>
      <c r="O40">
        <f>VLOOKUP($A40&amp;O$1,Data!$A$2:$D$3723,4,FALSE)</f>
        <v>922</v>
      </c>
      <c r="P40">
        <f>VLOOKUP($A40&amp;P$1,Data!$A$2:$D$3723,4,FALSE)</f>
        <v>0.1065</v>
      </c>
      <c r="Q40">
        <f>VLOOKUP($A40&amp;Q$1,Data!$A$2:$D$3723,4,FALSE)</f>
        <v>-8.4699999999999998E-2</v>
      </c>
      <c r="R40">
        <f>VLOOKUP($A40&amp;R$1,Data!$A$2:$D$3723,4,FALSE)</f>
        <v>-0.99119999999999997</v>
      </c>
      <c r="S40">
        <f>VLOOKUP($A40&amp;S$1,Data!$A$2:$D$3723,4,FALSE)</f>
        <v>0.96399999999999997</v>
      </c>
      <c r="T40">
        <f>VLOOKUP($A40&amp;T$1,Data!$A$2:$D$3723,4,FALSE)</f>
        <v>-0.503</v>
      </c>
      <c r="U40">
        <f>VLOOKUP($A40&amp;U$1,Data!$A$2:$D$3723,4,FALSE)</f>
        <v>-0.95309999999999995</v>
      </c>
      <c r="V40">
        <f>VLOOKUP($A40&amp;V$1,Data!$A$2:$D$3723,4,FALSE)</f>
        <v>0.78</v>
      </c>
      <c r="W40">
        <f>VLOOKUP($A40&amp;W$1,Data!$A$2:$D$3723,4,FALSE)</f>
        <v>0.22</v>
      </c>
      <c r="X40">
        <f>VLOOKUP($A40&amp;X$1,Data!$A$2:$D$3723,4,FALSE)</f>
        <v>1.26</v>
      </c>
      <c r="Y40">
        <f>VLOOKUP($A40&amp;Y$1,Data!$A$2:$D$3723,4,FALSE)</f>
        <v>-1.38</v>
      </c>
      <c r="Z40">
        <f>VLOOKUP($A40&amp;Z$1,Data!$A$2:$D$3723,4,FALSE)</f>
        <v>10.227</v>
      </c>
      <c r="AA40">
        <f>VLOOKUP($A40&amp;AA$1,Data!$A$2:$D$3723,4,FALSE)</f>
        <v>1.754</v>
      </c>
      <c r="AB40">
        <f>VLOOKUP($A40&amp;AB$1,Data!$A$2:$D$3723,4,FALSE)</f>
        <v>3.0760000000000001</v>
      </c>
      <c r="AC40">
        <f>VLOOKUP($A40&amp;AC$1,Data!$A$2:$D$3723,4,FALSE)</f>
        <v>-0.49199999999999999</v>
      </c>
      <c r="AD40">
        <f>VLOOKUP($A40&amp;AD$1,Data!$A$2:$D$3723,4,FALSE)</f>
        <v>1.7290000000000001</v>
      </c>
      <c r="AE40">
        <f>VLOOKUP($A40&amp;AE$1,Data!$A$2:$D$3723,4,FALSE)</f>
        <v>-7.6999999999999999E-2</v>
      </c>
      <c r="AF40">
        <f>VLOOKUP($A40&amp;AF$1,Data!$A$2:$D$3723,4,FALSE)</f>
        <v>0</v>
      </c>
      <c r="AG40">
        <f>VLOOKUP($A40&amp;AG$1,Data!$A$2:$D$3723,4,FALSE)</f>
        <v>28000000</v>
      </c>
    </row>
    <row r="41" spans="1:33" hidden="1" x14ac:dyDescent="0.35">
      <c r="A41" s="13">
        <f t="shared" si="3"/>
        <v>40</v>
      </c>
      <c r="B41" t="s">
        <v>5</v>
      </c>
      <c r="C41" t="s">
        <v>2</v>
      </c>
      <c r="D41">
        <v>100</v>
      </c>
      <c r="E41" t="s">
        <v>17</v>
      </c>
      <c r="F41" s="5">
        <v>43831</v>
      </c>
      <c r="G41" s="5">
        <v>44562</v>
      </c>
      <c r="H41">
        <v>14</v>
      </c>
      <c r="I41">
        <v>9</v>
      </c>
      <c r="J41">
        <f t="shared" si="0"/>
        <v>32</v>
      </c>
      <c r="K41">
        <f t="shared" si="1"/>
        <v>68</v>
      </c>
      <c r="L41">
        <v>1000000</v>
      </c>
      <c r="M41">
        <f>VLOOKUP($A41&amp;M$1,Data!$A$2:$D$3723,4,FALSE)</f>
        <v>0.66532000000000002</v>
      </c>
      <c r="N41">
        <f>VLOOKUP($A41&amp;N$1,Data!$A$2:$D$3723,4,FALSE)</f>
        <v>1.4119999999999999</v>
      </c>
      <c r="O41">
        <f>VLOOKUP($A41&amp;O$1,Data!$A$2:$D$3723,4,FALSE)</f>
        <v>590</v>
      </c>
      <c r="P41">
        <f>VLOOKUP($A41&amp;P$1,Data!$A$2:$D$3723,4,FALSE)</f>
        <v>2E-3</v>
      </c>
      <c r="Q41">
        <f>VLOOKUP($A41&amp;Q$1,Data!$A$2:$D$3723,4,FALSE)</f>
        <v>-1.1999999999999999E-3</v>
      </c>
      <c r="R41">
        <f>VLOOKUP($A41&amp;R$1,Data!$A$2:$D$3723,4,FALSE)</f>
        <v>1.9709999999999998E-2</v>
      </c>
      <c r="S41">
        <f>VLOOKUP($A41&amp;S$1,Data!$A$2:$D$3723,4,FALSE)</f>
        <v>8.0000000000000002E-3</v>
      </c>
      <c r="T41">
        <f>VLOOKUP($A41&amp;T$1,Data!$A$2:$D$3723,4,FALSE)</f>
        <v>0.56299999999999994</v>
      </c>
      <c r="U41">
        <f>VLOOKUP($A41&amp;U$1,Data!$A$2:$D$3723,4,FALSE)</f>
        <v>1.2699999999999999E-2</v>
      </c>
      <c r="V41">
        <f>VLOOKUP($A41&amp;V$1,Data!$A$2:$D$3723,4,FALSE)</f>
        <v>0.42</v>
      </c>
      <c r="W41">
        <f>VLOOKUP($A41&amp;W$1,Data!$A$2:$D$3723,4,FALSE)</f>
        <v>0.57999999999999996</v>
      </c>
      <c r="X41">
        <f>VLOOKUP($A41&amp;X$1,Data!$A$2:$D$3723,4,FALSE)</f>
        <v>1.7</v>
      </c>
      <c r="Y41">
        <f>VLOOKUP($A41&amp;Y$1,Data!$A$2:$D$3723,4,FALSE)</f>
        <v>0.01</v>
      </c>
      <c r="Z41">
        <f>VLOOKUP($A41&amp;Z$1,Data!$A$2:$D$3723,4,FALSE)</f>
        <v>5.1999999999999998E-2</v>
      </c>
      <c r="AA41">
        <f>VLOOKUP($A41&amp;AA$1,Data!$A$2:$D$3723,4,FALSE)</f>
        <v>0.01</v>
      </c>
      <c r="AB41">
        <f>VLOOKUP($A41&amp;AB$1,Data!$A$2:$D$3723,4,FALSE)</f>
        <v>0</v>
      </c>
      <c r="AC41">
        <f>VLOOKUP($A41&amp;AC$1,Data!$A$2:$D$3723,4,FALSE)</f>
        <v>-0.78300000000000003</v>
      </c>
      <c r="AD41">
        <f>VLOOKUP($A41&amp;AD$1,Data!$A$2:$D$3723,4,FALSE)</f>
        <v>6.4000000000000001E-2</v>
      </c>
      <c r="AE41">
        <f>VLOOKUP($A41&amp;AE$1,Data!$A$2:$D$3723,4,FALSE)</f>
        <v>0.26300000000000001</v>
      </c>
      <c r="AF41">
        <f>VLOOKUP($A41&amp;AF$1,Data!$A$2:$D$3723,4,FALSE)</f>
        <v>0</v>
      </c>
      <c r="AG41">
        <f>VLOOKUP($A41&amp;AG$1,Data!$A$2:$D$3723,4,FALSE)</f>
        <v>340000000</v>
      </c>
    </row>
    <row r="42" spans="1:33" hidden="1" x14ac:dyDescent="0.35">
      <c r="A42" s="13">
        <f>A41+1</f>
        <v>41</v>
      </c>
      <c r="B42" t="s">
        <v>5</v>
      </c>
      <c r="C42" t="s">
        <v>2</v>
      </c>
      <c r="D42">
        <v>1000</v>
      </c>
      <c r="E42" t="s">
        <v>17</v>
      </c>
      <c r="F42" s="5">
        <v>43831</v>
      </c>
      <c r="G42" s="5">
        <v>44562</v>
      </c>
      <c r="H42">
        <v>14</v>
      </c>
      <c r="I42">
        <v>9</v>
      </c>
      <c r="J42">
        <f t="shared" si="0"/>
        <v>32</v>
      </c>
      <c r="K42">
        <f t="shared" si="1"/>
        <v>68</v>
      </c>
      <c r="L42">
        <v>1000000</v>
      </c>
      <c r="M42">
        <f>VLOOKUP($A42&amp;M$1,Data!$A$2:$D$3723,4,FALSE)</f>
        <v>0.69308999999999998</v>
      </c>
      <c r="N42">
        <f>VLOOKUP($A42&amp;N$1,Data!$A$2:$D$3723,4,FALSE)</f>
        <v>1.5669999999999999</v>
      </c>
      <c r="O42">
        <f>VLOOKUP($A42&amp;O$1,Data!$A$2:$D$3723,4,FALSE)</f>
        <v>590</v>
      </c>
      <c r="P42">
        <f>VLOOKUP($A42&amp;P$1,Data!$A$2:$D$3723,4,FALSE)</f>
        <v>1.9E-2</v>
      </c>
      <c r="Q42">
        <f>VLOOKUP($A42&amp;Q$1,Data!$A$2:$D$3723,4,FALSE)</f>
        <v>-1.06E-2</v>
      </c>
      <c r="R42">
        <f>VLOOKUP($A42&amp;R$1,Data!$A$2:$D$3723,4,FALSE)</f>
        <v>0.20308999999999999</v>
      </c>
      <c r="S42">
        <f>VLOOKUP($A42&amp;S$1,Data!$A$2:$D$3723,4,FALSE)</f>
        <v>6.8000000000000005E-2</v>
      </c>
      <c r="T42">
        <f>VLOOKUP($A42&amp;T$1,Data!$A$2:$D$3723,4,FALSE)</f>
        <v>0.61099999999999999</v>
      </c>
      <c r="U42">
        <f>VLOOKUP($A42&amp;U$1,Data!$A$2:$D$3723,4,FALSE)</f>
        <v>0.12695999999999999</v>
      </c>
      <c r="V42">
        <f>VLOOKUP($A42&amp;V$1,Data!$A$2:$D$3723,4,FALSE)</f>
        <v>0.42</v>
      </c>
      <c r="W42">
        <f>VLOOKUP($A42&amp;W$1,Data!$A$2:$D$3723,4,FALSE)</f>
        <v>0.57999999999999996</v>
      </c>
      <c r="X42">
        <f>VLOOKUP($A42&amp;X$1,Data!$A$2:$D$3723,4,FALSE)</f>
        <v>1.78</v>
      </c>
      <c r="Y42">
        <f>VLOOKUP($A42&amp;Y$1,Data!$A$2:$D$3723,4,FALSE)</f>
        <v>0.111</v>
      </c>
      <c r="Z42">
        <f>VLOOKUP($A42&amp;Z$1,Data!$A$2:$D$3723,4,FALSE)</f>
        <v>0.47899999999999998</v>
      </c>
      <c r="AA42">
        <f>VLOOKUP($A42&amp;AA$1,Data!$A$2:$D$3723,4,FALSE)</f>
        <v>0.09</v>
      </c>
      <c r="AB42">
        <f>VLOOKUP($A42&amp;AB$1,Data!$A$2:$D$3723,4,FALSE)</f>
        <v>8.0000000000000002E-3</v>
      </c>
      <c r="AC42">
        <f>VLOOKUP($A42&amp;AC$1,Data!$A$2:$D$3723,4,FALSE)</f>
        <v>0.85099999999999998</v>
      </c>
      <c r="AD42">
        <f>VLOOKUP($A42&amp;AD$1,Data!$A$2:$D$3723,4,FALSE)</f>
        <v>9.0999999999999998E-2</v>
      </c>
      <c r="AE42">
        <f>VLOOKUP($A42&amp;AE$1,Data!$A$2:$D$3723,4,FALSE)</f>
        <v>0.29499999999999998</v>
      </c>
      <c r="AF42">
        <f>VLOOKUP($A42&amp;AF$1,Data!$A$2:$D$3723,4,FALSE)</f>
        <v>0</v>
      </c>
      <c r="AG42">
        <f>VLOOKUP($A42&amp;AG$1,Data!$A$2:$D$3723,4,FALSE)</f>
        <v>39000000</v>
      </c>
    </row>
    <row r="43" spans="1:33" hidden="1" x14ac:dyDescent="0.35">
      <c r="A43" s="13">
        <f t="shared" si="3"/>
        <v>42</v>
      </c>
      <c r="B43" t="s">
        <v>5</v>
      </c>
      <c r="C43" t="s">
        <v>2</v>
      </c>
      <c r="D43">
        <v>5000</v>
      </c>
      <c r="E43" t="s">
        <v>17</v>
      </c>
      <c r="F43" s="5">
        <v>43831</v>
      </c>
      <c r="G43" s="5">
        <v>44562</v>
      </c>
      <c r="H43">
        <v>14</v>
      </c>
      <c r="I43">
        <v>9</v>
      </c>
      <c r="J43">
        <f t="shared" si="0"/>
        <v>32</v>
      </c>
      <c r="K43">
        <f t="shared" si="1"/>
        <v>68</v>
      </c>
      <c r="L43">
        <v>1000000</v>
      </c>
      <c r="M43">
        <f>VLOOKUP($A43&amp;M$1,Data!$A$2:$D$3723,4,FALSE)</f>
        <v>0.77578000000000003</v>
      </c>
      <c r="N43">
        <f>VLOOKUP($A43&amp;N$1,Data!$A$2:$D$3723,4,FALSE)</f>
        <v>2.246</v>
      </c>
      <c r="O43">
        <f>VLOOKUP($A43&amp;O$1,Data!$A$2:$D$3723,4,FALSE)</f>
        <v>590</v>
      </c>
      <c r="P43">
        <f>VLOOKUP($A43&amp;P$1,Data!$A$2:$D$3723,4,FALSE)</f>
        <v>7.6399999999999996E-2</v>
      </c>
      <c r="Q43">
        <f>VLOOKUP($A43&amp;Q$1,Data!$A$2:$D$3723,4,FALSE)</f>
        <v>-3.6499999999999998E-2</v>
      </c>
      <c r="R43">
        <f>VLOOKUP($A43&amp;R$1,Data!$A$2:$D$3723,4,FALSE)</f>
        <v>1.1390100000000001</v>
      </c>
      <c r="S43">
        <f>VLOOKUP($A43&amp;S$1,Data!$A$2:$D$3723,4,FALSE)</f>
        <v>0.224</v>
      </c>
      <c r="T43">
        <f>VLOOKUP($A43&amp;T$1,Data!$A$2:$D$3723,4,FALSE)</f>
        <v>0.79</v>
      </c>
      <c r="U43">
        <f>VLOOKUP($A43&amp;U$1,Data!$A$2:$D$3723,4,FALSE)</f>
        <v>0.63482000000000005</v>
      </c>
      <c r="V43">
        <f>VLOOKUP($A43&amp;V$1,Data!$A$2:$D$3723,4,FALSE)</f>
        <v>0.42</v>
      </c>
      <c r="W43">
        <f>VLOOKUP($A43&amp;W$1,Data!$A$2:$D$3723,4,FALSE)</f>
        <v>0.57999999999999996</v>
      </c>
      <c r="X43">
        <f>VLOOKUP($A43&amp;X$1,Data!$A$2:$D$3723,4,FALSE)</f>
        <v>2.09</v>
      </c>
      <c r="Y43">
        <f>VLOOKUP($A43&amp;Y$1,Data!$A$2:$D$3723,4,FALSE)</f>
        <v>0.68400000000000005</v>
      </c>
      <c r="Z43">
        <f>VLOOKUP($A43&amp;Z$1,Data!$A$2:$D$3723,4,FALSE)</f>
        <v>1.798</v>
      </c>
      <c r="AA43">
        <f>VLOOKUP($A43&amp;AA$1,Data!$A$2:$D$3723,4,FALSE)</f>
        <v>0.35499999999999998</v>
      </c>
      <c r="AB43">
        <f>VLOOKUP($A43&amp;AB$1,Data!$A$2:$D$3723,4,FALSE)</f>
        <v>0.126</v>
      </c>
      <c r="AC43">
        <f>VLOOKUP($A43&amp;AC$1,Data!$A$2:$D$3723,4,FALSE)</f>
        <v>2.169</v>
      </c>
      <c r="AD43">
        <f>VLOOKUP($A43&amp;AD$1,Data!$A$2:$D$3723,4,FALSE)</f>
        <v>0.33900000000000002</v>
      </c>
      <c r="AE43">
        <f>VLOOKUP($A43&amp;AE$1,Data!$A$2:$D$3723,4,FALSE)</f>
        <v>0.44400000000000001</v>
      </c>
      <c r="AF43">
        <f>VLOOKUP($A43&amp;AF$1,Data!$A$2:$D$3723,4,FALSE)</f>
        <v>0</v>
      </c>
      <c r="AG43">
        <f>VLOOKUP($A43&amp;AG$1,Data!$A$2:$D$3723,4,FALSE)</f>
        <v>12000000</v>
      </c>
    </row>
    <row r="44" spans="1:33" hidden="1" x14ac:dyDescent="0.35">
      <c r="A44" s="13">
        <f>A43+1</f>
        <v>43</v>
      </c>
      <c r="B44" t="s">
        <v>5</v>
      </c>
      <c r="C44" t="s">
        <v>22</v>
      </c>
      <c r="D44">
        <v>100</v>
      </c>
      <c r="E44" t="s">
        <v>17</v>
      </c>
      <c r="F44" s="5">
        <v>43831</v>
      </c>
      <c r="G44" s="5">
        <v>44562</v>
      </c>
      <c r="H44">
        <v>14</v>
      </c>
      <c r="I44">
        <v>9</v>
      </c>
      <c r="J44">
        <f t="shared" si="0"/>
        <v>32</v>
      </c>
      <c r="K44">
        <f t="shared" si="1"/>
        <v>68</v>
      </c>
      <c r="L44">
        <v>1000000</v>
      </c>
      <c r="M44">
        <f>VLOOKUP($A44&amp;M$1,Data!$A$2:$D$3723,4,FALSE)</f>
        <v>0.54886000000000001</v>
      </c>
      <c r="N44">
        <f>VLOOKUP($A44&amp;N$1,Data!$A$2:$D$3723,4,FALSE)</f>
        <v>1.1279999999999999</v>
      </c>
      <c r="O44">
        <f>VLOOKUP($A44&amp;O$1,Data!$A$2:$D$3723,4,FALSE)</f>
        <v>397</v>
      </c>
      <c r="P44">
        <f>VLOOKUP($A44&amp;P$1,Data!$A$2:$D$3723,4,FALSE)</f>
        <v>2.8999999999999998E-3</v>
      </c>
      <c r="Q44">
        <f>VLOOKUP($A44&amp;Q$1,Data!$A$2:$D$3723,4,FALSE)</f>
        <v>-2.3E-3</v>
      </c>
      <c r="R44">
        <f>VLOOKUP($A44&amp;R$1,Data!$A$2:$D$3723,4,FALSE)</f>
        <v>1.806E-2</v>
      </c>
      <c r="S44">
        <f>VLOOKUP($A44&amp;S$1,Data!$A$2:$D$3723,4,FALSE)</f>
        <v>7.0000000000000001E-3</v>
      </c>
      <c r="T44">
        <f>VLOOKUP($A44&amp;T$1,Data!$A$2:$D$3723,4,FALSE)</f>
        <v>0.39600000000000002</v>
      </c>
      <c r="U44">
        <f>VLOOKUP($A44&amp;U$1,Data!$A$2:$D$3723,4,FALSE)</f>
        <v>1.1639999999999999E-2</v>
      </c>
      <c r="V44">
        <f>VLOOKUP($A44&amp;V$1,Data!$A$2:$D$3723,4,FALSE)</f>
        <v>0.38</v>
      </c>
      <c r="W44">
        <f>VLOOKUP($A44&amp;W$1,Data!$A$2:$D$3723,4,FALSE)</f>
        <v>0.62</v>
      </c>
      <c r="X44">
        <f>VLOOKUP($A44&amp;X$1,Data!$A$2:$D$3723,4,FALSE)</f>
        <v>1.27</v>
      </c>
      <c r="Y44">
        <f>VLOOKUP($A44&amp;Y$1,Data!$A$2:$D$3723,4,FALSE)</f>
        <v>8.0000000000000002E-3</v>
      </c>
      <c r="Z44">
        <f>VLOOKUP($A44&amp;Z$1,Data!$A$2:$D$3723,4,FALSE)</f>
        <v>7.0999999999999994E-2</v>
      </c>
      <c r="AA44">
        <f>VLOOKUP($A44&amp;AA$1,Data!$A$2:$D$3723,4,FALSE)</f>
        <v>1.0999999999999999E-2</v>
      </c>
      <c r="AB44">
        <f>VLOOKUP($A44&amp;AB$1,Data!$A$2:$D$3723,4,FALSE)</f>
        <v>0</v>
      </c>
      <c r="AC44">
        <f>VLOOKUP($A44&amp;AC$1,Data!$A$2:$D$3723,4,FALSE)</f>
        <v>-0.81499999999999995</v>
      </c>
      <c r="AD44">
        <f>VLOOKUP($A44&amp;AD$1,Data!$A$2:$D$3723,4,FALSE)</f>
        <v>6.3E-2</v>
      </c>
      <c r="AE44">
        <f>VLOOKUP($A44&amp;AE$1,Data!$A$2:$D$3723,4,FALSE)</f>
        <v>0.17599999999999999</v>
      </c>
      <c r="AF44">
        <f>VLOOKUP($A44&amp;AF$1,Data!$A$2:$D$3723,4,FALSE)</f>
        <v>0</v>
      </c>
      <c r="AG44">
        <f>VLOOKUP($A44&amp;AG$1,Data!$A$2:$D$3723,4,FALSE)</f>
        <v>2200000000</v>
      </c>
    </row>
    <row r="45" spans="1:33" hidden="1" x14ac:dyDescent="0.35">
      <c r="A45" s="13">
        <f t="shared" si="3"/>
        <v>44</v>
      </c>
      <c r="B45" t="s">
        <v>5</v>
      </c>
      <c r="C45" t="s">
        <v>22</v>
      </c>
      <c r="D45">
        <v>1000</v>
      </c>
      <c r="E45" t="s">
        <v>17</v>
      </c>
      <c r="F45" s="5">
        <v>43831</v>
      </c>
      <c r="G45" s="5">
        <v>44562</v>
      </c>
      <c r="H45">
        <v>14</v>
      </c>
      <c r="I45">
        <v>9</v>
      </c>
      <c r="J45">
        <f t="shared" si="0"/>
        <v>32</v>
      </c>
      <c r="K45">
        <f t="shared" si="1"/>
        <v>68</v>
      </c>
      <c r="L45">
        <v>1000000</v>
      </c>
      <c r="M45">
        <f>VLOOKUP($A45&amp;M$1,Data!$A$2:$D$3723,4,FALSE)</f>
        <v>0.56145999999999996</v>
      </c>
      <c r="N45">
        <f>VLOOKUP($A45&amp;N$1,Data!$A$2:$D$3723,4,FALSE)</f>
        <v>1.2270000000000001</v>
      </c>
      <c r="O45">
        <f>VLOOKUP($A45&amp;O$1,Data!$A$2:$D$3723,4,FALSE)</f>
        <v>397</v>
      </c>
      <c r="P45">
        <f>VLOOKUP($A45&amp;P$1,Data!$A$2:$D$3723,4,FALSE)</f>
        <v>2.8400000000000002E-2</v>
      </c>
      <c r="Q45">
        <f>VLOOKUP($A45&amp;Q$1,Data!$A$2:$D$3723,4,FALSE)</f>
        <v>-2.1700000000000001E-2</v>
      </c>
      <c r="R45">
        <f>VLOOKUP($A45&amp;R$1,Data!$A$2:$D$3723,4,FALSE)</f>
        <v>0.18567</v>
      </c>
      <c r="S45">
        <f>VLOOKUP($A45&amp;S$1,Data!$A$2:$D$3723,4,FALSE)</f>
        <v>6.9000000000000006E-2</v>
      </c>
      <c r="T45">
        <f>VLOOKUP($A45&amp;T$1,Data!$A$2:$D$3723,4,FALSE)</f>
        <v>0.42299999999999999</v>
      </c>
      <c r="U45">
        <f>VLOOKUP($A45&amp;U$1,Data!$A$2:$D$3723,4,FALSE)</f>
        <v>0.11638999999999999</v>
      </c>
      <c r="V45">
        <f>VLOOKUP($A45&amp;V$1,Data!$A$2:$D$3723,4,FALSE)</f>
        <v>0.38</v>
      </c>
      <c r="W45">
        <f>VLOOKUP($A45&amp;W$1,Data!$A$2:$D$3723,4,FALSE)</f>
        <v>0.62</v>
      </c>
      <c r="X45">
        <f>VLOOKUP($A45&amp;X$1,Data!$A$2:$D$3723,4,FALSE)</f>
        <v>1.31</v>
      </c>
      <c r="Y45">
        <f>VLOOKUP($A45&amp;Y$1,Data!$A$2:$D$3723,4,FALSE)</f>
        <v>8.6999999999999994E-2</v>
      </c>
      <c r="Z45">
        <f>VLOOKUP($A45&amp;Z$1,Data!$A$2:$D$3723,4,FALSE)</f>
        <v>0.69499999999999995</v>
      </c>
      <c r="AA45">
        <f>VLOOKUP($A45&amp;AA$1,Data!$A$2:$D$3723,4,FALSE)</f>
        <v>0.107</v>
      </c>
      <c r="AB45">
        <f>VLOOKUP($A45&amp;AB$1,Data!$A$2:$D$3723,4,FALSE)</f>
        <v>1.2E-2</v>
      </c>
      <c r="AC45">
        <f>VLOOKUP($A45&amp;AC$1,Data!$A$2:$D$3723,4,FALSE)</f>
        <v>0.68799999999999994</v>
      </c>
      <c r="AD45">
        <f>VLOOKUP($A45&amp;AD$1,Data!$A$2:$D$3723,4,FALSE)</f>
        <v>9.9000000000000005E-2</v>
      </c>
      <c r="AE45">
        <f>VLOOKUP($A45&amp;AE$1,Data!$A$2:$D$3723,4,FALSE)</f>
        <v>0.189</v>
      </c>
      <c r="AF45">
        <f>VLOOKUP($A45&amp;AF$1,Data!$A$2:$D$3723,4,FALSE)</f>
        <v>0</v>
      </c>
      <c r="AG45">
        <f>VLOOKUP($A45&amp;AG$1,Data!$A$2:$D$3723,4,FALSE)</f>
        <v>250000000</v>
      </c>
    </row>
    <row r="46" spans="1:33" hidden="1" x14ac:dyDescent="0.35">
      <c r="A46" s="13">
        <f t="shared" si="3"/>
        <v>45</v>
      </c>
      <c r="B46" t="s">
        <v>5</v>
      </c>
      <c r="C46" t="s">
        <v>22</v>
      </c>
      <c r="D46">
        <v>5000</v>
      </c>
      <c r="E46" t="s">
        <v>17</v>
      </c>
      <c r="F46" s="5">
        <v>43831</v>
      </c>
      <c r="G46" s="5">
        <v>44562</v>
      </c>
      <c r="H46">
        <v>14</v>
      </c>
      <c r="I46">
        <v>9</v>
      </c>
      <c r="J46">
        <f t="shared" si="0"/>
        <v>32</v>
      </c>
      <c r="K46">
        <f t="shared" si="1"/>
        <v>68</v>
      </c>
      <c r="L46">
        <v>1000000</v>
      </c>
      <c r="M46">
        <f>VLOOKUP($A46&amp;M$1,Data!$A$2:$D$3723,4,FALSE)</f>
        <v>0.60199000000000003</v>
      </c>
      <c r="N46">
        <f>VLOOKUP($A46&amp;N$1,Data!$A$2:$D$3723,4,FALSE)</f>
        <v>1.7250000000000001</v>
      </c>
      <c r="O46">
        <f>VLOOKUP($A46&amp;O$1,Data!$A$2:$D$3723,4,FALSE)</f>
        <v>397</v>
      </c>
      <c r="P46">
        <f>VLOOKUP($A46&amp;P$1,Data!$A$2:$D$3723,4,FALSE)</f>
        <v>0.1353</v>
      </c>
      <c r="Q46">
        <f>VLOOKUP($A46&amp;Q$1,Data!$A$2:$D$3723,4,FALSE)</f>
        <v>-9.1300000000000006E-2</v>
      </c>
      <c r="R46">
        <f>VLOOKUP($A46&amp;R$1,Data!$A$2:$D$3723,4,FALSE)</f>
        <v>1.0329299999999999</v>
      </c>
      <c r="S46">
        <f>VLOOKUP($A46&amp;S$1,Data!$A$2:$D$3723,4,FALSE)</f>
        <v>0.29799999999999999</v>
      </c>
      <c r="T46">
        <f>VLOOKUP($A46&amp;T$1,Data!$A$2:$D$3723,4,FALSE)</f>
        <v>0.52700000000000002</v>
      </c>
      <c r="U46">
        <f>VLOOKUP($A46&amp;U$1,Data!$A$2:$D$3723,4,FALSE)</f>
        <v>0.58194000000000001</v>
      </c>
      <c r="V46">
        <f>VLOOKUP($A46&amp;V$1,Data!$A$2:$D$3723,4,FALSE)</f>
        <v>0.38</v>
      </c>
      <c r="W46">
        <f>VLOOKUP($A46&amp;W$1,Data!$A$2:$D$3723,4,FALSE)</f>
        <v>0.62</v>
      </c>
      <c r="X46">
        <f>VLOOKUP($A46&amp;X$1,Data!$A$2:$D$3723,4,FALSE)</f>
        <v>1.48</v>
      </c>
      <c r="Y46">
        <f>VLOOKUP($A46&amp;Y$1,Data!$A$2:$D$3723,4,FALSE)</f>
        <v>0.627</v>
      </c>
      <c r="Z46">
        <f>VLOOKUP($A46&amp;Z$1,Data!$A$2:$D$3723,4,FALSE)</f>
        <v>3.202</v>
      </c>
      <c r="AA46">
        <f>VLOOKUP($A46&amp;AA$1,Data!$A$2:$D$3723,4,FALSE)</f>
        <v>0.48099999999999998</v>
      </c>
      <c r="AB46">
        <f>VLOOKUP($A46&amp;AB$1,Data!$A$2:$D$3723,4,FALSE)</f>
        <v>0.23200000000000001</v>
      </c>
      <c r="AC46">
        <f>VLOOKUP($A46&amp;AC$1,Data!$A$2:$D$3723,4,FALSE)</f>
        <v>1.6819999999999999</v>
      </c>
      <c r="AD46">
        <f>VLOOKUP($A46&amp;AD$1,Data!$A$2:$D$3723,4,FALSE)</f>
        <v>0.45600000000000002</v>
      </c>
      <c r="AE46">
        <f>VLOOKUP($A46&amp;AE$1,Data!$A$2:$D$3723,4,FALSE)</f>
        <v>0.25900000000000001</v>
      </c>
      <c r="AF46">
        <f>VLOOKUP($A46&amp;AF$1,Data!$A$2:$D$3723,4,FALSE)</f>
        <v>0</v>
      </c>
      <c r="AG46">
        <f>VLOOKUP($A46&amp;AG$1,Data!$A$2:$D$3723,4,FALSE)</f>
        <v>71000000</v>
      </c>
    </row>
    <row r="47" spans="1:33" hidden="1" x14ac:dyDescent="0.35">
      <c r="A47" s="13">
        <f t="shared" si="3"/>
        <v>46</v>
      </c>
      <c r="B47" t="s">
        <v>5</v>
      </c>
      <c r="C47" t="s">
        <v>3</v>
      </c>
      <c r="D47">
        <v>100</v>
      </c>
      <c r="E47" t="s">
        <v>17</v>
      </c>
      <c r="F47" s="5">
        <v>43831</v>
      </c>
      <c r="G47" s="5">
        <v>44562</v>
      </c>
      <c r="H47">
        <v>14</v>
      </c>
      <c r="I47">
        <v>9</v>
      </c>
      <c r="J47">
        <f t="shared" si="0"/>
        <v>28</v>
      </c>
      <c r="K47">
        <f t="shared" si="1"/>
        <v>72</v>
      </c>
      <c r="L47">
        <v>1000000</v>
      </c>
      <c r="M47">
        <f>VLOOKUP($A47&amp;M$1,Data!$A$2:$D$3723,4,FALSE)</f>
        <v>4.299E-2</v>
      </c>
      <c r="N47">
        <f>VLOOKUP($A47&amp;N$1,Data!$A$2:$D$3723,4,FALSE)</f>
        <v>-0.77200000000000002</v>
      </c>
      <c r="O47">
        <f>VLOOKUP($A47&amp;O$1,Data!$A$2:$D$3723,4,FALSE)</f>
        <v>603</v>
      </c>
      <c r="P47">
        <f>VLOOKUP($A47&amp;P$1,Data!$A$2:$D$3723,4,FALSE)</f>
        <v>1E-3</v>
      </c>
      <c r="Q47">
        <f>VLOOKUP($A47&amp;Q$1,Data!$A$2:$D$3723,4,FALSE)</f>
        <v>-1.5E-3</v>
      </c>
      <c r="R47">
        <f>VLOOKUP($A47&amp;R$1,Data!$A$2:$D$3723,4,FALSE)</f>
        <v>-8.2699999999999996E-3</v>
      </c>
      <c r="S47">
        <f>VLOOKUP($A47&amp;S$1,Data!$A$2:$D$3723,4,FALSE)</f>
        <v>1.0999999999999999E-2</v>
      </c>
      <c r="T47">
        <f>VLOOKUP($A47&amp;T$1,Data!$A$2:$D$3723,4,FALSE)</f>
        <v>-0.17199999999999999</v>
      </c>
      <c r="U47">
        <f>VLOOKUP($A47&amp;U$1,Data!$A$2:$D$3723,4,FALSE)</f>
        <v>-5.3299999999999997E-3</v>
      </c>
      <c r="V47">
        <f>VLOOKUP($A47&amp;V$1,Data!$A$2:$D$3723,4,FALSE)</f>
        <v>0.5</v>
      </c>
      <c r="W47">
        <f>VLOOKUP($A47&amp;W$1,Data!$A$2:$D$3723,4,FALSE)</f>
        <v>0.5</v>
      </c>
      <c r="X47">
        <f>VLOOKUP($A47&amp;X$1,Data!$A$2:$D$3723,4,FALSE)</f>
        <v>0.66</v>
      </c>
      <c r="Y47">
        <f>VLOOKUP($A47&amp;Y$1,Data!$A$2:$D$3723,4,FALSE)</f>
        <v>-7.0000000000000001E-3</v>
      </c>
      <c r="Z47">
        <f>VLOOKUP($A47&amp;Z$1,Data!$A$2:$D$3723,4,FALSE)</f>
        <v>2.7E-2</v>
      </c>
      <c r="AA47">
        <f>VLOOKUP($A47&amp;AA$1,Data!$A$2:$D$3723,4,FALSE)</f>
        <v>7.0000000000000001E-3</v>
      </c>
      <c r="AB47">
        <f>VLOOKUP($A47&amp;AB$1,Data!$A$2:$D$3723,4,FALSE)</f>
        <v>0</v>
      </c>
      <c r="AC47">
        <f>VLOOKUP($A47&amp;AC$1,Data!$A$2:$D$3723,4,FALSE)</f>
        <v>-1.0660000000000001</v>
      </c>
      <c r="AD47">
        <f>VLOOKUP($A47&amp;AD$1,Data!$A$2:$D$3723,4,FALSE)</f>
        <v>6.5000000000000002E-2</v>
      </c>
      <c r="AE47">
        <f>VLOOKUP($A47&amp;AE$1,Data!$A$2:$D$3723,4,FALSE)</f>
        <v>-0.21299999999999999</v>
      </c>
      <c r="AF47">
        <f>VLOOKUP($A47&amp;AF$1,Data!$A$2:$D$3723,4,FALSE)</f>
        <v>0</v>
      </c>
      <c r="AG47">
        <f>VLOOKUP($A47&amp;AG$1,Data!$A$2:$D$3723,4,FALSE)</f>
        <v>7700000000</v>
      </c>
    </row>
    <row r="48" spans="1:33" hidden="1" x14ac:dyDescent="0.35">
      <c r="A48" s="13">
        <f t="shared" si="3"/>
        <v>47</v>
      </c>
      <c r="B48" t="s">
        <v>5</v>
      </c>
      <c r="C48" t="s">
        <v>3</v>
      </c>
      <c r="D48">
        <v>1000</v>
      </c>
      <c r="E48" t="s">
        <v>17</v>
      </c>
      <c r="F48" s="5">
        <v>43831</v>
      </c>
      <c r="G48" s="5">
        <v>44562</v>
      </c>
      <c r="H48">
        <v>14</v>
      </c>
      <c r="I48">
        <v>9</v>
      </c>
      <c r="J48">
        <f t="shared" si="0"/>
        <v>28</v>
      </c>
      <c r="K48">
        <f t="shared" si="1"/>
        <v>72</v>
      </c>
      <c r="L48">
        <v>1000000</v>
      </c>
      <c r="M48">
        <f>VLOOKUP($A48&amp;M$1,Data!$A$2:$D$3723,4,FALSE)</f>
        <v>4.675E-2</v>
      </c>
      <c r="N48">
        <f>VLOOKUP($A48&amp;N$1,Data!$A$2:$D$3723,4,FALSE)</f>
        <v>-0.71599999999999997</v>
      </c>
      <c r="O48">
        <f>VLOOKUP($A48&amp;O$1,Data!$A$2:$D$3723,4,FALSE)</f>
        <v>603</v>
      </c>
      <c r="P48">
        <f>VLOOKUP($A48&amp;P$1,Data!$A$2:$D$3723,4,FALSE)</f>
        <v>1.06E-2</v>
      </c>
      <c r="Q48">
        <f>VLOOKUP($A48&amp;Q$1,Data!$A$2:$D$3723,4,FALSE)</f>
        <v>-1.5800000000000002E-2</v>
      </c>
      <c r="R48">
        <f>VLOOKUP($A48&amp;R$1,Data!$A$2:$D$3723,4,FALSE)</f>
        <v>-8.1600000000000006E-2</v>
      </c>
      <c r="S48">
        <f>VLOOKUP($A48&amp;S$1,Data!$A$2:$D$3723,4,FALSE)</f>
        <v>0.108</v>
      </c>
      <c r="T48">
        <f>VLOOKUP($A48&amp;T$1,Data!$A$2:$D$3723,4,FALSE)</f>
        <v>-0.16500000000000001</v>
      </c>
      <c r="U48">
        <f>VLOOKUP($A48&amp;U$1,Data!$A$2:$D$3723,4,FALSE)</f>
        <v>-5.3319999999999999E-2</v>
      </c>
      <c r="V48">
        <f>VLOOKUP($A48&amp;V$1,Data!$A$2:$D$3723,4,FALSE)</f>
        <v>0.5</v>
      </c>
      <c r="W48">
        <f>VLOOKUP($A48&amp;W$1,Data!$A$2:$D$3723,4,FALSE)</f>
        <v>0.5</v>
      </c>
      <c r="X48">
        <f>VLOOKUP($A48&amp;X$1,Data!$A$2:$D$3723,4,FALSE)</f>
        <v>0.67</v>
      </c>
      <c r="Y48">
        <f>VLOOKUP($A48&amp;Y$1,Data!$A$2:$D$3723,4,FALSE)</f>
        <v>-7.1999999999999995E-2</v>
      </c>
      <c r="Z48">
        <f>VLOOKUP($A48&amp;Z$1,Data!$A$2:$D$3723,4,FALSE)</f>
        <v>0.27900000000000003</v>
      </c>
      <c r="AA48">
        <f>VLOOKUP($A48&amp;AA$1,Data!$A$2:$D$3723,4,FALSE)</f>
        <v>7.5999999999999998E-2</v>
      </c>
      <c r="AB48">
        <f>VLOOKUP($A48&amp;AB$1,Data!$A$2:$D$3723,4,FALSE)</f>
        <v>6.0000000000000001E-3</v>
      </c>
      <c r="AC48">
        <f>VLOOKUP($A48&amp;AC$1,Data!$A$2:$D$3723,4,FALSE)</f>
        <v>-1.343</v>
      </c>
      <c r="AD48">
        <f>VLOOKUP($A48&amp;AD$1,Data!$A$2:$D$3723,4,FALSE)</f>
        <v>8.7999999999999995E-2</v>
      </c>
      <c r="AE48">
        <f>VLOOKUP($A48&amp;AE$1,Data!$A$2:$D$3723,4,FALSE)</f>
        <v>-0.19600000000000001</v>
      </c>
      <c r="AF48">
        <f>VLOOKUP($A48&amp;AF$1,Data!$A$2:$D$3723,4,FALSE)</f>
        <v>0</v>
      </c>
      <c r="AG48">
        <f>VLOOKUP($A48&amp;AG$1,Data!$A$2:$D$3723,4,FALSE)</f>
        <v>730000000</v>
      </c>
    </row>
    <row r="49" spans="1:33" hidden="1" x14ac:dyDescent="0.35">
      <c r="A49" s="13">
        <f t="shared" si="3"/>
        <v>48</v>
      </c>
      <c r="B49" t="s">
        <v>5</v>
      </c>
      <c r="C49" t="s">
        <v>3</v>
      </c>
      <c r="D49">
        <v>5000</v>
      </c>
      <c r="E49" t="s">
        <v>17</v>
      </c>
      <c r="F49" s="5">
        <v>43831</v>
      </c>
      <c r="G49" s="5">
        <v>44562</v>
      </c>
      <c r="H49">
        <v>14</v>
      </c>
      <c r="I49">
        <v>9</v>
      </c>
      <c r="J49">
        <f t="shared" si="0"/>
        <v>28</v>
      </c>
      <c r="K49">
        <f t="shared" si="1"/>
        <v>72</v>
      </c>
      <c r="L49">
        <v>1000000</v>
      </c>
      <c r="M49">
        <f>VLOOKUP($A49&amp;M$1,Data!$A$2:$D$3723,4,FALSE)</f>
        <v>7.4310000000000001E-2</v>
      </c>
      <c r="N49">
        <f>VLOOKUP($A49&amp;N$1,Data!$A$2:$D$3723,4,FALSE)</f>
        <v>-0.45100000000000001</v>
      </c>
      <c r="O49">
        <f>VLOOKUP($A49&amp;O$1,Data!$A$2:$D$3723,4,FALSE)</f>
        <v>603</v>
      </c>
      <c r="P49">
        <f>VLOOKUP($A49&amp;P$1,Data!$A$2:$D$3723,4,FALSE)</f>
        <v>6.9500000000000006E-2</v>
      </c>
      <c r="Q49">
        <f>VLOOKUP($A49&amp;Q$1,Data!$A$2:$D$3723,4,FALSE)</f>
        <v>-9.1600000000000001E-2</v>
      </c>
      <c r="R49">
        <f>VLOOKUP($A49&amp;R$1,Data!$A$2:$D$3723,4,FALSE)</f>
        <v>-0.38225999999999999</v>
      </c>
      <c r="S49">
        <f>VLOOKUP($A49&amp;S$1,Data!$A$2:$D$3723,4,FALSE)</f>
        <v>0.498</v>
      </c>
      <c r="T49">
        <f>VLOOKUP($A49&amp;T$1,Data!$A$2:$D$3723,4,FALSE)</f>
        <v>-0.121</v>
      </c>
      <c r="U49">
        <f>VLOOKUP($A49&amp;U$1,Data!$A$2:$D$3723,4,FALSE)</f>
        <v>-0.26661000000000001</v>
      </c>
      <c r="V49">
        <f>VLOOKUP($A49&amp;V$1,Data!$A$2:$D$3723,4,FALSE)</f>
        <v>0.5</v>
      </c>
      <c r="W49">
        <f>VLOOKUP($A49&amp;W$1,Data!$A$2:$D$3723,4,FALSE)</f>
        <v>0.5</v>
      </c>
      <c r="X49">
        <f>VLOOKUP($A49&amp;X$1,Data!$A$2:$D$3723,4,FALSE)</f>
        <v>0.76</v>
      </c>
      <c r="Y49">
        <f>VLOOKUP($A49&amp;Y$1,Data!$A$2:$D$3723,4,FALSE)</f>
        <v>-0.315</v>
      </c>
      <c r="Z49">
        <f>VLOOKUP($A49&amp;Z$1,Data!$A$2:$D$3723,4,FALSE)</f>
        <v>1.7090000000000001</v>
      </c>
      <c r="AA49">
        <f>VLOOKUP($A49&amp;AA$1,Data!$A$2:$D$3723,4,FALSE)</f>
        <v>0.45500000000000002</v>
      </c>
      <c r="AB49">
        <f>VLOOKUP($A49&amp;AB$1,Data!$A$2:$D$3723,4,FALSE)</f>
        <v>0.20699999999999999</v>
      </c>
      <c r="AC49">
        <f>VLOOKUP($A49&amp;AC$1,Data!$A$2:$D$3723,4,FALSE)</f>
        <v>-0.60799999999999998</v>
      </c>
      <c r="AD49">
        <f>VLOOKUP($A49&amp;AD$1,Data!$A$2:$D$3723,4,FALSE)</f>
        <v>0.443</v>
      </c>
      <c r="AE49">
        <f>VLOOKUP($A49&amp;AE$1,Data!$A$2:$D$3723,4,FALSE)</f>
        <v>-0.12</v>
      </c>
      <c r="AF49">
        <f>VLOOKUP($A49&amp;AF$1,Data!$A$2:$D$3723,4,FALSE)</f>
        <v>0</v>
      </c>
      <c r="AG49">
        <f>VLOOKUP($A49&amp;AG$1,Data!$A$2:$D$3723,4,FALSE)</f>
        <v>110000000</v>
      </c>
    </row>
    <row r="50" spans="1:33" hidden="1" x14ac:dyDescent="0.35">
      <c r="A50" s="13">
        <f t="shared" si="3"/>
        <v>49</v>
      </c>
      <c r="B50" t="s">
        <v>5</v>
      </c>
      <c r="C50" t="s">
        <v>2</v>
      </c>
      <c r="D50">
        <v>100</v>
      </c>
      <c r="E50" t="s">
        <v>17</v>
      </c>
      <c r="F50" s="5">
        <v>43831</v>
      </c>
      <c r="G50" s="5">
        <v>44562</v>
      </c>
      <c r="H50">
        <v>14</v>
      </c>
      <c r="I50">
        <v>9</v>
      </c>
      <c r="J50">
        <f t="shared" si="0"/>
        <v>28</v>
      </c>
      <c r="K50">
        <f t="shared" si="1"/>
        <v>72</v>
      </c>
      <c r="L50">
        <v>1000000</v>
      </c>
      <c r="M50">
        <f>VLOOKUP($A50&amp;M$1,Data!$A$2:$D$3723,4,FALSE)</f>
        <v>0.32308999999999999</v>
      </c>
      <c r="N50">
        <f>VLOOKUP($A50&amp;N$1,Data!$A$2:$D$3723,4,FALSE)</f>
        <v>0.52</v>
      </c>
      <c r="O50">
        <f>VLOOKUP($A50&amp;O$1,Data!$A$2:$D$3723,4,FALSE)</f>
        <v>354</v>
      </c>
      <c r="P50">
        <f>VLOOKUP($A50&amp;P$1,Data!$A$2:$D$3723,4,FALSE)</f>
        <v>3.0000000000000001E-3</v>
      </c>
      <c r="Q50">
        <f>VLOOKUP($A50&amp;Q$1,Data!$A$2:$D$3723,4,FALSE)</f>
        <v>-1.1000000000000001E-3</v>
      </c>
      <c r="R50">
        <f>VLOOKUP($A50&amp;R$1,Data!$A$2:$D$3723,4,FALSE)</f>
        <v>6.2199999999999998E-3</v>
      </c>
      <c r="S50">
        <f>VLOOKUP($A50&amp;S$1,Data!$A$2:$D$3723,4,FALSE)</f>
        <v>8.0000000000000002E-3</v>
      </c>
      <c r="T50">
        <f>VLOOKUP($A50&amp;T$1,Data!$A$2:$D$3723,4,FALSE)</f>
        <v>0.38500000000000001</v>
      </c>
      <c r="U50">
        <f>VLOOKUP($A50&amp;U$1,Data!$A$2:$D$3723,4,FALSE)</f>
        <v>4.0000000000000001E-3</v>
      </c>
      <c r="V50">
        <f>VLOOKUP($A50&amp;V$1,Data!$A$2:$D$3723,4,FALSE)</f>
        <v>0.64</v>
      </c>
      <c r="W50">
        <f>VLOOKUP($A50&amp;W$1,Data!$A$2:$D$3723,4,FALSE)</f>
        <v>0.36</v>
      </c>
      <c r="X50">
        <f>VLOOKUP($A50&amp;X$1,Data!$A$2:$D$3723,4,FALSE)</f>
        <v>2.81</v>
      </c>
      <c r="Y50">
        <f>VLOOKUP($A50&amp;Y$1,Data!$A$2:$D$3723,4,FALSE)</f>
        <v>2E-3</v>
      </c>
      <c r="Z50">
        <f>VLOOKUP($A50&amp;Z$1,Data!$A$2:$D$3723,4,FALSE)</f>
        <v>3.2000000000000001E-2</v>
      </c>
      <c r="AA50">
        <f>VLOOKUP($A50&amp;AA$1,Data!$A$2:$D$3723,4,FALSE)</f>
        <v>8.0000000000000002E-3</v>
      </c>
      <c r="AB50">
        <f>VLOOKUP($A50&amp;AB$1,Data!$A$2:$D$3723,4,FALSE)</f>
        <v>0</v>
      </c>
      <c r="AC50">
        <f>VLOOKUP($A50&amp;AC$1,Data!$A$2:$D$3723,4,FALSE)</f>
        <v>-0.91400000000000003</v>
      </c>
      <c r="AD50">
        <f>VLOOKUP($A50&amp;AD$1,Data!$A$2:$D$3723,4,FALSE)</f>
        <v>6.5000000000000002E-2</v>
      </c>
      <c r="AE50">
        <f>VLOOKUP($A50&amp;AE$1,Data!$A$2:$D$3723,4,FALSE)</f>
        <v>0.13500000000000001</v>
      </c>
      <c r="AF50">
        <f>VLOOKUP($A50&amp;AF$1,Data!$A$2:$D$3723,4,FALSE)</f>
        <v>0</v>
      </c>
      <c r="AG50">
        <f>VLOOKUP($A50&amp;AG$1,Data!$A$2:$D$3723,4,FALSE)</f>
        <v>190000000</v>
      </c>
    </row>
    <row r="51" spans="1:33" hidden="1" x14ac:dyDescent="0.35">
      <c r="A51" s="13">
        <f t="shared" si="3"/>
        <v>50</v>
      </c>
      <c r="B51" t="s">
        <v>5</v>
      </c>
      <c r="C51" t="s">
        <v>2</v>
      </c>
      <c r="D51">
        <v>1000</v>
      </c>
      <c r="E51" t="s">
        <v>17</v>
      </c>
      <c r="F51" s="5">
        <v>43831</v>
      </c>
      <c r="G51" s="5">
        <v>44562</v>
      </c>
      <c r="H51">
        <v>14</v>
      </c>
      <c r="I51">
        <v>9</v>
      </c>
      <c r="J51">
        <f t="shared" si="0"/>
        <v>28</v>
      </c>
      <c r="K51">
        <f t="shared" si="1"/>
        <v>72</v>
      </c>
      <c r="L51">
        <v>1000000</v>
      </c>
      <c r="M51">
        <f>VLOOKUP($A51&amp;M$1,Data!$A$2:$D$3723,4,FALSE)</f>
        <v>0.33534000000000003</v>
      </c>
      <c r="N51">
        <f>VLOOKUP($A51&amp;N$1,Data!$A$2:$D$3723,4,FALSE)</f>
        <v>0.56699999999999995</v>
      </c>
      <c r="O51">
        <f>VLOOKUP($A51&amp;O$1,Data!$A$2:$D$3723,4,FALSE)</f>
        <v>354</v>
      </c>
      <c r="P51">
        <f>VLOOKUP($A51&amp;P$1,Data!$A$2:$D$3723,4,FALSE)</f>
        <v>0.03</v>
      </c>
      <c r="Q51">
        <f>VLOOKUP($A51&amp;Q$1,Data!$A$2:$D$3723,4,FALSE)</f>
        <v>-1.0500000000000001E-2</v>
      </c>
      <c r="R51">
        <f>VLOOKUP($A51&amp;R$1,Data!$A$2:$D$3723,4,FALSE)</f>
        <v>6.2799999999999995E-2</v>
      </c>
      <c r="S51">
        <f>VLOOKUP($A51&amp;S$1,Data!$A$2:$D$3723,4,FALSE)</f>
        <v>7.5999999999999998E-2</v>
      </c>
      <c r="T51">
        <f>VLOOKUP($A51&amp;T$1,Data!$A$2:$D$3723,4,FALSE)</f>
        <v>0.40400000000000003</v>
      </c>
      <c r="U51">
        <f>VLOOKUP($A51&amp;U$1,Data!$A$2:$D$3723,4,FALSE)</f>
        <v>3.9989999999999998E-2</v>
      </c>
      <c r="V51">
        <f>VLOOKUP($A51&amp;V$1,Data!$A$2:$D$3723,4,FALSE)</f>
        <v>0.64</v>
      </c>
      <c r="W51">
        <f>VLOOKUP($A51&amp;W$1,Data!$A$2:$D$3723,4,FALSE)</f>
        <v>0.36</v>
      </c>
      <c r="X51">
        <f>VLOOKUP($A51&amp;X$1,Data!$A$2:$D$3723,4,FALSE)</f>
        <v>2.86</v>
      </c>
      <c r="Y51">
        <f>VLOOKUP($A51&amp;Y$1,Data!$A$2:$D$3723,4,FALSE)</f>
        <v>2.7E-2</v>
      </c>
      <c r="Z51">
        <f>VLOOKUP($A51&amp;Z$1,Data!$A$2:$D$3723,4,FALSE)</f>
        <v>0.312</v>
      </c>
      <c r="AA51">
        <f>VLOOKUP($A51&amp;AA$1,Data!$A$2:$D$3723,4,FALSE)</f>
        <v>8.2000000000000003E-2</v>
      </c>
      <c r="AB51">
        <f>VLOOKUP($A51&amp;AB$1,Data!$A$2:$D$3723,4,FALSE)</f>
        <v>7.0000000000000001E-3</v>
      </c>
      <c r="AC51">
        <f>VLOOKUP($A51&amp;AC$1,Data!$A$2:$D$3723,4,FALSE)</f>
        <v>-0.189</v>
      </c>
      <c r="AD51">
        <f>VLOOKUP($A51&amp;AD$1,Data!$A$2:$D$3723,4,FALSE)</f>
        <v>9.1999999999999998E-2</v>
      </c>
      <c r="AE51">
        <f>VLOOKUP($A51&amp;AE$1,Data!$A$2:$D$3723,4,FALSE)</f>
        <v>0.14899999999999999</v>
      </c>
      <c r="AF51">
        <f>VLOOKUP($A51&amp;AF$1,Data!$A$2:$D$3723,4,FALSE)</f>
        <v>0</v>
      </c>
      <c r="AG51">
        <f>VLOOKUP($A51&amp;AG$1,Data!$A$2:$D$3723,4,FALSE)</f>
        <v>20000000</v>
      </c>
    </row>
    <row r="52" spans="1:33" hidden="1" x14ac:dyDescent="0.35">
      <c r="A52" s="13">
        <f t="shared" si="3"/>
        <v>51</v>
      </c>
      <c r="B52" t="s">
        <v>5</v>
      </c>
      <c r="C52" t="s">
        <v>2</v>
      </c>
      <c r="D52">
        <v>5000</v>
      </c>
      <c r="E52" t="s">
        <v>17</v>
      </c>
      <c r="F52" s="5">
        <v>43831</v>
      </c>
      <c r="G52" s="5">
        <v>44562</v>
      </c>
      <c r="H52">
        <v>14</v>
      </c>
      <c r="I52">
        <v>9</v>
      </c>
      <c r="J52">
        <f t="shared" si="0"/>
        <v>28</v>
      </c>
      <c r="K52">
        <f t="shared" si="1"/>
        <v>72</v>
      </c>
      <c r="L52">
        <v>1000000</v>
      </c>
      <c r="M52">
        <f>VLOOKUP($A52&amp;M$1,Data!$A$2:$D$3723,4,FALSE)</f>
        <v>0.38490999999999997</v>
      </c>
      <c r="N52">
        <f>VLOOKUP($A52&amp;N$1,Data!$A$2:$D$3723,4,FALSE)</f>
        <v>0.8</v>
      </c>
      <c r="O52">
        <f>VLOOKUP($A52&amp;O$1,Data!$A$2:$D$3723,4,FALSE)</f>
        <v>354</v>
      </c>
      <c r="P52">
        <f>VLOOKUP($A52&amp;P$1,Data!$A$2:$D$3723,4,FALSE)</f>
        <v>0.16220000000000001</v>
      </c>
      <c r="Q52">
        <f>VLOOKUP($A52&amp;Q$1,Data!$A$2:$D$3723,4,FALSE)</f>
        <v>-5.1900000000000002E-2</v>
      </c>
      <c r="R52">
        <f>VLOOKUP($A52&amp;R$1,Data!$A$2:$D$3723,4,FALSE)</f>
        <v>0.32729999999999998</v>
      </c>
      <c r="S52">
        <f>VLOOKUP($A52&amp;S$1,Data!$A$2:$D$3723,4,FALSE)</f>
        <v>0.33200000000000002</v>
      </c>
      <c r="T52">
        <f>VLOOKUP($A52&amp;T$1,Data!$A$2:$D$3723,4,FALSE)</f>
        <v>0.5</v>
      </c>
      <c r="U52">
        <f>VLOOKUP($A52&amp;U$1,Data!$A$2:$D$3723,4,FALSE)</f>
        <v>0.19993</v>
      </c>
      <c r="V52">
        <f>VLOOKUP($A52&amp;V$1,Data!$A$2:$D$3723,4,FALSE)</f>
        <v>0.64</v>
      </c>
      <c r="W52">
        <f>VLOOKUP($A52&amp;W$1,Data!$A$2:$D$3723,4,FALSE)</f>
        <v>0.36</v>
      </c>
      <c r="X52">
        <f>VLOOKUP($A52&amp;X$1,Data!$A$2:$D$3723,4,FALSE)</f>
        <v>3.12</v>
      </c>
      <c r="Y52">
        <f>VLOOKUP($A52&amp;Y$1,Data!$A$2:$D$3723,4,FALSE)</f>
        <v>0.22500000000000001</v>
      </c>
      <c r="Z52">
        <f>VLOOKUP($A52&amp;Z$1,Data!$A$2:$D$3723,4,FALSE)</f>
        <v>1.387</v>
      </c>
      <c r="AA52">
        <f>VLOOKUP($A52&amp;AA$1,Data!$A$2:$D$3723,4,FALSE)</f>
        <v>0.39200000000000002</v>
      </c>
      <c r="AB52">
        <f>VLOOKUP($A52&amp;AB$1,Data!$A$2:$D$3723,4,FALSE)</f>
        <v>0.153</v>
      </c>
      <c r="AC52">
        <f>VLOOKUP($A52&amp;AC$1,Data!$A$2:$D$3723,4,FALSE)</f>
        <v>0.65400000000000003</v>
      </c>
      <c r="AD52">
        <f>VLOOKUP($A52&amp;AD$1,Data!$A$2:$D$3723,4,FALSE)</f>
        <v>0.38100000000000001</v>
      </c>
      <c r="AE52">
        <f>VLOOKUP($A52&amp;AE$1,Data!$A$2:$D$3723,4,FALSE)</f>
        <v>0.22600000000000001</v>
      </c>
      <c r="AF52">
        <f>VLOOKUP($A52&amp;AF$1,Data!$A$2:$D$3723,4,FALSE)</f>
        <v>0</v>
      </c>
      <c r="AG52">
        <f>VLOOKUP($A52&amp;AG$1,Data!$A$2:$D$3723,4,FALSE)</f>
        <v>5100000</v>
      </c>
    </row>
    <row r="53" spans="1:33" hidden="1" x14ac:dyDescent="0.35">
      <c r="A53" s="13">
        <f t="shared" si="3"/>
        <v>52</v>
      </c>
      <c r="B53" t="s">
        <v>5</v>
      </c>
      <c r="C53" t="s">
        <v>22</v>
      </c>
      <c r="D53">
        <v>100</v>
      </c>
      <c r="E53" t="s">
        <v>17</v>
      </c>
      <c r="F53" s="5">
        <v>43831</v>
      </c>
      <c r="G53" s="5">
        <v>44562</v>
      </c>
      <c r="H53">
        <v>14</v>
      </c>
      <c r="I53">
        <v>9</v>
      </c>
      <c r="J53">
        <f t="shared" si="0"/>
        <v>28</v>
      </c>
      <c r="K53">
        <f t="shared" si="1"/>
        <v>72</v>
      </c>
      <c r="L53">
        <v>1000000</v>
      </c>
      <c r="M53">
        <f>VLOOKUP($A53&amp;M$1,Data!$A$2:$D$3723,4,FALSE)</f>
        <v>7.9399999999999991E-3</v>
      </c>
      <c r="N53">
        <f>VLOOKUP($A53&amp;N$1,Data!$A$2:$D$3723,4,FALSE)</f>
        <v>-1.3</v>
      </c>
      <c r="O53">
        <f>VLOOKUP($A53&amp;O$1,Data!$A$2:$D$3723,4,FALSE)</f>
        <v>241</v>
      </c>
      <c r="P53">
        <f>VLOOKUP($A53&amp;P$1,Data!$A$2:$D$3723,4,FALSE)</f>
        <v>2.2000000000000001E-3</v>
      </c>
      <c r="Q53">
        <f>VLOOKUP($A53&amp;Q$1,Data!$A$2:$D$3723,4,FALSE)</f>
        <v>-2.5000000000000001E-3</v>
      </c>
      <c r="R53">
        <f>VLOOKUP($A53&amp;R$1,Data!$A$2:$D$3723,4,FALSE)</f>
        <v>-2.4E-2</v>
      </c>
      <c r="S53">
        <f>VLOOKUP($A53&amp;S$1,Data!$A$2:$D$3723,4,FALSE)</f>
        <v>1.9E-2</v>
      </c>
      <c r="T53">
        <f>VLOOKUP($A53&amp;T$1,Data!$A$2:$D$3723,4,FALSE)</f>
        <v>-0.76500000000000001</v>
      </c>
      <c r="U53">
        <f>VLOOKUP($A53&amp;U$1,Data!$A$2:$D$3723,4,FALSE)</f>
        <v>-1.5509999999999999E-2</v>
      </c>
      <c r="V53">
        <f>VLOOKUP($A53&amp;V$1,Data!$A$2:$D$3723,4,FALSE)</f>
        <v>0.88</v>
      </c>
      <c r="W53">
        <f>VLOOKUP($A53&amp;W$1,Data!$A$2:$D$3723,4,FALSE)</f>
        <v>0.12</v>
      </c>
      <c r="X53">
        <f>VLOOKUP($A53&amp;X$1,Data!$A$2:$D$3723,4,FALSE)</f>
        <v>0.88</v>
      </c>
      <c r="Y53">
        <f>VLOOKUP($A53&amp;Y$1,Data!$A$2:$D$3723,4,FALSE)</f>
        <v>-2.1999999999999999E-2</v>
      </c>
      <c r="Z53">
        <f>VLOOKUP($A53&amp;Z$1,Data!$A$2:$D$3723,4,FALSE)</f>
        <v>8.2000000000000003E-2</v>
      </c>
      <c r="AA53">
        <f>VLOOKUP($A53&amp;AA$1,Data!$A$2:$D$3723,4,FALSE)</f>
        <v>1.2999999999999999E-2</v>
      </c>
      <c r="AB53">
        <f>VLOOKUP($A53&amp;AB$1,Data!$A$2:$D$3723,4,FALSE)</f>
        <v>0</v>
      </c>
      <c r="AC53">
        <f>VLOOKUP($A53&amp;AC$1,Data!$A$2:$D$3723,4,FALSE)</f>
        <v>-1.29</v>
      </c>
      <c r="AD53">
        <f>VLOOKUP($A53&amp;AD$1,Data!$A$2:$D$3723,4,FALSE)</f>
        <v>6.2E-2</v>
      </c>
      <c r="AE53">
        <f>VLOOKUP($A53&amp;AE$1,Data!$A$2:$D$3723,4,FALSE)</f>
        <v>-0.20300000000000001</v>
      </c>
      <c r="AF53">
        <f>VLOOKUP($A53&amp;AF$1,Data!$A$2:$D$3723,4,FALSE)</f>
        <v>0</v>
      </c>
      <c r="AG53">
        <f>VLOOKUP($A53&amp;AG$1,Data!$A$2:$D$3723,4,FALSE)</f>
        <v>45000000000</v>
      </c>
    </row>
    <row r="54" spans="1:33" hidden="1" x14ac:dyDescent="0.35">
      <c r="A54" s="13">
        <f t="shared" si="3"/>
        <v>53</v>
      </c>
      <c r="B54" t="s">
        <v>5</v>
      </c>
      <c r="C54" t="s">
        <v>22</v>
      </c>
      <c r="D54">
        <v>1000</v>
      </c>
      <c r="E54" t="s">
        <v>17</v>
      </c>
      <c r="F54" s="5">
        <v>43831</v>
      </c>
      <c r="G54" s="5">
        <v>44562</v>
      </c>
      <c r="H54">
        <v>14</v>
      </c>
      <c r="I54">
        <v>9</v>
      </c>
      <c r="J54">
        <f t="shared" si="0"/>
        <v>28</v>
      </c>
      <c r="K54">
        <f t="shared" si="1"/>
        <v>72</v>
      </c>
      <c r="L54">
        <v>1000000</v>
      </c>
      <c r="M54">
        <f>VLOOKUP($A54&amp;M$1,Data!$A$2:$D$3723,4,FALSE)</f>
        <v>9.8899999999999995E-3</v>
      </c>
      <c r="N54">
        <f>VLOOKUP($A54&amp;N$1,Data!$A$2:$D$3723,4,FALSE)</f>
        <v>-1.157</v>
      </c>
      <c r="O54">
        <f>VLOOKUP($A54&amp;O$1,Data!$A$2:$D$3723,4,FALSE)</f>
        <v>241</v>
      </c>
      <c r="P54">
        <f>VLOOKUP($A54&amp;P$1,Data!$A$2:$D$3723,4,FALSE)</f>
        <v>2.5700000000000001E-2</v>
      </c>
      <c r="Q54">
        <f>VLOOKUP($A54&amp;Q$1,Data!$A$2:$D$3723,4,FALSE)</f>
        <v>-2.7099999999999999E-2</v>
      </c>
      <c r="R54">
        <f>VLOOKUP($A54&amp;R$1,Data!$A$2:$D$3723,4,FALSE)</f>
        <v>-0.23042000000000001</v>
      </c>
      <c r="S54">
        <f>VLOOKUP($A54&amp;S$1,Data!$A$2:$D$3723,4,FALSE)</f>
        <v>0.18099999999999999</v>
      </c>
      <c r="T54">
        <f>VLOOKUP($A54&amp;T$1,Data!$A$2:$D$3723,4,FALSE)</f>
        <v>-0.75700000000000001</v>
      </c>
      <c r="U54">
        <f>VLOOKUP($A54&amp;U$1,Data!$A$2:$D$3723,4,FALSE)</f>
        <v>-0.15515000000000001</v>
      </c>
      <c r="V54">
        <f>VLOOKUP($A54&amp;V$1,Data!$A$2:$D$3723,4,FALSE)</f>
        <v>0.88</v>
      </c>
      <c r="W54">
        <f>VLOOKUP($A54&amp;W$1,Data!$A$2:$D$3723,4,FALSE)</f>
        <v>0.12</v>
      </c>
      <c r="X54">
        <f>VLOOKUP($A54&amp;X$1,Data!$A$2:$D$3723,4,FALSE)</f>
        <v>0.95</v>
      </c>
      <c r="Y54">
        <f>VLOOKUP($A54&amp;Y$1,Data!$A$2:$D$3723,4,FALSE)</f>
        <v>-0.215</v>
      </c>
      <c r="Z54">
        <f>VLOOKUP($A54&amp;Z$1,Data!$A$2:$D$3723,4,FALSE)</f>
        <v>0.88500000000000001</v>
      </c>
      <c r="AA54">
        <f>VLOOKUP($A54&amp;AA$1,Data!$A$2:$D$3723,4,FALSE)</f>
        <v>0.13700000000000001</v>
      </c>
      <c r="AB54">
        <f>VLOOKUP($A54&amp;AB$1,Data!$A$2:$D$3723,4,FALSE)</f>
        <v>1.9E-2</v>
      </c>
      <c r="AC54">
        <f>VLOOKUP($A54&amp;AC$1,Data!$A$2:$D$3723,4,FALSE)</f>
        <v>-1.8</v>
      </c>
      <c r="AD54">
        <f>VLOOKUP($A54&amp;AD$1,Data!$A$2:$D$3723,4,FALSE)</f>
        <v>0.123</v>
      </c>
      <c r="AE54">
        <f>VLOOKUP($A54&amp;AE$1,Data!$A$2:$D$3723,4,FALSE)</f>
        <v>-0.17899999999999999</v>
      </c>
      <c r="AF54">
        <f>VLOOKUP($A54&amp;AF$1,Data!$A$2:$D$3723,4,FALSE)</f>
        <v>0</v>
      </c>
      <c r="AG54">
        <f>VLOOKUP($A54&amp;AG$1,Data!$A$2:$D$3723,4,FALSE)</f>
        <v>3800000000</v>
      </c>
    </row>
    <row r="55" spans="1:33" hidden="1" x14ac:dyDescent="0.35">
      <c r="A55" s="13">
        <f t="shared" si="3"/>
        <v>54</v>
      </c>
      <c r="B55" t="s">
        <v>5</v>
      </c>
      <c r="C55" t="s">
        <v>22</v>
      </c>
      <c r="D55">
        <v>5000</v>
      </c>
      <c r="E55" t="s">
        <v>17</v>
      </c>
      <c r="F55" s="5">
        <v>43831</v>
      </c>
      <c r="G55" s="5">
        <v>44562</v>
      </c>
      <c r="H55">
        <v>14</v>
      </c>
      <c r="I55">
        <v>9</v>
      </c>
      <c r="J55">
        <f t="shared" si="0"/>
        <v>28</v>
      </c>
      <c r="K55">
        <f t="shared" si="1"/>
        <v>72</v>
      </c>
      <c r="L55">
        <v>1000000</v>
      </c>
      <c r="M55">
        <f>VLOOKUP($A55&amp;M$1,Data!$A$2:$D$3723,4,FALSE)</f>
        <v>6.241E-2</v>
      </c>
      <c r="N55">
        <f>VLOOKUP($A55&amp;N$1,Data!$A$2:$D$3723,4,FALSE)</f>
        <v>-0.433</v>
      </c>
      <c r="O55">
        <f>VLOOKUP($A55&amp;O$1,Data!$A$2:$D$3723,4,FALSE)</f>
        <v>238</v>
      </c>
      <c r="P55">
        <f>VLOOKUP($A55&amp;P$1,Data!$A$2:$D$3723,4,FALSE)</f>
        <v>0.29680000000000001</v>
      </c>
      <c r="Q55">
        <f>VLOOKUP($A55&amp;Q$1,Data!$A$2:$D$3723,4,FALSE)</f>
        <v>-0.1416</v>
      </c>
      <c r="R55">
        <f>VLOOKUP($A55&amp;R$1,Data!$A$2:$D$3723,4,FALSE)</f>
        <v>-0.84867999999999999</v>
      </c>
      <c r="S55">
        <f>VLOOKUP($A55&amp;S$1,Data!$A$2:$D$3723,4,FALSE)</f>
        <v>0.75</v>
      </c>
      <c r="T55">
        <f>VLOOKUP($A55&amp;T$1,Data!$A$2:$D$3723,4,FALSE)</f>
        <v>-0.69</v>
      </c>
      <c r="U55">
        <f>VLOOKUP($A55&amp;U$1,Data!$A$2:$D$3723,4,FALSE)</f>
        <v>-0.70499000000000001</v>
      </c>
      <c r="V55">
        <f>VLOOKUP($A55&amp;V$1,Data!$A$2:$D$3723,4,FALSE)</f>
        <v>0.9</v>
      </c>
      <c r="W55">
        <f>VLOOKUP($A55&amp;W$1,Data!$A$2:$D$3723,4,FALSE)</f>
        <v>0.1</v>
      </c>
      <c r="X55">
        <f>VLOOKUP($A55&amp;X$1,Data!$A$2:$D$3723,4,FALSE)</f>
        <v>2.1</v>
      </c>
      <c r="Y55">
        <f>VLOOKUP($A55&amp;Y$1,Data!$A$2:$D$3723,4,FALSE)</f>
        <v>-0.94299999999999995</v>
      </c>
      <c r="Z55">
        <f>VLOOKUP($A55&amp;Z$1,Data!$A$2:$D$3723,4,FALSE)</f>
        <v>7.2210000000000001</v>
      </c>
      <c r="AA55">
        <f>VLOOKUP($A55&amp;AA$1,Data!$A$2:$D$3723,4,FALSE)</f>
        <v>1.115</v>
      </c>
      <c r="AB55">
        <f>VLOOKUP($A55&amp;AB$1,Data!$A$2:$D$3723,4,FALSE)</f>
        <v>1.2430000000000001</v>
      </c>
      <c r="AC55">
        <f>VLOOKUP($A55&amp;AC$1,Data!$A$2:$D$3723,4,FALSE)</f>
        <v>-0.503</v>
      </c>
      <c r="AD55">
        <f>VLOOKUP($A55&amp;AD$1,Data!$A$2:$D$3723,4,FALSE)</f>
        <v>1.0880000000000001</v>
      </c>
      <c r="AE55">
        <f>VLOOKUP($A55&amp;AE$1,Data!$A$2:$D$3723,4,FALSE)</f>
        <v>-6.7000000000000004E-2</v>
      </c>
      <c r="AF55">
        <f>VLOOKUP($A55&amp;AF$1,Data!$A$2:$D$3723,4,FALSE)</f>
        <v>0</v>
      </c>
      <c r="AG55">
        <f>VLOOKUP($A55&amp;AG$1,Data!$A$2:$D$3723,4,FALSE)</f>
        <v>250000000</v>
      </c>
    </row>
    <row r="56" spans="1:33" hidden="1" x14ac:dyDescent="0.35">
      <c r="A56" s="13">
        <f>A55+1</f>
        <v>55</v>
      </c>
      <c r="B56" t="s">
        <v>6</v>
      </c>
      <c r="C56" t="s">
        <v>3</v>
      </c>
      <c r="D56">
        <v>100</v>
      </c>
      <c r="E56" t="s">
        <v>17</v>
      </c>
      <c r="F56" s="5">
        <v>43831</v>
      </c>
      <c r="G56" s="5">
        <v>44562</v>
      </c>
      <c r="H56">
        <v>14</v>
      </c>
      <c r="I56">
        <v>9</v>
      </c>
      <c r="J56">
        <f t="shared" si="0"/>
        <v>30</v>
      </c>
      <c r="K56">
        <f t="shared" si="1"/>
        <v>70</v>
      </c>
      <c r="L56">
        <v>1000000</v>
      </c>
      <c r="M56">
        <f>VLOOKUP($A56&amp;M$1,Data!$A$2:$D$3723,4,FALSE)</f>
        <v>0.60584000000000005</v>
      </c>
      <c r="N56">
        <f>VLOOKUP($A56&amp;N$1,Data!$A$2:$D$3723,4,FALSE)</f>
        <v>1.9770000000000001</v>
      </c>
      <c r="O56">
        <f>VLOOKUP($A56&amp;O$1,Data!$A$2:$D$3723,4,FALSE)</f>
        <v>896</v>
      </c>
      <c r="P56">
        <f>VLOOKUP($A56&amp;P$1,Data!$A$2:$D$3723,4,FALSE)</f>
        <v>0.1022</v>
      </c>
      <c r="Q56">
        <f>VLOOKUP($A56&amp;Q$1,Data!$A$2:$D$3723,4,FALSE)</f>
        <v>-5.6300000000000003E-2</v>
      </c>
      <c r="R56">
        <f>VLOOKUP($A56&amp;R$1,Data!$A$2:$D$3723,4,FALSE)</f>
        <v>1.4669099999999999</v>
      </c>
      <c r="S56">
        <f>VLOOKUP($A56&amp;S$1,Data!$A$2:$D$3723,4,FALSE)</f>
        <v>0.34899999999999998</v>
      </c>
      <c r="T56">
        <f>VLOOKUP($A56&amp;T$1,Data!$A$2:$D$3723,4,FALSE)</f>
        <v>0.45700000000000002</v>
      </c>
      <c r="U56">
        <f>VLOOKUP($A56&amp;U$1,Data!$A$2:$D$3723,4,FALSE)</f>
        <v>0.79271999999999998</v>
      </c>
      <c r="V56">
        <f>VLOOKUP($A56&amp;V$1,Data!$A$2:$D$3723,4,FALSE)</f>
        <v>0.48</v>
      </c>
      <c r="W56">
        <f>VLOOKUP($A56&amp;W$1,Data!$A$2:$D$3723,4,FALSE)</f>
        <v>0.52</v>
      </c>
      <c r="X56">
        <f>VLOOKUP($A56&amp;X$1,Data!$A$2:$D$3723,4,FALSE)</f>
        <v>1.82</v>
      </c>
      <c r="Y56">
        <f>VLOOKUP($A56&amp;Y$1,Data!$A$2:$D$3723,4,FALSE)</f>
        <v>1.3029999999999999</v>
      </c>
      <c r="Z56">
        <f>VLOOKUP($A56&amp;Z$1,Data!$A$2:$D$3723,4,FALSE)</f>
        <v>0.13</v>
      </c>
      <c r="AA56">
        <f>VLOOKUP($A56&amp;AA$1,Data!$A$2:$D$3723,4,FALSE)</f>
        <v>0.66300000000000003</v>
      </c>
      <c r="AB56">
        <f>VLOOKUP($A56&amp;AB$1,Data!$A$2:$D$3723,4,FALSE)</f>
        <v>0.44</v>
      </c>
      <c r="AC56">
        <f>VLOOKUP($A56&amp;AC$1,Data!$A$2:$D$3723,4,FALSE)</f>
        <v>1.8740000000000001</v>
      </c>
      <c r="AD56">
        <f>VLOOKUP($A56&amp;AD$1,Data!$A$2:$D$3723,4,FALSE)</f>
        <v>0.66600000000000004</v>
      </c>
      <c r="AE56">
        <f>VLOOKUP($A56&amp;AE$1,Data!$A$2:$D$3723,4,FALSE)</f>
        <v>10.096</v>
      </c>
      <c r="AF56">
        <f>VLOOKUP($A56&amp;AF$1,Data!$A$2:$D$3723,4,FALSE)</f>
        <v>0</v>
      </c>
      <c r="AG56">
        <f>VLOOKUP($A56&amp;AG$1,Data!$A$2:$D$3723,4,FALSE)</f>
        <v>4500000</v>
      </c>
    </row>
    <row r="57" spans="1:33" hidden="1" x14ac:dyDescent="0.35">
      <c r="A57" s="13">
        <f t="shared" ref="A57:A82" si="4">A56+1</f>
        <v>56</v>
      </c>
      <c r="B57" t="s">
        <v>6</v>
      </c>
      <c r="C57" t="s">
        <v>3</v>
      </c>
      <c r="D57">
        <v>1000</v>
      </c>
      <c r="E57" t="s">
        <v>17</v>
      </c>
      <c r="F57" s="5">
        <v>43831</v>
      </c>
      <c r="G57" s="5">
        <v>44562</v>
      </c>
      <c r="H57">
        <v>14</v>
      </c>
      <c r="I57">
        <v>9</v>
      </c>
      <c r="J57">
        <f t="shared" si="0"/>
        <v>30</v>
      </c>
      <c r="K57">
        <f t="shared" si="1"/>
        <v>70</v>
      </c>
      <c r="L57">
        <v>1000000</v>
      </c>
      <c r="M57">
        <f>VLOOKUP($A57&amp;M$1,Data!$A$2:$D$3723,4,FALSE)</f>
        <v>0.53564000000000001</v>
      </c>
      <c r="N57">
        <f>VLOOKUP($A57&amp;N$1,Data!$A$2:$D$3723,4,FALSE)</f>
        <v>1.1859999999999999</v>
      </c>
      <c r="O57">
        <f>VLOOKUP($A57&amp;O$1,Data!$A$2:$D$3723,4,FALSE)</f>
        <v>896</v>
      </c>
      <c r="P57">
        <f>VLOOKUP($A57&amp;P$1,Data!$A$2:$D$3723,4,FALSE)</f>
        <v>2.46E-2</v>
      </c>
      <c r="Q57">
        <f>VLOOKUP($A57&amp;Q$1,Data!$A$2:$D$3723,4,FALSE)</f>
        <v>-1.4999999999999999E-2</v>
      </c>
      <c r="R57">
        <f>VLOOKUP($A57&amp;R$1,Data!$A$2:$D$3723,4,FALSE)</f>
        <v>0.25563999999999998</v>
      </c>
      <c r="S57">
        <f>VLOOKUP($A57&amp;S$1,Data!$A$2:$D$3723,4,FALSE)</f>
        <v>7.1999999999999995E-2</v>
      </c>
      <c r="T57">
        <f>VLOOKUP($A57&amp;T$1,Data!$A$2:$D$3723,4,FALSE)</f>
        <v>0.36599999999999999</v>
      </c>
      <c r="U57">
        <f>VLOOKUP($A57&amp;U$1,Data!$A$2:$D$3723,4,FALSE)</f>
        <v>0.15853999999999999</v>
      </c>
      <c r="V57">
        <f>VLOOKUP($A57&amp;V$1,Data!$A$2:$D$3723,4,FALSE)</f>
        <v>0.48</v>
      </c>
      <c r="W57">
        <f>VLOOKUP($A57&amp;W$1,Data!$A$2:$D$3723,4,FALSE)</f>
        <v>0.52</v>
      </c>
      <c r="X57">
        <f>VLOOKUP($A57&amp;X$1,Data!$A$2:$D$3723,4,FALSE)</f>
        <v>1.64</v>
      </c>
      <c r="Y57">
        <f>VLOOKUP($A57&amp;Y$1,Data!$A$2:$D$3723,4,FALSE)</f>
        <v>0.183</v>
      </c>
      <c r="Z57">
        <f>VLOOKUP($A57&amp;Z$1,Data!$A$2:$D$3723,4,FALSE)</f>
        <v>3.2000000000000001E-2</v>
      </c>
      <c r="AA57">
        <f>VLOOKUP($A57&amp;AA$1,Data!$A$2:$D$3723,4,FALSE)</f>
        <v>0.156</v>
      </c>
      <c r="AB57">
        <f>VLOOKUP($A57&amp;AB$1,Data!$A$2:$D$3723,4,FALSE)</f>
        <v>2.4E-2</v>
      </c>
      <c r="AC57">
        <f>VLOOKUP($A57&amp;AC$1,Data!$A$2:$D$3723,4,FALSE)</f>
        <v>0.71799999999999997</v>
      </c>
      <c r="AD57">
        <f>VLOOKUP($A57&amp;AD$1,Data!$A$2:$D$3723,4,FALSE)</f>
        <v>0.16900000000000001</v>
      </c>
      <c r="AE57">
        <f>VLOOKUP($A57&amp;AE$1,Data!$A$2:$D$3723,4,FALSE)</f>
        <v>5.8689999999999998</v>
      </c>
      <c r="AF57">
        <f>VLOOKUP($A57&amp;AF$1,Data!$A$2:$D$3723,4,FALSE)</f>
        <v>0</v>
      </c>
      <c r="AG57">
        <f>VLOOKUP($A57&amp;AG$1,Data!$A$2:$D$3723,4,FALSE)</f>
        <v>10000000</v>
      </c>
    </row>
    <row r="58" spans="1:33" hidden="1" x14ac:dyDescent="0.35">
      <c r="A58" s="13">
        <f t="shared" si="4"/>
        <v>57</v>
      </c>
      <c r="B58" t="s">
        <v>6</v>
      </c>
      <c r="C58" t="s">
        <v>3</v>
      </c>
      <c r="D58">
        <v>5000</v>
      </c>
      <c r="E58" t="s">
        <v>17</v>
      </c>
      <c r="F58" s="5">
        <v>43831</v>
      </c>
      <c r="G58" s="5">
        <v>44562</v>
      </c>
      <c r="H58">
        <v>14</v>
      </c>
      <c r="I58">
        <v>9</v>
      </c>
      <c r="J58">
        <f t="shared" si="0"/>
        <v>30</v>
      </c>
      <c r="K58">
        <f t="shared" si="1"/>
        <v>70</v>
      </c>
      <c r="L58">
        <v>1000000</v>
      </c>
      <c r="M58">
        <f>VLOOKUP($A58&amp;M$1,Data!$A$2:$D$3723,4,FALSE)</f>
        <v>0.60584000000000005</v>
      </c>
      <c r="N58">
        <f>VLOOKUP($A58&amp;N$1,Data!$A$2:$D$3723,4,FALSE)</f>
        <v>1.9770000000000001</v>
      </c>
      <c r="O58">
        <f>VLOOKUP($A58&amp;O$1,Data!$A$2:$D$3723,4,FALSE)</f>
        <v>896</v>
      </c>
      <c r="P58">
        <f>VLOOKUP($A58&amp;P$1,Data!$A$2:$D$3723,4,FALSE)</f>
        <v>0.1022</v>
      </c>
      <c r="Q58">
        <f>VLOOKUP($A58&amp;Q$1,Data!$A$2:$D$3723,4,FALSE)</f>
        <v>-5.6300000000000003E-2</v>
      </c>
      <c r="R58">
        <f>VLOOKUP($A58&amp;R$1,Data!$A$2:$D$3723,4,FALSE)</f>
        <v>1.4669099999999999</v>
      </c>
      <c r="S58">
        <f>VLOOKUP($A58&amp;S$1,Data!$A$2:$D$3723,4,FALSE)</f>
        <v>0.34899999999999998</v>
      </c>
      <c r="T58">
        <f>VLOOKUP($A58&amp;T$1,Data!$A$2:$D$3723,4,FALSE)</f>
        <v>0.45700000000000002</v>
      </c>
      <c r="U58">
        <f>VLOOKUP($A58&amp;U$1,Data!$A$2:$D$3723,4,FALSE)</f>
        <v>0.79271999999999998</v>
      </c>
      <c r="V58">
        <f>VLOOKUP($A58&amp;V$1,Data!$A$2:$D$3723,4,FALSE)</f>
        <v>0.48</v>
      </c>
      <c r="W58">
        <f>VLOOKUP($A58&amp;W$1,Data!$A$2:$D$3723,4,FALSE)</f>
        <v>0.52</v>
      </c>
      <c r="X58">
        <f>VLOOKUP($A58&amp;X$1,Data!$A$2:$D$3723,4,FALSE)</f>
        <v>1.82</v>
      </c>
      <c r="Y58">
        <f>VLOOKUP($A58&amp;Y$1,Data!$A$2:$D$3723,4,FALSE)</f>
        <v>1.3029999999999999</v>
      </c>
      <c r="Z58">
        <f>VLOOKUP($A58&amp;Z$1,Data!$A$2:$D$3723,4,FALSE)</f>
        <v>0.13</v>
      </c>
      <c r="AA58">
        <f>VLOOKUP($A58&amp;AA$1,Data!$A$2:$D$3723,4,FALSE)</f>
        <v>0.66300000000000003</v>
      </c>
      <c r="AB58">
        <f>VLOOKUP($A58&amp;AB$1,Data!$A$2:$D$3723,4,FALSE)</f>
        <v>0.44</v>
      </c>
      <c r="AC58">
        <f>VLOOKUP($A58&amp;AC$1,Data!$A$2:$D$3723,4,FALSE)</f>
        <v>1.8740000000000001</v>
      </c>
      <c r="AD58">
        <f>VLOOKUP($A58&amp;AD$1,Data!$A$2:$D$3723,4,FALSE)</f>
        <v>0.66600000000000004</v>
      </c>
      <c r="AE58">
        <f>VLOOKUP($A58&amp;AE$1,Data!$A$2:$D$3723,4,FALSE)</f>
        <v>10.096</v>
      </c>
      <c r="AF58">
        <f>VLOOKUP($A58&amp;AF$1,Data!$A$2:$D$3723,4,FALSE)</f>
        <v>0</v>
      </c>
      <c r="AG58">
        <f>VLOOKUP($A58&amp;AG$1,Data!$A$2:$D$3723,4,FALSE)</f>
        <v>4500000</v>
      </c>
    </row>
    <row r="59" spans="1:33" x14ac:dyDescent="0.35">
      <c r="A59" s="13">
        <f t="shared" si="4"/>
        <v>58</v>
      </c>
      <c r="B59" t="s">
        <v>6</v>
      </c>
      <c r="C59" t="s">
        <v>2</v>
      </c>
      <c r="D59">
        <v>100</v>
      </c>
      <c r="E59" t="s">
        <v>17</v>
      </c>
      <c r="F59" s="5">
        <v>43831</v>
      </c>
      <c r="G59" s="5">
        <v>44562</v>
      </c>
      <c r="H59">
        <v>14</v>
      </c>
      <c r="I59">
        <v>9</v>
      </c>
      <c r="J59">
        <f t="shared" si="0"/>
        <v>30</v>
      </c>
      <c r="K59">
        <f t="shared" si="1"/>
        <v>70</v>
      </c>
      <c r="L59">
        <v>1000000</v>
      </c>
      <c r="M59">
        <f>VLOOKUP($A59&amp;M$1,Data!$A$2:$D$3723,4,FALSE)</f>
        <v>0.85036999999999996</v>
      </c>
      <c r="N59">
        <f>VLOOKUP($A59&amp;N$1,Data!$A$2:$D$3723,4,FALSE)</f>
        <v>1.9279999999999999</v>
      </c>
      <c r="O59">
        <f>VLOOKUP($A59&amp;O$1,Data!$A$2:$D$3723,4,FALSE)</f>
        <v>504</v>
      </c>
      <c r="P59">
        <f>VLOOKUP($A59&amp;P$1,Data!$A$2:$D$3723,4,FALSE)</f>
        <v>2.8999999999999998E-3</v>
      </c>
      <c r="Q59">
        <f>VLOOKUP($A59&amp;Q$1,Data!$A$2:$D$3723,4,FALSE)</f>
        <v>-1.1000000000000001E-3</v>
      </c>
      <c r="R59">
        <f>VLOOKUP($A59&amp;R$1,Data!$A$2:$D$3723,4,FALSE)</f>
        <v>3.2989999999999998E-2</v>
      </c>
      <c r="S59">
        <f>VLOOKUP($A59&amp;S$1,Data!$A$2:$D$3723,4,FALSE)</f>
        <v>7.0000000000000001E-3</v>
      </c>
      <c r="T59">
        <f>VLOOKUP($A59&amp;T$1,Data!$A$2:$D$3723,4,FALSE)</f>
        <v>1.222</v>
      </c>
      <c r="U59">
        <f>VLOOKUP($A59&amp;U$1,Data!$A$2:$D$3723,4,FALSE)</f>
        <v>2.12E-2</v>
      </c>
      <c r="V59">
        <f>VLOOKUP($A59&amp;V$1,Data!$A$2:$D$3723,4,FALSE)</f>
        <v>0.38</v>
      </c>
      <c r="W59">
        <f>VLOOKUP($A59&amp;W$1,Data!$A$2:$D$3723,4,FALSE)</f>
        <v>0.62</v>
      </c>
      <c r="X59">
        <f>VLOOKUP($A59&amp;X$1,Data!$A$2:$D$3723,4,FALSE)</f>
        <v>2.5499999999999998</v>
      </c>
      <c r="Y59">
        <f>VLOOKUP($A59&amp;Y$1,Data!$A$2:$D$3723,4,FALSE)</f>
        <v>2.1999999999999999E-2</v>
      </c>
      <c r="Z59">
        <f>VLOOKUP($A59&amp;Z$1,Data!$A$2:$D$3723,4,FALSE)</f>
        <v>7.0000000000000001E-3</v>
      </c>
      <c r="AA59">
        <f>VLOOKUP($A59&amp;AA$1,Data!$A$2:$D$3723,4,FALSE)</f>
        <v>1.2E-2</v>
      </c>
      <c r="AB59">
        <f>VLOOKUP($A59&amp;AB$1,Data!$A$2:$D$3723,4,FALSE)</f>
        <v>0</v>
      </c>
      <c r="AC59">
        <f>VLOOKUP($A59&amp;AC$1,Data!$A$2:$D$3723,4,FALSE)</f>
        <v>-0.60699999999999998</v>
      </c>
      <c r="AD59">
        <f>VLOOKUP($A59&amp;AD$1,Data!$A$2:$D$3723,4,FALSE)</f>
        <v>6.7000000000000004E-2</v>
      </c>
      <c r="AE59">
        <f>VLOOKUP($A59&amp;AE$1,Data!$A$2:$D$3723,4,FALSE)</f>
        <v>3.3090000000000002</v>
      </c>
      <c r="AF59">
        <f>VLOOKUP($A59&amp;AF$1,Data!$A$2:$D$3723,4,FALSE)</f>
        <v>0</v>
      </c>
      <c r="AG59">
        <f>VLOOKUP($A59&amp;AG$1,Data!$A$2:$D$3723,4,FALSE)</f>
        <v>54000000</v>
      </c>
    </row>
    <row r="60" spans="1:33" x14ac:dyDescent="0.35">
      <c r="A60" s="13">
        <f t="shared" si="4"/>
        <v>59</v>
      </c>
      <c r="B60" t="s">
        <v>6</v>
      </c>
      <c r="C60" t="s">
        <v>2</v>
      </c>
      <c r="D60">
        <v>1000</v>
      </c>
      <c r="E60" t="s">
        <v>17</v>
      </c>
      <c r="F60" s="5">
        <v>43831</v>
      </c>
      <c r="G60" s="5">
        <v>44562</v>
      </c>
      <c r="H60">
        <v>14</v>
      </c>
      <c r="I60">
        <v>9</v>
      </c>
      <c r="J60">
        <f t="shared" si="0"/>
        <v>30</v>
      </c>
      <c r="K60">
        <f t="shared" si="1"/>
        <v>70</v>
      </c>
      <c r="L60">
        <v>1000000</v>
      </c>
      <c r="M60">
        <f>VLOOKUP($A60&amp;M$1,Data!$A$2:$D$3723,4,FALSE)</f>
        <v>0.86380000000000001</v>
      </c>
      <c r="N60">
        <f>VLOOKUP($A60&amp;N$1,Data!$A$2:$D$3723,4,FALSE)</f>
        <v>2.17</v>
      </c>
      <c r="O60">
        <f>VLOOKUP($A60&amp;O$1,Data!$A$2:$D$3723,4,FALSE)</f>
        <v>504</v>
      </c>
      <c r="P60">
        <f>VLOOKUP($A60&amp;P$1,Data!$A$2:$D$3723,4,FALSE)</f>
        <v>2.6599999999999999E-2</v>
      </c>
      <c r="Q60">
        <f>VLOOKUP($A60&amp;Q$1,Data!$A$2:$D$3723,4,FALSE)</f>
        <v>-0.01</v>
      </c>
      <c r="R60">
        <f>VLOOKUP($A60&amp;R$1,Data!$A$2:$D$3723,4,FALSE)</f>
        <v>0.34642000000000001</v>
      </c>
      <c r="S60">
        <f>VLOOKUP($A60&amp;S$1,Data!$A$2:$D$3723,4,FALSE)</f>
        <v>0.06</v>
      </c>
      <c r="T60">
        <f>VLOOKUP($A60&amp;T$1,Data!$A$2:$D$3723,4,FALSE)</f>
        <v>1.284</v>
      </c>
      <c r="U60">
        <f>VLOOKUP($A60&amp;U$1,Data!$A$2:$D$3723,4,FALSE)</f>
        <v>0.21201999999999999</v>
      </c>
      <c r="V60">
        <f>VLOOKUP($A60&amp;V$1,Data!$A$2:$D$3723,4,FALSE)</f>
        <v>0.38</v>
      </c>
      <c r="W60">
        <f>VLOOKUP($A60&amp;W$1,Data!$A$2:$D$3723,4,FALSE)</f>
        <v>0.62</v>
      </c>
      <c r="X60">
        <f>VLOOKUP($A60&amp;X$1,Data!$A$2:$D$3723,4,FALSE)</f>
        <v>2.65</v>
      </c>
      <c r="Y60">
        <f>VLOOKUP($A60&amp;Y$1,Data!$A$2:$D$3723,4,FALSE)</f>
        <v>0.23200000000000001</v>
      </c>
      <c r="Z60">
        <f>VLOOKUP($A60&amp;Z$1,Data!$A$2:$D$3723,4,FALSE)</f>
        <v>6.2E-2</v>
      </c>
      <c r="AA60">
        <f>VLOOKUP($A60&amp;AA$1,Data!$A$2:$D$3723,4,FALSE)</f>
        <v>0.109</v>
      </c>
      <c r="AB60">
        <f>VLOOKUP($A60&amp;AB$1,Data!$A$2:$D$3723,4,FALSE)</f>
        <v>1.2E-2</v>
      </c>
      <c r="AC60">
        <f>VLOOKUP($A60&amp;AC$1,Data!$A$2:$D$3723,4,FALSE)</f>
        <v>1.375</v>
      </c>
      <c r="AD60">
        <f>VLOOKUP($A60&amp;AD$1,Data!$A$2:$D$3723,4,FALSE)</f>
        <v>0.125</v>
      </c>
      <c r="AE60">
        <f>VLOOKUP($A60&amp;AE$1,Data!$A$2:$D$3723,4,FALSE)</f>
        <v>3.7850000000000001</v>
      </c>
      <c r="AF60">
        <f>VLOOKUP($A60&amp;AF$1,Data!$A$2:$D$3723,4,FALSE)</f>
        <v>0</v>
      </c>
      <c r="AG60">
        <f>VLOOKUP($A60&amp;AG$1,Data!$A$2:$D$3723,4,FALSE)</f>
        <v>9000000</v>
      </c>
    </row>
    <row r="61" spans="1:33" x14ac:dyDescent="0.35">
      <c r="A61" s="13">
        <f t="shared" si="4"/>
        <v>60</v>
      </c>
      <c r="B61" t="s">
        <v>6</v>
      </c>
      <c r="C61" t="s">
        <v>2</v>
      </c>
      <c r="D61">
        <v>5000</v>
      </c>
      <c r="E61" t="s">
        <v>17</v>
      </c>
      <c r="F61" s="5">
        <v>43831</v>
      </c>
      <c r="G61" s="5">
        <v>44562</v>
      </c>
      <c r="H61">
        <v>14</v>
      </c>
      <c r="I61">
        <v>9</v>
      </c>
      <c r="J61">
        <f t="shared" si="0"/>
        <v>30</v>
      </c>
      <c r="K61">
        <f t="shared" si="1"/>
        <v>70</v>
      </c>
      <c r="L61">
        <v>1000000</v>
      </c>
      <c r="M61">
        <f>VLOOKUP($A61&amp;M$1,Data!$A$2:$D$3723,4,FALSE)</f>
        <v>0.89739000000000002</v>
      </c>
      <c r="N61">
        <f>VLOOKUP($A61&amp;N$1,Data!$A$2:$D$3723,4,FALSE)</f>
        <v>3.26</v>
      </c>
      <c r="O61">
        <f>VLOOKUP($A61&amp;O$1,Data!$A$2:$D$3723,4,FALSE)</f>
        <v>504</v>
      </c>
      <c r="P61">
        <f>VLOOKUP($A61&amp;P$1,Data!$A$2:$D$3723,4,FALSE)</f>
        <v>0.1037</v>
      </c>
      <c r="Q61">
        <f>VLOOKUP($A61&amp;Q$1,Data!$A$2:$D$3723,4,FALSE)</f>
        <v>-3.5000000000000003E-2</v>
      </c>
      <c r="R61">
        <f>VLOOKUP($A61&amp;R$1,Data!$A$2:$D$3723,4,FALSE)</f>
        <v>2.0588199999999999</v>
      </c>
      <c r="S61">
        <f>VLOOKUP($A61&amp;S$1,Data!$A$2:$D$3723,4,FALSE)</f>
        <v>0.20799999999999999</v>
      </c>
      <c r="T61">
        <f>VLOOKUP($A61&amp;T$1,Data!$A$2:$D$3723,4,FALSE)</f>
        <v>1.4790000000000001</v>
      </c>
      <c r="U61">
        <f>VLOOKUP($A61&amp;U$1,Data!$A$2:$D$3723,4,FALSE)</f>
        <v>1.06012</v>
      </c>
      <c r="V61">
        <f>VLOOKUP($A61&amp;V$1,Data!$A$2:$D$3723,4,FALSE)</f>
        <v>0.38</v>
      </c>
      <c r="W61">
        <f>VLOOKUP($A61&amp;W$1,Data!$A$2:$D$3723,4,FALSE)</f>
        <v>0.62</v>
      </c>
      <c r="X61">
        <f>VLOOKUP($A61&amp;X$1,Data!$A$2:$D$3723,4,FALSE)</f>
        <v>2.97</v>
      </c>
      <c r="Y61">
        <f>VLOOKUP($A61&amp;Y$1,Data!$A$2:$D$3723,4,FALSE)</f>
        <v>1.339</v>
      </c>
      <c r="Z61">
        <f>VLOOKUP($A61&amp;Z$1,Data!$A$2:$D$3723,4,FALSE)</f>
        <v>0.216</v>
      </c>
      <c r="AA61">
        <f>VLOOKUP($A61&amp;AA$1,Data!$A$2:$D$3723,4,FALSE)</f>
        <v>0.41499999999999998</v>
      </c>
      <c r="AB61">
        <f>VLOOKUP($A61&amp;AB$1,Data!$A$2:$D$3723,4,FALSE)</f>
        <v>0.17199999999999999</v>
      </c>
      <c r="AC61">
        <f>VLOOKUP($A61&amp;AC$1,Data!$A$2:$D$3723,4,FALSE)</f>
        <v>3.0840000000000001</v>
      </c>
      <c r="AD61">
        <f>VLOOKUP($A61&amp;AD$1,Data!$A$2:$D$3723,4,FALSE)</f>
        <v>0.41799999999999998</v>
      </c>
      <c r="AE61">
        <f>VLOOKUP($A61&amp;AE$1,Data!$A$2:$D$3723,4,FALSE)</f>
        <v>6.2569999999999997</v>
      </c>
      <c r="AF61">
        <f>VLOOKUP($A61&amp;AF$1,Data!$A$2:$D$3723,4,FALSE)</f>
        <v>0</v>
      </c>
      <c r="AG61">
        <f>VLOOKUP($A61&amp;AG$1,Data!$A$2:$D$3723,4,FALSE)</f>
        <v>4200000</v>
      </c>
    </row>
    <row r="62" spans="1:33" hidden="1" x14ac:dyDescent="0.35">
      <c r="A62" s="13">
        <f t="shared" si="4"/>
        <v>61</v>
      </c>
      <c r="B62" t="s">
        <v>6</v>
      </c>
      <c r="C62" t="s">
        <v>22</v>
      </c>
      <c r="D62">
        <v>100</v>
      </c>
      <c r="E62" t="s">
        <v>17</v>
      </c>
      <c r="F62" s="5">
        <v>43831</v>
      </c>
      <c r="G62" s="5">
        <v>44562</v>
      </c>
      <c r="H62">
        <v>14</v>
      </c>
      <c r="I62">
        <v>9</v>
      </c>
      <c r="J62">
        <f t="shared" si="0"/>
        <v>30</v>
      </c>
      <c r="K62">
        <f t="shared" si="1"/>
        <v>70</v>
      </c>
      <c r="L62">
        <v>1000000</v>
      </c>
      <c r="M62">
        <f>VLOOKUP($A62&amp;M$1,Data!$A$2:$D$3723,4,FALSE)</f>
        <v>0.65983000000000003</v>
      </c>
      <c r="N62">
        <f>VLOOKUP($A62&amp;N$1,Data!$A$2:$D$3723,4,FALSE)</f>
        <v>1.4139999999999999</v>
      </c>
      <c r="O62">
        <f>VLOOKUP($A62&amp;O$1,Data!$A$2:$D$3723,4,FALSE)</f>
        <v>386</v>
      </c>
      <c r="P62">
        <f>VLOOKUP($A62&amp;P$1,Data!$A$2:$D$3723,4,FALSE)</f>
        <v>3.8999999999999998E-3</v>
      </c>
      <c r="Q62">
        <f>VLOOKUP($A62&amp;Q$1,Data!$A$2:$D$3723,4,FALSE)</f>
        <v>-3.0000000000000001E-3</v>
      </c>
      <c r="R62">
        <f>VLOOKUP($A62&amp;R$1,Data!$A$2:$D$3723,4,FALSE)</f>
        <v>2.8309999999999998E-2</v>
      </c>
      <c r="S62">
        <f>VLOOKUP($A62&amp;S$1,Data!$A$2:$D$3723,4,FALSE)</f>
        <v>8.0000000000000002E-3</v>
      </c>
      <c r="T62">
        <f>VLOOKUP($A62&amp;T$1,Data!$A$2:$D$3723,4,FALSE)</f>
        <v>0.51</v>
      </c>
      <c r="U62">
        <f>VLOOKUP($A62&amp;U$1,Data!$A$2:$D$3723,4,FALSE)</f>
        <v>1.821E-2</v>
      </c>
      <c r="V62">
        <f>VLOOKUP($A62&amp;V$1,Data!$A$2:$D$3723,4,FALSE)</f>
        <v>0.33</v>
      </c>
      <c r="W62">
        <f>VLOOKUP($A62&amp;W$1,Data!$A$2:$D$3723,4,FALSE)</f>
        <v>0.67</v>
      </c>
      <c r="X62">
        <f>VLOOKUP($A62&amp;X$1,Data!$A$2:$D$3723,4,FALSE)</f>
        <v>1.26</v>
      </c>
      <c r="Y62">
        <f>VLOOKUP($A62&amp;Y$1,Data!$A$2:$D$3723,4,FALSE)</f>
        <v>1.9E-2</v>
      </c>
      <c r="Z62">
        <f>VLOOKUP($A62&amp;Z$1,Data!$A$2:$D$3723,4,FALSE)</f>
        <v>4.0000000000000001E-3</v>
      </c>
      <c r="AA62">
        <f>VLOOKUP($A62&amp;AA$1,Data!$A$2:$D$3723,4,FALSE)</f>
        <v>1.4E-2</v>
      </c>
      <c r="AB62">
        <f>VLOOKUP($A62&amp;AB$1,Data!$A$2:$D$3723,4,FALSE)</f>
        <v>0</v>
      </c>
      <c r="AC62">
        <f>VLOOKUP($A62&amp;AC$1,Data!$A$2:$D$3723,4,FALSE)</f>
        <v>-0.64900000000000002</v>
      </c>
      <c r="AD62">
        <f>VLOOKUP($A62&amp;AD$1,Data!$A$2:$D$3723,4,FALSE)</f>
        <v>6.8000000000000005E-2</v>
      </c>
      <c r="AE62">
        <f>VLOOKUP($A62&amp;AE$1,Data!$A$2:$D$3723,4,FALSE)</f>
        <v>4.5309999999999997</v>
      </c>
      <c r="AF62">
        <f>VLOOKUP($A62&amp;AF$1,Data!$A$2:$D$3723,4,FALSE)</f>
        <v>0</v>
      </c>
      <c r="AG62">
        <f>VLOOKUP($A62&amp;AG$1,Data!$A$2:$D$3723,4,FALSE)</f>
        <v>21000000</v>
      </c>
    </row>
    <row r="63" spans="1:33" hidden="1" x14ac:dyDescent="0.35">
      <c r="A63" s="13">
        <f t="shared" si="4"/>
        <v>62</v>
      </c>
      <c r="B63" t="s">
        <v>6</v>
      </c>
      <c r="C63" t="s">
        <v>22</v>
      </c>
      <c r="D63">
        <v>1000</v>
      </c>
      <c r="E63" t="s">
        <v>17</v>
      </c>
      <c r="F63" s="5">
        <v>43831</v>
      </c>
      <c r="G63" s="5">
        <v>44562</v>
      </c>
      <c r="H63">
        <v>14</v>
      </c>
      <c r="I63">
        <v>9</v>
      </c>
      <c r="J63">
        <f t="shared" si="0"/>
        <v>30</v>
      </c>
      <c r="K63">
        <f t="shared" si="1"/>
        <v>70</v>
      </c>
      <c r="L63">
        <v>1000000</v>
      </c>
      <c r="M63">
        <f>VLOOKUP($A63&amp;M$1,Data!$A$2:$D$3723,4,FALSE)</f>
        <v>0.66590000000000005</v>
      </c>
      <c r="N63">
        <f>VLOOKUP($A63&amp;N$1,Data!$A$2:$D$3723,4,FALSE)</f>
        <v>1.5549999999999999</v>
      </c>
      <c r="O63">
        <f>VLOOKUP($A63&amp;O$1,Data!$A$2:$D$3723,4,FALSE)</f>
        <v>386</v>
      </c>
      <c r="P63">
        <f>VLOOKUP($A63&amp;P$1,Data!$A$2:$D$3723,4,FALSE)</f>
        <v>3.7699999999999997E-2</v>
      </c>
      <c r="Q63">
        <f>VLOOKUP($A63&amp;Q$1,Data!$A$2:$D$3723,4,FALSE)</f>
        <v>-2.9100000000000001E-2</v>
      </c>
      <c r="R63">
        <f>VLOOKUP($A63&amp;R$1,Data!$A$2:$D$3723,4,FALSE)</f>
        <v>0.29536000000000001</v>
      </c>
      <c r="S63">
        <f>VLOOKUP($A63&amp;S$1,Data!$A$2:$D$3723,4,FALSE)</f>
        <v>7.6999999999999999E-2</v>
      </c>
      <c r="T63">
        <f>VLOOKUP($A63&amp;T$1,Data!$A$2:$D$3723,4,FALSE)</f>
        <v>0.53</v>
      </c>
      <c r="U63">
        <f>VLOOKUP($A63&amp;U$1,Data!$A$2:$D$3723,4,FALSE)</f>
        <v>0.18210999999999999</v>
      </c>
      <c r="V63">
        <f>VLOOKUP($A63&amp;V$1,Data!$A$2:$D$3723,4,FALSE)</f>
        <v>0.33</v>
      </c>
      <c r="W63">
        <f>VLOOKUP($A63&amp;W$1,Data!$A$2:$D$3723,4,FALSE)</f>
        <v>0.67</v>
      </c>
      <c r="X63">
        <f>VLOOKUP($A63&amp;X$1,Data!$A$2:$D$3723,4,FALSE)</f>
        <v>1.29</v>
      </c>
      <c r="Y63">
        <f>VLOOKUP($A63&amp;Y$1,Data!$A$2:$D$3723,4,FALSE)</f>
        <v>0.20499999999999999</v>
      </c>
      <c r="Z63">
        <f>VLOOKUP($A63&amp;Z$1,Data!$A$2:$D$3723,4,FALSE)</f>
        <v>3.4000000000000002E-2</v>
      </c>
      <c r="AA63">
        <f>VLOOKUP($A63&amp;AA$1,Data!$A$2:$D$3723,4,FALSE)</f>
        <v>0.13300000000000001</v>
      </c>
      <c r="AB63">
        <f>VLOOKUP($A63&amp;AB$1,Data!$A$2:$D$3723,4,FALSE)</f>
        <v>1.7999999999999999E-2</v>
      </c>
      <c r="AC63">
        <f>VLOOKUP($A63&amp;AC$1,Data!$A$2:$D$3723,4,FALSE)</f>
        <v>0.96899999999999997</v>
      </c>
      <c r="AD63">
        <f>VLOOKUP($A63&amp;AD$1,Data!$A$2:$D$3723,4,FALSE)</f>
        <v>0.14799999999999999</v>
      </c>
      <c r="AE63">
        <f>VLOOKUP($A63&amp;AE$1,Data!$A$2:$D$3723,4,FALSE)</f>
        <v>6.0049999999999999</v>
      </c>
      <c r="AF63">
        <f>VLOOKUP($A63&amp;AF$1,Data!$A$2:$D$3723,4,FALSE)</f>
        <v>0</v>
      </c>
      <c r="AG63">
        <f>VLOOKUP($A63&amp;AG$1,Data!$A$2:$D$3723,4,FALSE)</f>
        <v>4800000</v>
      </c>
    </row>
    <row r="64" spans="1:33" hidden="1" x14ac:dyDescent="0.35">
      <c r="A64" s="13">
        <f t="shared" si="4"/>
        <v>63</v>
      </c>
      <c r="B64" t="s">
        <v>6</v>
      </c>
      <c r="C64" t="s">
        <v>22</v>
      </c>
      <c r="D64">
        <v>5000</v>
      </c>
      <c r="E64" t="s">
        <v>17</v>
      </c>
      <c r="F64" s="5">
        <v>43831</v>
      </c>
      <c r="G64" s="5">
        <v>44562</v>
      </c>
      <c r="H64">
        <v>14</v>
      </c>
      <c r="I64">
        <v>9</v>
      </c>
      <c r="J64">
        <f t="shared" si="0"/>
        <v>30</v>
      </c>
      <c r="K64">
        <f t="shared" si="1"/>
        <v>70</v>
      </c>
      <c r="L64">
        <v>1000000</v>
      </c>
      <c r="M64">
        <f>VLOOKUP($A64&amp;M$1,Data!$A$2:$D$3723,4,FALSE)</f>
        <v>0.68054999999999999</v>
      </c>
      <c r="N64">
        <f>VLOOKUP($A64&amp;N$1,Data!$A$2:$D$3723,4,FALSE)</f>
        <v>2.2850000000000001</v>
      </c>
      <c r="O64">
        <f>VLOOKUP($A64&amp;O$1,Data!$A$2:$D$3723,4,FALSE)</f>
        <v>385</v>
      </c>
      <c r="P64">
        <f>VLOOKUP($A64&amp;P$1,Data!$A$2:$D$3723,4,FALSE)</f>
        <v>0.18360000000000001</v>
      </c>
      <c r="Q64">
        <f>VLOOKUP($A64&amp;Q$1,Data!$A$2:$D$3723,4,FALSE)</f>
        <v>-0.1255</v>
      </c>
      <c r="R64">
        <f>VLOOKUP($A64&amp;R$1,Data!$A$2:$D$3723,4,FALSE)</f>
        <v>1.7191399999999999</v>
      </c>
      <c r="S64">
        <f>VLOOKUP($A64&amp;S$1,Data!$A$2:$D$3723,4,FALSE)</f>
        <v>0.30099999999999999</v>
      </c>
      <c r="T64">
        <f>VLOOKUP($A64&amp;T$1,Data!$A$2:$D$3723,4,FALSE)</f>
        <v>0.64200000000000002</v>
      </c>
      <c r="U64">
        <f>VLOOKUP($A64&amp;U$1,Data!$A$2:$D$3723,4,FALSE)</f>
        <v>0.90915999999999997</v>
      </c>
      <c r="V64">
        <f>VLOOKUP($A64&amp;V$1,Data!$A$2:$D$3723,4,FALSE)</f>
        <v>0.33</v>
      </c>
      <c r="W64">
        <f>VLOOKUP($A64&amp;W$1,Data!$A$2:$D$3723,4,FALSE)</f>
        <v>0.67</v>
      </c>
      <c r="X64">
        <f>VLOOKUP($A64&amp;X$1,Data!$A$2:$D$3723,4,FALSE)</f>
        <v>1.46</v>
      </c>
      <c r="Y64">
        <f>VLOOKUP($A64&amp;Y$1,Data!$A$2:$D$3723,4,FALSE)</f>
        <v>1.371</v>
      </c>
      <c r="Z64">
        <f>VLOOKUP($A64&amp;Z$1,Data!$A$2:$D$3723,4,FALSE)</f>
        <v>1.2E-2</v>
      </c>
      <c r="AA64">
        <f>VLOOKUP($A64&amp;AA$1,Data!$A$2:$D$3723,4,FALSE)</f>
        <v>0.6</v>
      </c>
      <c r="AB64">
        <f>VLOOKUP($A64&amp;AB$1,Data!$A$2:$D$3723,4,FALSE)</f>
        <v>0.36</v>
      </c>
      <c r="AC64">
        <f>VLOOKUP($A64&amp;AC$1,Data!$A$2:$D$3723,4,FALSE)</f>
        <v>2.1659999999999999</v>
      </c>
      <c r="AD64">
        <f>VLOOKUP($A64&amp;AD$1,Data!$A$2:$D$3723,4,FALSE)</f>
        <v>0.60399999999999998</v>
      </c>
      <c r="AE64">
        <f>VLOOKUP($A64&amp;AE$1,Data!$A$2:$D$3723,4,FALSE)</f>
        <v>110.32299999999999</v>
      </c>
      <c r="AF64">
        <f>VLOOKUP($A64&amp;AF$1,Data!$A$2:$D$3723,4,FALSE)</f>
        <v>0</v>
      </c>
      <c r="AG64">
        <f>VLOOKUP($A64&amp;AG$1,Data!$A$2:$D$3723,4,FALSE)</f>
        <v>2400000</v>
      </c>
    </row>
    <row r="65" spans="1:33" hidden="1" x14ac:dyDescent="0.35">
      <c r="A65" s="13">
        <f t="shared" si="4"/>
        <v>64</v>
      </c>
      <c r="B65" t="s">
        <v>6</v>
      </c>
      <c r="C65" t="s">
        <v>3</v>
      </c>
      <c r="D65">
        <v>100</v>
      </c>
      <c r="E65" t="s">
        <v>17</v>
      </c>
      <c r="F65" s="5">
        <v>43831</v>
      </c>
      <c r="G65" s="5">
        <v>44562</v>
      </c>
      <c r="H65">
        <v>14</v>
      </c>
      <c r="I65">
        <v>9</v>
      </c>
      <c r="J65">
        <f t="shared" si="0"/>
        <v>32</v>
      </c>
      <c r="K65">
        <f t="shared" si="1"/>
        <v>68</v>
      </c>
      <c r="L65">
        <v>1000000</v>
      </c>
      <c r="M65">
        <f>VLOOKUP($A65&amp;M$1,Data!$A$2:$D$3723,4,FALSE)</f>
        <v>0.86055999999999999</v>
      </c>
      <c r="N65">
        <f>VLOOKUP($A65&amp;N$1,Data!$A$2:$D$3723,4,FALSE)</f>
        <v>1.8939999999999999</v>
      </c>
      <c r="O65">
        <f>VLOOKUP($A65&amp;O$1,Data!$A$2:$D$3723,4,FALSE)</f>
        <v>1104</v>
      </c>
      <c r="P65">
        <f>VLOOKUP($A65&amp;P$1,Data!$A$2:$D$3723,4,FALSE)</f>
        <v>3.0000000000000001E-3</v>
      </c>
      <c r="Q65">
        <f>VLOOKUP($A65&amp;Q$1,Data!$A$2:$D$3723,4,FALSE)</f>
        <v>-1.1000000000000001E-3</v>
      </c>
      <c r="R65">
        <f>VLOOKUP($A65&amp;R$1,Data!$A$2:$D$3723,4,FALSE)</f>
        <v>4.3619999999999999E-2</v>
      </c>
      <c r="S65">
        <f>VLOOKUP($A65&amp;S$1,Data!$A$2:$D$3723,4,FALSE)</f>
        <v>0.01</v>
      </c>
      <c r="T65">
        <f>VLOOKUP($A65&amp;T$1,Data!$A$2:$D$3723,4,FALSE)</f>
        <v>0.72899999999999998</v>
      </c>
      <c r="U65">
        <f>VLOOKUP($A65&amp;U$1,Data!$A$2:$D$3723,4,FALSE)</f>
        <v>2.7990000000000001E-2</v>
      </c>
      <c r="V65">
        <f>VLOOKUP($A65&amp;V$1,Data!$A$2:$D$3723,4,FALSE)</f>
        <v>0.53</v>
      </c>
      <c r="W65">
        <f>VLOOKUP($A65&amp;W$1,Data!$A$2:$D$3723,4,FALSE)</f>
        <v>0.47</v>
      </c>
      <c r="X65">
        <f>VLOOKUP($A65&amp;X$1,Data!$A$2:$D$3723,4,FALSE)</f>
        <v>2.66</v>
      </c>
      <c r="Y65">
        <f>VLOOKUP($A65&amp;Y$1,Data!$A$2:$D$3723,4,FALSE)</f>
        <v>2.8000000000000001E-2</v>
      </c>
      <c r="Z65">
        <f>VLOOKUP($A65&amp;Z$1,Data!$A$2:$D$3723,4,FALSE)</f>
        <v>3.3000000000000002E-2</v>
      </c>
      <c r="AA65">
        <f>VLOOKUP($A65&amp;AA$1,Data!$A$2:$D$3723,4,FALSE)</f>
        <v>1.6E-2</v>
      </c>
      <c r="AB65">
        <f>VLOOKUP($A65&amp;AB$1,Data!$A$2:$D$3723,4,FALSE)</f>
        <v>0</v>
      </c>
      <c r="AC65">
        <f>VLOOKUP($A65&amp;AC$1,Data!$A$2:$D$3723,4,FALSE)</f>
        <v>-0.505</v>
      </c>
      <c r="AD65">
        <f>VLOOKUP($A65&amp;AD$1,Data!$A$2:$D$3723,4,FALSE)</f>
        <v>6.6000000000000003E-2</v>
      </c>
      <c r="AE65">
        <f>VLOOKUP($A65&amp;AE$1,Data!$A$2:$D$3723,4,FALSE)</f>
        <v>0.90800000000000003</v>
      </c>
      <c r="AF65">
        <f>VLOOKUP($A65&amp;AF$1,Data!$A$2:$D$3723,4,FALSE)</f>
        <v>0</v>
      </c>
      <c r="AG65">
        <f>VLOOKUP($A65&amp;AG$1,Data!$A$2:$D$3723,4,FALSE)</f>
        <v>120000000</v>
      </c>
    </row>
    <row r="66" spans="1:33" hidden="1" x14ac:dyDescent="0.35">
      <c r="A66" s="13">
        <f t="shared" si="4"/>
        <v>65</v>
      </c>
      <c r="B66" t="s">
        <v>6</v>
      </c>
      <c r="C66" t="s">
        <v>3</v>
      </c>
      <c r="D66">
        <v>1000</v>
      </c>
      <c r="E66" t="s">
        <v>17</v>
      </c>
      <c r="F66" s="5">
        <v>43831</v>
      </c>
      <c r="G66" s="5">
        <v>44562</v>
      </c>
      <c r="H66">
        <v>14</v>
      </c>
      <c r="I66">
        <v>9</v>
      </c>
      <c r="J66">
        <f t="shared" ref="J66:J129" si="5">J93</f>
        <v>32</v>
      </c>
      <c r="K66">
        <f t="shared" ref="K66:K129" si="6">K93</f>
        <v>68</v>
      </c>
      <c r="L66">
        <v>1000000</v>
      </c>
      <c r="M66">
        <f>VLOOKUP($A66&amp;M$1,Data!$A$2:$D$3723,4,FALSE)</f>
        <v>0.38990999999999998</v>
      </c>
      <c r="N66">
        <f>VLOOKUP($A66&amp;N$1,Data!$A$2:$D$3723,4,FALSE)</f>
        <v>0.747</v>
      </c>
      <c r="O66">
        <f>VLOOKUP($A66&amp;O$1,Data!$A$2:$D$3723,4,FALSE)</f>
        <v>680</v>
      </c>
      <c r="P66">
        <f>VLOOKUP($A66&amp;P$1,Data!$A$2:$D$3723,4,FALSE)</f>
        <v>2.24E-2</v>
      </c>
      <c r="Q66">
        <f>VLOOKUP($A66&amp;Q$1,Data!$A$2:$D$3723,4,FALSE)</f>
        <v>-1.3599999999999999E-2</v>
      </c>
      <c r="R66">
        <f>VLOOKUP($A66&amp;R$1,Data!$A$2:$D$3723,4,FALSE)</f>
        <v>0.15078</v>
      </c>
      <c r="S66">
        <f>VLOOKUP($A66&amp;S$1,Data!$A$2:$D$3723,4,FALSE)</f>
        <v>0.11600000000000001</v>
      </c>
      <c r="T66">
        <f>VLOOKUP($A66&amp;T$1,Data!$A$2:$D$3723,4,FALSE)</f>
        <v>0.32200000000000001</v>
      </c>
      <c r="U66">
        <f>VLOOKUP($A66&amp;U$1,Data!$A$2:$D$3723,4,FALSE)</f>
        <v>9.4619999999999996E-2</v>
      </c>
      <c r="V66">
        <f>VLOOKUP($A66&amp;V$1,Data!$A$2:$D$3723,4,FALSE)</f>
        <v>0.5</v>
      </c>
      <c r="W66">
        <f>VLOOKUP($A66&amp;W$1,Data!$A$2:$D$3723,4,FALSE)</f>
        <v>0.5</v>
      </c>
      <c r="X66">
        <f>VLOOKUP($A66&amp;X$1,Data!$A$2:$D$3723,4,FALSE)</f>
        <v>1.64</v>
      </c>
      <c r="Y66">
        <f>VLOOKUP($A66&amp;Y$1,Data!$A$2:$D$3723,4,FALSE)</f>
        <v>0.1</v>
      </c>
      <c r="Z66">
        <f>VLOOKUP($A66&amp;Z$1,Data!$A$2:$D$3723,4,FALSE)</f>
        <v>0.23599999999999999</v>
      </c>
      <c r="AA66">
        <f>VLOOKUP($A66&amp;AA$1,Data!$A$2:$D$3723,4,FALSE)</f>
        <v>0.155</v>
      </c>
      <c r="AB66">
        <f>VLOOKUP($A66&amp;AB$1,Data!$A$2:$D$3723,4,FALSE)</f>
        <v>2.4E-2</v>
      </c>
      <c r="AC66">
        <f>VLOOKUP($A66&amp;AC$1,Data!$A$2:$D$3723,4,FALSE)</f>
        <v>0.318</v>
      </c>
      <c r="AD66">
        <f>VLOOKUP($A66&amp;AD$1,Data!$A$2:$D$3723,4,FALSE)</f>
        <v>0.16200000000000001</v>
      </c>
      <c r="AE66">
        <f>VLOOKUP($A66&amp;AE$1,Data!$A$2:$D$3723,4,FALSE)</f>
        <v>0.48899999999999999</v>
      </c>
      <c r="AF66">
        <f>VLOOKUP($A66&amp;AF$1,Data!$A$2:$D$3723,4,FALSE)</f>
        <v>0</v>
      </c>
      <c r="AG66">
        <f>VLOOKUP($A66&amp;AG$1,Data!$A$2:$D$3723,4,FALSE)</f>
        <v>6900000</v>
      </c>
    </row>
    <row r="67" spans="1:33" hidden="1" x14ac:dyDescent="0.35">
      <c r="A67" s="13">
        <f t="shared" si="4"/>
        <v>66</v>
      </c>
      <c r="B67" t="s">
        <v>6</v>
      </c>
      <c r="C67" t="s">
        <v>3</v>
      </c>
      <c r="D67">
        <v>5000</v>
      </c>
      <c r="E67" t="s">
        <v>17</v>
      </c>
      <c r="F67" s="5">
        <v>43831</v>
      </c>
      <c r="G67" s="5">
        <v>44562</v>
      </c>
      <c r="H67">
        <v>14</v>
      </c>
      <c r="I67">
        <v>9</v>
      </c>
      <c r="J67">
        <f t="shared" si="5"/>
        <v>32</v>
      </c>
      <c r="K67">
        <f t="shared" si="6"/>
        <v>68</v>
      </c>
      <c r="L67">
        <v>1000000</v>
      </c>
      <c r="M67">
        <f>VLOOKUP($A67&amp;M$1,Data!$A$2:$D$3723,4,FALSE)</f>
        <v>0.47305000000000003</v>
      </c>
      <c r="N67">
        <f>VLOOKUP($A67&amp;N$1,Data!$A$2:$D$3723,4,FALSE)</f>
        <v>1.341</v>
      </c>
      <c r="O67">
        <f>VLOOKUP($A67&amp;O$1,Data!$A$2:$D$3723,4,FALSE)</f>
        <v>680</v>
      </c>
      <c r="P67">
        <f>VLOOKUP($A67&amp;P$1,Data!$A$2:$D$3723,4,FALSE)</f>
        <v>0.1079</v>
      </c>
      <c r="Q67">
        <f>VLOOKUP($A67&amp;Q$1,Data!$A$2:$D$3723,4,FALSE)</f>
        <v>-5.9400000000000001E-2</v>
      </c>
      <c r="R67">
        <f>VLOOKUP($A67&amp;R$1,Data!$A$2:$D$3723,4,FALSE)</f>
        <v>0.82528999999999997</v>
      </c>
      <c r="S67">
        <f>VLOOKUP($A67&amp;S$1,Data!$A$2:$D$3723,4,FALSE)</f>
        <v>0.44</v>
      </c>
      <c r="T67">
        <f>VLOOKUP($A67&amp;T$1,Data!$A$2:$D$3723,4,FALSE)</f>
        <v>0.40799999999999997</v>
      </c>
      <c r="U67">
        <f>VLOOKUP($A67&amp;U$1,Data!$A$2:$D$3723,4,FALSE)</f>
        <v>0.47308</v>
      </c>
      <c r="V67">
        <f>VLOOKUP($A67&amp;V$1,Data!$A$2:$D$3723,4,FALSE)</f>
        <v>0.5</v>
      </c>
      <c r="W67">
        <f>VLOOKUP($A67&amp;W$1,Data!$A$2:$D$3723,4,FALSE)</f>
        <v>0.5</v>
      </c>
      <c r="X67">
        <f>VLOOKUP($A67&amp;X$1,Data!$A$2:$D$3723,4,FALSE)</f>
        <v>1.82</v>
      </c>
      <c r="Y67">
        <f>VLOOKUP($A67&amp;Y$1,Data!$A$2:$D$3723,4,FALSE)</f>
        <v>0.94699999999999995</v>
      </c>
      <c r="Z67">
        <f>VLOOKUP($A67&amp;Z$1,Data!$A$2:$D$3723,4,FALSE)</f>
        <v>0.86699999999999999</v>
      </c>
      <c r="AA67">
        <f>VLOOKUP($A67&amp;AA$1,Data!$A$2:$D$3723,4,FALSE)</f>
        <v>0.747</v>
      </c>
      <c r="AB67">
        <f>VLOOKUP($A67&amp;AB$1,Data!$A$2:$D$3723,4,FALSE)</f>
        <v>0.55800000000000005</v>
      </c>
      <c r="AC67">
        <f>VLOOKUP($A67&amp;AC$1,Data!$A$2:$D$3723,4,FALSE)</f>
        <v>1.26</v>
      </c>
      <c r="AD67">
        <f>VLOOKUP($A67&amp;AD$1,Data!$A$2:$D$3723,4,FALSE)</f>
        <v>0.745</v>
      </c>
      <c r="AE67">
        <f>VLOOKUP($A67&amp;AE$1,Data!$A$2:$D$3723,4,FALSE)</f>
        <v>1.1559999999999999</v>
      </c>
      <c r="AF67">
        <f>VLOOKUP($A67&amp;AF$1,Data!$A$2:$D$3723,4,FALSE)</f>
        <v>0</v>
      </c>
      <c r="AG67">
        <f>VLOOKUP($A67&amp;AG$1,Data!$A$2:$D$3723,4,FALSE)</f>
        <v>2900000</v>
      </c>
    </row>
    <row r="68" spans="1:33" hidden="1" x14ac:dyDescent="0.35">
      <c r="A68" s="13">
        <f t="shared" si="4"/>
        <v>67</v>
      </c>
      <c r="B68" t="s">
        <v>6</v>
      </c>
      <c r="C68" t="s">
        <v>2</v>
      </c>
      <c r="D68">
        <v>100</v>
      </c>
      <c r="E68" t="s">
        <v>17</v>
      </c>
      <c r="F68" s="5">
        <v>43831</v>
      </c>
      <c r="G68" s="5">
        <v>44562</v>
      </c>
      <c r="H68">
        <v>14</v>
      </c>
      <c r="I68">
        <v>9</v>
      </c>
      <c r="J68">
        <f t="shared" si="5"/>
        <v>32</v>
      </c>
      <c r="K68">
        <f t="shared" si="6"/>
        <v>68</v>
      </c>
      <c r="L68">
        <v>1000000</v>
      </c>
      <c r="M68">
        <f>VLOOKUP($A68&amp;M$1,Data!$A$2:$D$3723,4,FALSE)</f>
        <v>0.27898000000000001</v>
      </c>
      <c r="N68">
        <f>VLOOKUP($A68&amp;N$1,Data!$A$2:$D$3723,4,FALSE)</f>
        <v>0.38200000000000001</v>
      </c>
      <c r="O68">
        <f>VLOOKUP($A68&amp;O$1,Data!$A$2:$D$3723,4,FALSE)</f>
        <v>393</v>
      </c>
      <c r="P68">
        <f>VLOOKUP($A68&amp;P$1,Data!$A$2:$D$3723,4,FALSE)</f>
        <v>3.3999999999999998E-3</v>
      </c>
      <c r="Q68">
        <f>VLOOKUP($A68&amp;Q$1,Data!$A$2:$D$3723,4,FALSE)</f>
        <v>-3.3E-3</v>
      </c>
      <c r="R68">
        <f>VLOOKUP($A68&amp;R$1,Data!$A$2:$D$3723,4,FALSE)</f>
        <v>8.2100000000000003E-3</v>
      </c>
      <c r="S68">
        <f>VLOOKUP($A68&amp;S$1,Data!$A$2:$D$3723,4,FALSE)</f>
        <v>0.02</v>
      </c>
      <c r="T68">
        <f>VLOOKUP($A68&amp;T$1,Data!$A$2:$D$3723,4,FALSE)</f>
        <v>0.108</v>
      </c>
      <c r="U68">
        <f>VLOOKUP($A68&amp;U$1,Data!$A$2:$D$3723,4,FALSE)</f>
        <v>5.28E-3</v>
      </c>
      <c r="V68">
        <f>VLOOKUP($A68&amp;V$1,Data!$A$2:$D$3723,4,FALSE)</f>
        <v>0.46</v>
      </c>
      <c r="W68">
        <f>VLOOKUP($A68&amp;W$1,Data!$A$2:$D$3723,4,FALSE)</f>
        <v>0.54</v>
      </c>
      <c r="X68">
        <f>VLOOKUP($A68&amp;X$1,Data!$A$2:$D$3723,4,FALSE)</f>
        <v>1.06</v>
      </c>
      <c r="Y68">
        <f>VLOOKUP($A68&amp;Y$1,Data!$A$2:$D$3723,4,FALSE)</f>
        <v>6.0000000000000001E-3</v>
      </c>
      <c r="Z68">
        <f>VLOOKUP($A68&amp;Z$1,Data!$A$2:$D$3723,4,FALSE)</f>
        <v>-1E-3</v>
      </c>
      <c r="AA68">
        <f>VLOOKUP($A68&amp;AA$1,Data!$A$2:$D$3723,4,FALSE)</f>
        <v>1.4999999999999999E-2</v>
      </c>
      <c r="AB68">
        <f>VLOOKUP($A68&amp;AB$1,Data!$A$2:$D$3723,4,FALSE)</f>
        <v>0</v>
      </c>
      <c r="AC68">
        <f>VLOOKUP($A68&amp;AC$1,Data!$A$2:$D$3723,4,FALSE)</f>
        <v>-0.84699999999999998</v>
      </c>
      <c r="AD68">
        <f>VLOOKUP($A68&amp;AD$1,Data!$A$2:$D$3723,4,FALSE)</f>
        <v>6.9000000000000006E-2</v>
      </c>
      <c r="AE68">
        <f>VLOOKUP($A68&amp;AE$1,Data!$A$2:$D$3723,4,FALSE)</f>
        <v>-5.5970000000000004</v>
      </c>
      <c r="AF68">
        <f>VLOOKUP($A68&amp;AF$1,Data!$A$2:$D$3723,4,FALSE)</f>
        <v>0</v>
      </c>
      <c r="AG68">
        <f>VLOOKUP($A68&amp;AG$1,Data!$A$2:$D$3723,4,FALSE)</f>
        <v>12000000000</v>
      </c>
    </row>
    <row r="69" spans="1:33" hidden="1" x14ac:dyDescent="0.35">
      <c r="A69" s="13">
        <f t="shared" si="4"/>
        <v>68</v>
      </c>
      <c r="B69" t="s">
        <v>6</v>
      </c>
      <c r="C69" t="s">
        <v>2</v>
      </c>
      <c r="D69">
        <v>1000</v>
      </c>
      <c r="E69" t="s">
        <v>17</v>
      </c>
      <c r="F69" s="5">
        <v>43831</v>
      </c>
      <c r="G69" s="5">
        <v>44562</v>
      </c>
      <c r="H69">
        <v>14</v>
      </c>
      <c r="I69">
        <v>9</v>
      </c>
      <c r="J69">
        <f t="shared" si="5"/>
        <v>32</v>
      </c>
      <c r="K69">
        <f t="shared" si="6"/>
        <v>68</v>
      </c>
      <c r="L69">
        <v>1000000</v>
      </c>
      <c r="M69">
        <f>VLOOKUP($A69&amp;M$1,Data!$A$2:$D$3723,4,FALSE)</f>
        <v>0.29354999999999998</v>
      </c>
      <c r="N69">
        <f>VLOOKUP($A69&amp;N$1,Data!$A$2:$D$3723,4,FALSE)</f>
        <v>0.442</v>
      </c>
      <c r="O69">
        <f>VLOOKUP($A69&amp;O$1,Data!$A$2:$D$3723,4,FALSE)</f>
        <v>393</v>
      </c>
      <c r="P69">
        <f>VLOOKUP($A69&amp;P$1,Data!$A$2:$D$3723,4,FALSE)</f>
        <v>3.7199999999999997E-2</v>
      </c>
      <c r="Q69">
        <f>VLOOKUP($A69&amp;Q$1,Data!$A$2:$D$3723,4,FALSE)</f>
        <v>-3.39E-2</v>
      </c>
      <c r="R69">
        <f>VLOOKUP($A69&amp;R$1,Data!$A$2:$D$3723,4,FALSE)</f>
        <v>8.3169999999999994E-2</v>
      </c>
      <c r="S69">
        <f>VLOOKUP($A69&amp;S$1,Data!$A$2:$D$3723,4,FALSE)</f>
        <v>0.191</v>
      </c>
      <c r="T69">
        <f>VLOOKUP($A69&amp;T$1,Data!$A$2:$D$3723,4,FALSE)</f>
        <v>0.128</v>
      </c>
      <c r="U69">
        <f>VLOOKUP($A69&amp;U$1,Data!$A$2:$D$3723,4,FALSE)</f>
        <v>5.2769999999999997E-2</v>
      </c>
      <c r="V69">
        <f>VLOOKUP($A69&amp;V$1,Data!$A$2:$D$3723,4,FALSE)</f>
        <v>0.46</v>
      </c>
      <c r="W69">
        <f>VLOOKUP($A69&amp;W$1,Data!$A$2:$D$3723,4,FALSE)</f>
        <v>0.54</v>
      </c>
      <c r="X69">
        <f>VLOOKUP($A69&amp;X$1,Data!$A$2:$D$3723,4,FALSE)</f>
        <v>1.0900000000000001</v>
      </c>
      <c r="Y69">
        <f>VLOOKUP($A69&amp;Y$1,Data!$A$2:$D$3723,4,FALSE)</f>
        <v>7.0999999999999994E-2</v>
      </c>
      <c r="Z69">
        <f>VLOOKUP($A69&amp;Z$1,Data!$A$2:$D$3723,4,FALSE)</f>
        <v>-8.9999999999999993E-3</v>
      </c>
      <c r="AA69">
        <f>VLOOKUP($A69&amp;AA$1,Data!$A$2:$D$3723,4,FALSE)</f>
        <v>0.159</v>
      </c>
      <c r="AB69">
        <f>VLOOKUP($A69&amp;AB$1,Data!$A$2:$D$3723,4,FALSE)</f>
        <v>2.5000000000000001E-2</v>
      </c>
      <c r="AC69">
        <f>VLOOKUP($A69&amp;AC$1,Data!$A$2:$D$3723,4,FALSE)</f>
        <v>3.7999999999999999E-2</v>
      </c>
      <c r="AD69">
        <f>VLOOKUP($A69&amp;AD$1,Data!$A$2:$D$3723,4,FALSE)</f>
        <v>0.17299999999999999</v>
      </c>
      <c r="AE69">
        <f>VLOOKUP($A69&amp;AE$1,Data!$A$2:$D$3723,4,FALSE)</f>
        <v>-7.6760000000000002</v>
      </c>
      <c r="AF69">
        <f>VLOOKUP($A69&amp;AF$1,Data!$A$2:$D$3723,4,FALSE)</f>
        <v>0</v>
      </c>
      <c r="AG69">
        <f>VLOOKUP($A69&amp;AG$1,Data!$A$2:$D$3723,4,FALSE)</f>
        <v>1200000000</v>
      </c>
    </row>
    <row r="70" spans="1:33" hidden="1" x14ac:dyDescent="0.35">
      <c r="A70" s="13">
        <f>A69+1</f>
        <v>69</v>
      </c>
      <c r="B70" t="s">
        <v>6</v>
      </c>
      <c r="C70" t="s">
        <v>2</v>
      </c>
      <c r="D70">
        <v>5000</v>
      </c>
      <c r="E70" t="s">
        <v>17</v>
      </c>
      <c r="F70" s="5">
        <v>43831</v>
      </c>
      <c r="G70" s="5">
        <v>44562</v>
      </c>
      <c r="H70">
        <v>14</v>
      </c>
      <c r="I70">
        <v>9</v>
      </c>
      <c r="J70">
        <f t="shared" si="5"/>
        <v>32</v>
      </c>
      <c r="K70">
        <f t="shared" si="6"/>
        <v>68</v>
      </c>
      <c r="L70">
        <v>1000000</v>
      </c>
      <c r="M70">
        <f>VLOOKUP($A70&amp;M$1,Data!$A$2:$D$3723,4,FALSE)</f>
        <v>0.19796</v>
      </c>
      <c r="N70">
        <f>VLOOKUP($A70&amp;N$1,Data!$A$2:$D$3723,4,FALSE)</f>
        <v>0.12</v>
      </c>
      <c r="O70">
        <f>VLOOKUP($A70&amp;O$1,Data!$A$2:$D$3723,4,FALSE)</f>
        <v>635</v>
      </c>
      <c r="P70">
        <f>VLOOKUP($A70&amp;P$1,Data!$A$2:$D$3723,4,FALSE)</f>
        <v>0.1142</v>
      </c>
      <c r="Q70">
        <f>VLOOKUP($A70&amp;Q$1,Data!$A$2:$D$3723,4,FALSE)</f>
        <v>-8.0299999999999996E-2</v>
      </c>
      <c r="R70">
        <f>VLOOKUP($A70&amp;R$1,Data!$A$2:$D$3723,4,FALSE)</f>
        <v>-0.51705000000000001</v>
      </c>
      <c r="S70">
        <f>VLOOKUP($A70&amp;S$1,Data!$A$2:$D$3723,4,FALSE)</f>
        <v>0.621</v>
      </c>
      <c r="T70">
        <f>VLOOKUP($A70&amp;T$1,Data!$A$2:$D$3723,4,FALSE)</f>
        <v>-0.13500000000000001</v>
      </c>
      <c r="U70">
        <f>VLOOKUP($A70&amp;U$1,Data!$A$2:$D$3723,4,FALSE)</f>
        <v>-0.37531999999999999</v>
      </c>
      <c r="V70">
        <f>VLOOKUP($A70&amp;V$1,Data!$A$2:$D$3723,4,FALSE)</f>
        <v>0.64</v>
      </c>
      <c r="W70">
        <f>VLOOKUP($A70&amp;W$1,Data!$A$2:$D$3723,4,FALSE)</f>
        <v>0.36</v>
      </c>
      <c r="X70">
        <f>VLOOKUP($A70&amp;X$1,Data!$A$2:$D$3723,4,FALSE)</f>
        <v>1.42</v>
      </c>
      <c r="Y70">
        <f>VLOOKUP($A70&amp;Y$1,Data!$A$2:$D$3723,4,FALSE)</f>
        <v>8.6999999999999994E-2</v>
      </c>
      <c r="Z70">
        <f>VLOOKUP($A70&amp;Z$1,Data!$A$2:$D$3723,4,FALSE)</f>
        <v>0.57599999999999996</v>
      </c>
      <c r="AA70">
        <f>VLOOKUP($A70&amp;AA$1,Data!$A$2:$D$3723,4,FALSE)</f>
        <v>1.0349999999999999</v>
      </c>
      <c r="AB70">
        <f>VLOOKUP($A70&amp;AB$1,Data!$A$2:$D$3723,4,FALSE)</f>
        <v>1.071</v>
      </c>
      <c r="AC70">
        <f>VLOOKUP($A70&amp;AC$1,Data!$A$2:$D$3723,4,FALSE)</f>
        <v>5.8000000000000003E-2</v>
      </c>
      <c r="AD70">
        <f>VLOOKUP($A70&amp;AD$1,Data!$A$2:$D$3723,4,FALSE)</f>
        <v>1.034</v>
      </c>
      <c r="AE70">
        <f>VLOOKUP($A70&amp;AE$1,Data!$A$2:$D$3723,4,FALSE)</f>
        <v>0.215</v>
      </c>
      <c r="AF70">
        <f>VLOOKUP($A70&amp;AF$1,Data!$A$2:$D$3723,4,FALSE)</f>
        <v>0</v>
      </c>
      <c r="AG70">
        <f>VLOOKUP($A70&amp;AG$1,Data!$A$2:$D$3723,4,FALSE)</f>
        <v>11000000</v>
      </c>
    </row>
    <row r="71" spans="1:33" hidden="1" x14ac:dyDescent="0.35">
      <c r="A71" s="13">
        <f>A70+1</f>
        <v>70</v>
      </c>
      <c r="B71" t="s">
        <v>6</v>
      </c>
      <c r="C71" t="s">
        <v>22</v>
      </c>
      <c r="D71">
        <v>100</v>
      </c>
      <c r="E71" t="s">
        <v>17</v>
      </c>
      <c r="F71" s="5">
        <v>43831</v>
      </c>
      <c r="G71" s="5">
        <v>44562</v>
      </c>
      <c r="H71">
        <v>14</v>
      </c>
      <c r="I71">
        <v>9</v>
      </c>
      <c r="J71">
        <f t="shared" si="5"/>
        <v>32</v>
      </c>
      <c r="K71">
        <f t="shared" si="6"/>
        <v>68</v>
      </c>
      <c r="L71">
        <v>1000000</v>
      </c>
      <c r="M71">
        <f>VLOOKUP($A71&amp;M$1,Data!$A$2:$D$3723,4,FALSE)</f>
        <v>0.84189999999999998</v>
      </c>
      <c r="N71">
        <f>VLOOKUP($A71&amp;N$1,Data!$A$2:$D$3723,4,FALSE)</f>
        <v>1.857</v>
      </c>
      <c r="O71">
        <f>VLOOKUP($A71&amp;O$1,Data!$A$2:$D$3723,4,FALSE)</f>
        <v>492</v>
      </c>
      <c r="P71">
        <f>VLOOKUP($A71&amp;P$1,Data!$A$2:$D$3723,4,FALSE)</f>
        <v>4.1000000000000003E-3</v>
      </c>
      <c r="Q71">
        <f>VLOOKUP($A71&amp;Q$1,Data!$A$2:$D$3723,4,FALSE)</f>
        <v>-1.6000000000000001E-3</v>
      </c>
      <c r="R71">
        <f>VLOOKUP($A71&amp;R$1,Data!$A$2:$D$3723,4,FALSE)</f>
        <v>3.9710000000000002E-2</v>
      </c>
      <c r="S71">
        <f>VLOOKUP($A71&amp;S$1,Data!$A$2:$D$3723,4,FALSE)</f>
        <v>0.01</v>
      </c>
      <c r="T71">
        <f>VLOOKUP($A71&amp;T$1,Data!$A$2:$D$3723,4,FALSE)</f>
        <v>0.99099999999999999</v>
      </c>
      <c r="U71">
        <f>VLOOKUP($A71&amp;U$1,Data!$A$2:$D$3723,4,FALSE)</f>
        <v>2.5499999999999998E-2</v>
      </c>
      <c r="V71">
        <f>VLOOKUP($A71&amp;V$1,Data!$A$2:$D$3723,4,FALSE)</f>
        <v>0.44</v>
      </c>
      <c r="W71">
        <f>VLOOKUP($A71&amp;W$1,Data!$A$2:$D$3723,4,FALSE)</f>
        <v>0.56000000000000005</v>
      </c>
      <c r="X71">
        <f>VLOOKUP($A71&amp;X$1,Data!$A$2:$D$3723,4,FALSE)</f>
        <v>2.54</v>
      </c>
      <c r="Y71">
        <f>VLOOKUP($A71&amp;Y$1,Data!$A$2:$D$3723,4,FALSE)</f>
        <v>2.8000000000000001E-2</v>
      </c>
      <c r="Z71">
        <f>VLOOKUP($A71&amp;Z$1,Data!$A$2:$D$3723,4,FALSE)</f>
        <v>-1E-3</v>
      </c>
      <c r="AA71">
        <f>VLOOKUP($A71&amp;AA$1,Data!$A$2:$D$3723,4,FALSE)</f>
        <v>1.4999999999999999E-2</v>
      </c>
      <c r="AB71">
        <f>VLOOKUP($A71&amp;AB$1,Data!$A$2:$D$3723,4,FALSE)</f>
        <v>0</v>
      </c>
      <c r="AC71">
        <f>VLOOKUP($A71&amp;AC$1,Data!$A$2:$D$3723,4,FALSE)</f>
        <v>-0.52900000000000003</v>
      </c>
      <c r="AD71">
        <f>VLOOKUP($A71&amp;AD$1,Data!$A$2:$D$3723,4,FALSE)</f>
        <v>6.8000000000000005E-2</v>
      </c>
      <c r="AE71">
        <f>VLOOKUP($A71&amp;AE$1,Data!$A$2:$D$3723,4,FALSE)</f>
        <v>-23.795000000000002</v>
      </c>
      <c r="AF71">
        <f>VLOOKUP($A71&amp;AF$1,Data!$A$2:$D$3723,4,FALSE)</f>
        <v>0</v>
      </c>
      <c r="AG71">
        <f>VLOOKUP($A71&amp;AG$1,Data!$A$2:$D$3723,4,FALSE)</f>
        <v>660000000</v>
      </c>
    </row>
    <row r="72" spans="1:33" hidden="1" x14ac:dyDescent="0.35">
      <c r="A72" s="13">
        <f t="shared" si="4"/>
        <v>71</v>
      </c>
      <c r="B72" t="s">
        <v>6</v>
      </c>
      <c r="C72" t="s">
        <v>22</v>
      </c>
      <c r="D72">
        <v>1000</v>
      </c>
      <c r="E72" t="s">
        <v>17</v>
      </c>
      <c r="F72" s="5">
        <v>43831</v>
      </c>
      <c r="G72" s="5">
        <v>44562</v>
      </c>
      <c r="H72">
        <v>14</v>
      </c>
      <c r="I72">
        <v>9</v>
      </c>
      <c r="J72">
        <f t="shared" si="5"/>
        <v>32</v>
      </c>
      <c r="K72">
        <f t="shared" si="6"/>
        <v>68</v>
      </c>
      <c r="L72">
        <v>1000000</v>
      </c>
      <c r="M72">
        <f>VLOOKUP($A72&amp;M$1,Data!$A$2:$D$3723,4,FALSE)</f>
        <v>0.83750999999999998</v>
      </c>
      <c r="N72">
        <f>VLOOKUP($A72&amp;N$1,Data!$A$2:$D$3723,4,FALSE)</f>
        <v>2.0539999999999998</v>
      </c>
      <c r="O72">
        <f>VLOOKUP($A72&amp;O$1,Data!$A$2:$D$3723,4,FALSE)</f>
        <v>492</v>
      </c>
      <c r="P72">
        <f>VLOOKUP($A72&amp;P$1,Data!$A$2:$D$3723,4,FALSE)</f>
        <v>3.8300000000000001E-2</v>
      </c>
      <c r="Q72">
        <f>VLOOKUP($A72&amp;Q$1,Data!$A$2:$D$3723,4,FALSE)</f>
        <v>-1.5100000000000001E-2</v>
      </c>
      <c r="R72">
        <f>VLOOKUP($A72&amp;R$1,Data!$A$2:$D$3723,4,FALSE)</f>
        <v>0.42092000000000002</v>
      </c>
      <c r="S72">
        <f>VLOOKUP($A72&amp;S$1,Data!$A$2:$D$3723,4,FALSE)</f>
        <v>8.6999999999999994E-2</v>
      </c>
      <c r="T72">
        <f>VLOOKUP($A72&amp;T$1,Data!$A$2:$D$3723,4,FALSE)</f>
        <v>0.99099999999999999</v>
      </c>
      <c r="U72">
        <f>VLOOKUP($A72&amp;U$1,Data!$A$2:$D$3723,4,FALSE)</f>
        <v>0.25496000000000002</v>
      </c>
      <c r="V72">
        <f>VLOOKUP($A72&amp;V$1,Data!$A$2:$D$3723,4,FALSE)</f>
        <v>0.44</v>
      </c>
      <c r="W72">
        <f>VLOOKUP($A72&amp;W$1,Data!$A$2:$D$3723,4,FALSE)</f>
        <v>0.56000000000000005</v>
      </c>
      <c r="X72">
        <f>VLOOKUP($A72&amp;X$1,Data!$A$2:$D$3723,4,FALSE)</f>
        <v>2.54</v>
      </c>
      <c r="Y72">
        <f>VLOOKUP($A72&amp;Y$1,Data!$A$2:$D$3723,4,FALSE)</f>
        <v>0.28899999999999998</v>
      </c>
      <c r="Z72">
        <f>VLOOKUP($A72&amp;Z$1,Data!$A$2:$D$3723,4,FALSE)</f>
        <v>-1.6E-2</v>
      </c>
      <c r="AA72">
        <f>VLOOKUP($A72&amp;AA$1,Data!$A$2:$D$3723,4,FALSE)</f>
        <v>0.14000000000000001</v>
      </c>
      <c r="AB72">
        <f>VLOOKUP($A72&amp;AB$1,Data!$A$2:$D$3723,4,FALSE)</f>
        <v>0.02</v>
      </c>
      <c r="AC72">
        <f>VLOOKUP($A72&amp;AC$1,Data!$A$2:$D$3723,4,FALSE)</f>
        <v>1.44</v>
      </c>
      <c r="AD72">
        <f>VLOOKUP($A72&amp;AD$1,Data!$A$2:$D$3723,4,FALSE)</f>
        <v>0.156</v>
      </c>
      <c r="AE72">
        <f>VLOOKUP($A72&amp;AE$1,Data!$A$2:$D$3723,4,FALSE)</f>
        <v>-17.841999999999999</v>
      </c>
      <c r="AF72">
        <f>VLOOKUP($A72&amp;AF$1,Data!$A$2:$D$3723,4,FALSE)</f>
        <v>0</v>
      </c>
      <c r="AG72">
        <f>VLOOKUP($A72&amp;AG$1,Data!$A$2:$D$3723,4,FALSE)</f>
        <v>85000000</v>
      </c>
    </row>
    <row r="73" spans="1:33" hidden="1" x14ac:dyDescent="0.35">
      <c r="A73" s="13">
        <f t="shared" si="4"/>
        <v>72</v>
      </c>
      <c r="B73" t="s">
        <v>6</v>
      </c>
      <c r="C73" t="s">
        <v>22</v>
      </c>
      <c r="D73">
        <v>5000</v>
      </c>
      <c r="E73" t="s">
        <v>17</v>
      </c>
      <c r="F73" s="5">
        <v>43831</v>
      </c>
      <c r="G73" s="5">
        <v>44562</v>
      </c>
      <c r="H73">
        <v>14</v>
      </c>
      <c r="I73">
        <v>9</v>
      </c>
      <c r="J73">
        <f t="shared" si="5"/>
        <v>32</v>
      </c>
      <c r="K73">
        <f t="shared" si="6"/>
        <v>68</v>
      </c>
      <c r="L73">
        <v>1000000</v>
      </c>
      <c r="M73">
        <f>VLOOKUP($A73&amp;M$1,Data!$A$2:$D$3723,4,FALSE)</f>
        <v>0.83565999999999996</v>
      </c>
      <c r="N73">
        <f>VLOOKUP($A73&amp;N$1,Data!$A$2:$D$3723,4,FALSE)</f>
        <v>3.069</v>
      </c>
      <c r="O73">
        <f>VLOOKUP($A73&amp;O$1,Data!$A$2:$D$3723,4,FALSE)</f>
        <v>492</v>
      </c>
      <c r="P73">
        <f>VLOOKUP($A73&amp;P$1,Data!$A$2:$D$3723,4,FALSE)</f>
        <v>0.1603</v>
      </c>
      <c r="Q73">
        <f>VLOOKUP($A73&amp;Q$1,Data!$A$2:$D$3723,4,FALSE)</f>
        <v>-6.0400000000000002E-2</v>
      </c>
      <c r="R73">
        <f>VLOOKUP($A73&amp;R$1,Data!$A$2:$D$3723,4,FALSE)</f>
        <v>2.5657299999999998</v>
      </c>
      <c r="S73">
        <f>VLOOKUP($A73&amp;S$1,Data!$A$2:$D$3723,4,FALSE)</f>
        <v>0.314</v>
      </c>
      <c r="T73">
        <f>VLOOKUP($A73&amp;T$1,Data!$A$2:$D$3723,4,FALSE)</f>
        <v>1.0549999999999999</v>
      </c>
      <c r="U73">
        <f>VLOOKUP($A73&amp;U$1,Data!$A$2:$D$3723,4,FALSE)</f>
        <v>1.2747999999999999</v>
      </c>
      <c r="V73">
        <f>VLOOKUP($A73&amp;V$1,Data!$A$2:$D$3723,4,FALSE)</f>
        <v>0.44</v>
      </c>
      <c r="W73">
        <f>VLOOKUP($A73&amp;W$1,Data!$A$2:$D$3723,4,FALSE)</f>
        <v>0.56000000000000005</v>
      </c>
      <c r="X73">
        <f>VLOOKUP($A73&amp;X$1,Data!$A$2:$D$3723,4,FALSE)</f>
        <v>2.65</v>
      </c>
      <c r="Y73">
        <f>VLOOKUP($A73&amp;Y$1,Data!$A$2:$D$3723,4,FALSE)</f>
        <v>1.8280000000000001</v>
      </c>
      <c r="Z73">
        <f>VLOOKUP($A73&amp;Z$1,Data!$A$2:$D$3723,4,FALSE)</f>
        <v>-0.126</v>
      </c>
      <c r="AA73">
        <f>VLOOKUP($A73&amp;AA$1,Data!$A$2:$D$3723,4,FALSE)</f>
        <v>0.59299999999999997</v>
      </c>
      <c r="AB73">
        <f>VLOOKUP($A73&amp;AB$1,Data!$A$2:$D$3723,4,FALSE)</f>
        <v>0.35199999999999998</v>
      </c>
      <c r="AC73">
        <f>VLOOKUP($A73&amp;AC$1,Data!$A$2:$D$3723,4,FALSE)</f>
        <v>2.9380000000000002</v>
      </c>
      <c r="AD73">
        <f>VLOOKUP($A73&amp;AD$1,Data!$A$2:$D$3723,4,FALSE)</f>
        <v>0.59799999999999998</v>
      </c>
      <c r="AE73">
        <f>VLOOKUP($A73&amp;AE$1,Data!$A$2:$D$3723,4,FALSE)</f>
        <v>-14.420999999999999</v>
      </c>
      <c r="AF73">
        <f>VLOOKUP($A73&amp;AF$1,Data!$A$2:$D$3723,4,FALSE)</f>
        <v>0</v>
      </c>
      <c r="AG73">
        <f>VLOOKUP($A73&amp;AG$1,Data!$A$2:$D$3723,4,FALSE)</f>
        <v>34000000</v>
      </c>
    </row>
    <row r="74" spans="1:33" hidden="1" x14ac:dyDescent="0.35">
      <c r="A74" s="13">
        <f t="shared" si="4"/>
        <v>73</v>
      </c>
      <c r="B74" t="s">
        <v>6</v>
      </c>
      <c r="C74" t="s">
        <v>3</v>
      </c>
      <c r="D74">
        <v>100</v>
      </c>
      <c r="E74" t="s">
        <v>17</v>
      </c>
      <c r="F74" s="5">
        <v>43831</v>
      </c>
      <c r="G74" s="5">
        <v>44562</v>
      </c>
      <c r="H74">
        <v>14</v>
      </c>
      <c r="I74">
        <v>9</v>
      </c>
      <c r="J74">
        <f t="shared" si="5"/>
        <v>28</v>
      </c>
      <c r="K74">
        <f t="shared" si="6"/>
        <v>72</v>
      </c>
      <c r="L74">
        <v>1000000</v>
      </c>
      <c r="M74">
        <f>VLOOKUP($A74&amp;M$1,Data!$A$2:$D$3723,4,FALSE)</f>
        <v>0.36726999999999999</v>
      </c>
      <c r="N74">
        <f>VLOOKUP($A74&amp;N$1,Data!$A$2:$D$3723,4,FALSE)</f>
        <v>0.64800000000000002</v>
      </c>
      <c r="O74">
        <f>VLOOKUP($A74&amp;O$1,Data!$A$2:$D$3723,4,FALSE)</f>
        <v>688</v>
      </c>
      <c r="P74">
        <f>VLOOKUP($A74&amp;P$1,Data!$A$2:$D$3723,4,FALSE)</f>
        <v>2.3E-3</v>
      </c>
      <c r="Q74">
        <f>VLOOKUP($A74&amp;Q$1,Data!$A$2:$D$3723,4,FALSE)</f>
        <v>-1.4E-3</v>
      </c>
      <c r="R74">
        <f>VLOOKUP($A74&amp;R$1,Data!$A$2:$D$3723,4,FALSE)</f>
        <v>1.455E-2</v>
      </c>
      <c r="S74">
        <f>VLOOKUP($A74&amp;S$1,Data!$A$2:$D$3723,4,FALSE)</f>
        <v>1.2999999999999999E-2</v>
      </c>
      <c r="T74">
        <f>VLOOKUP($A74&amp;T$1,Data!$A$2:$D$3723,4,FALSE)</f>
        <v>0.30099999999999999</v>
      </c>
      <c r="U74">
        <f>VLOOKUP($A74&amp;U$1,Data!$A$2:$D$3723,4,FALSE)</f>
        <v>9.3799999999999994E-3</v>
      </c>
      <c r="V74">
        <f>VLOOKUP($A74&amp;V$1,Data!$A$2:$D$3723,4,FALSE)</f>
        <v>0.5</v>
      </c>
      <c r="W74">
        <f>VLOOKUP($A74&amp;W$1,Data!$A$2:$D$3723,4,FALSE)</f>
        <v>0.5</v>
      </c>
      <c r="X74">
        <f>VLOOKUP($A74&amp;X$1,Data!$A$2:$D$3723,4,FALSE)</f>
        <v>1.6</v>
      </c>
      <c r="Y74">
        <f>VLOOKUP($A74&amp;Y$1,Data!$A$2:$D$3723,4,FALSE)</f>
        <v>8.9999999999999993E-3</v>
      </c>
      <c r="Z74">
        <f>VLOOKUP($A74&amp;Z$1,Data!$A$2:$D$3723,4,FALSE)</f>
        <v>2.5000000000000001E-2</v>
      </c>
      <c r="AA74">
        <f>VLOOKUP($A74&amp;AA$1,Data!$A$2:$D$3723,4,FALSE)</f>
        <v>1.6E-2</v>
      </c>
      <c r="AB74">
        <f>VLOOKUP($A74&amp;AB$1,Data!$A$2:$D$3723,4,FALSE)</f>
        <v>0</v>
      </c>
      <c r="AC74">
        <f>VLOOKUP($A74&amp;AC$1,Data!$A$2:$D$3723,4,FALSE)</f>
        <v>-0.8</v>
      </c>
      <c r="AD74">
        <f>VLOOKUP($A74&amp;AD$1,Data!$A$2:$D$3723,4,FALSE)</f>
        <v>6.7000000000000004E-2</v>
      </c>
      <c r="AE74">
        <f>VLOOKUP($A74&amp;AE$1,Data!$A$2:$D$3723,4,FALSE)</f>
        <v>0.40600000000000003</v>
      </c>
      <c r="AF74">
        <f>VLOOKUP($A74&amp;AF$1,Data!$A$2:$D$3723,4,FALSE)</f>
        <v>0</v>
      </c>
      <c r="AG74">
        <f>VLOOKUP($A74&amp;AG$1,Data!$A$2:$D$3723,4,FALSE)</f>
        <v>16000000</v>
      </c>
    </row>
    <row r="75" spans="1:33" hidden="1" x14ac:dyDescent="0.35">
      <c r="A75" s="13">
        <f>A74+1</f>
        <v>74</v>
      </c>
      <c r="B75" t="s">
        <v>6</v>
      </c>
      <c r="C75" t="s">
        <v>3</v>
      </c>
      <c r="D75">
        <v>1000</v>
      </c>
      <c r="E75" t="s">
        <v>17</v>
      </c>
      <c r="F75" s="5">
        <v>43831</v>
      </c>
      <c r="G75" s="5">
        <v>44562</v>
      </c>
      <c r="H75">
        <v>14</v>
      </c>
      <c r="I75">
        <v>9</v>
      </c>
      <c r="J75">
        <f t="shared" si="5"/>
        <v>28</v>
      </c>
      <c r="K75">
        <f t="shared" si="6"/>
        <v>72</v>
      </c>
      <c r="L75">
        <v>1000000</v>
      </c>
      <c r="M75">
        <f>VLOOKUP($A75&amp;M$1,Data!$A$2:$D$3723,4,FALSE)</f>
        <v>0.38724999999999998</v>
      </c>
      <c r="N75">
        <f>VLOOKUP($A75&amp;N$1,Data!$A$2:$D$3723,4,FALSE)</f>
        <v>0.74</v>
      </c>
      <c r="O75">
        <f>VLOOKUP($A75&amp;O$1,Data!$A$2:$D$3723,4,FALSE)</f>
        <v>688</v>
      </c>
      <c r="P75">
        <f>VLOOKUP($A75&amp;P$1,Data!$A$2:$D$3723,4,FALSE)</f>
        <v>2.24E-2</v>
      </c>
      <c r="Q75">
        <f>VLOOKUP($A75&amp;Q$1,Data!$A$2:$D$3723,4,FALSE)</f>
        <v>-1.3599999999999999E-2</v>
      </c>
      <c r="R75">
        <f>VLOOKUP($A75&amp;R$1,Data!$A$2:$D$3723,4,FALSE)</f>
        <v>0.14881</v>
      </c>
      <c r="S75">
        <f>VLOOKUP($A75&amp;S$1,Data!$A$2:$D$3723,4,FALSE)</f>
        <v>0.11600000000000001</v>
      </c>
      <c r="T75">
        <f>VLOOKUP($A75&amp;T$1,Data!$A$2:$D$3723,4,FALSE)</f>
        <v>0.32200000000000001</v>
      </c>
      <c r="U75">
        <f>VLOOKUP($A75&amp;U$1,Data!$A$2:$D$3723,4,FALSE)</f>
        <v>9.3820000000000001E-2</v>
      </c>
      <c r="V75">
        <f>VLOOKUP($A75&amp;V$1,Data!$A$2:$D$3723,4,FALSE)</f>
        <v>0.5</v>
      </c>
      <c r="W75">
        <f>VLOOKUP($A75&amp;W$1,Data!$A$2:$D$3723,4,FALSE)</f>
        <v>0.5</v>
      </c>
      <c r="X75">
        <f>VLOOKUP($A75&amp;X$1,Data!$A$2:$D$3723,4,FALSE)</f>
        <v>1.64</v>
      </c>
      <c r="Y75">
        <f>VLOOKUP($A75&amp;Y$1,Data!$A$2:$D$3723,4,FALSE)</f>
        <v>9.9000000000000005E-2</v>
      </c>
      <c r="Z75">
        <f>VLOOKUP($A75&amp;Z$1,Data!$A$2:$D$3723,4,FALSE)</f>
        <v>0.23599999999999999</v>
      </c>
      <c r="AA75">
        <f>VLOOKUP($A75&amp;AA$1,Data!$A$2:$D$3723,4,FALSE)</f>
        <v>0.154</v>
      </c>
      <c r="AB75">
        <f>VLOOKUP($A75&amp;AB$1,Data!$A$2:$D$3723,4,FALSE)</f>
        <v>2.4E-2</v>
      </c>
      <c r="AC75">
        <f>VLOOKUP($A75&amp;AC$1,Data!$A$2:$D$3723,4,FALSE)</f>
        <v>0.312</v>
      </c>
      <c r="AD75">
        <f>VLOOKUP($A75&amp;AD$1,Data!$A$2:$D$3723,4,FALSE)</f>
        <v>0.16200000000000001</v>
      </c>
      <c r="AE75">
        <f>VLOOKUP($A75&amp;AE$1,Data!$A$2:$D$3723,4,FALSE)</f>
        <v>0.48199999999999998</v>
      </c>
      <c r="AF75">
        <f>VLOOKUP($A75&amp;AF$1,Data!$A$2:$D$3723,4,FALSE)</f>
        <v>0</v>
      </c>
      <c r="AG75">
        <f>VLOOKUP($A75&amp;AG$1,Data!$A$2:$D$3723,4,FALSE)</f>
        <v>3600000</v>
      </c>
    </row>
    <row r="76" spans="1:33" hidden="1" x14ac:dyDescent="0.35">
      <c r="A76" s="13">
        <f>A75+1</f>
        <v>75</v>
      </c>
      <c r="B76" t="s">
        <v>6</v>
      </c>
      <c r="C76" t="s">
        <v>3</v>
      </c>
      <c r="D76">
        <v>5000</v>
      </c>
      <c r="E76" t="s">
        <v>17</v>
      </c>
      <c r="F76" s="5">
        <v>43831</v>
      </c>
      <c r="G76" s="5">
        <v>44562</v>
      </c>
      <c r="H76">
        <v>14</v>
      </c>
      <c r="I76">
        <v>9</v>
      </c>
      <c r="J76">
        <f t="shared" si="5"/>
        <v>28</v>
      </c>
      <c r="K76">
        <f t="shared" si="6"/>
        <v>72</v>
      </c>
      <c r="L76">
        <v>1000000</v>
      </c>
      <c r="M76">
        <f>VLOOKUP($A76&amp;M$1,Data!$A$2:$D$3723,4,FALSE)</f>
        <v>0.47072000000000003</v>
      </c>
      <c r="N76">
        <f>VLOOKUP($A76&amp;N$1,Data!$A$2:$D$3723,4,FALSE)</f>
        <v>1.329</v>
      </c>
      <c r="O76">
        <f>VLOOKUP($A76&amp;O$1,Data!$A$2:$D$3723,4,FALSE)</f>
        <v>688</v>
      </c>
      <c r="P76">
        <f>VLOOKUP($A76&amp;P$1,Data!$A$2:$D$3723,4,FALSE)</f>
        <v>0.1079</v>
      </c>
      <c r="Q76">
        <f>VLOOKUP($A76&amp;Q$1,Data!$A$2:$D$3723,4,FALSE)</f>
        <v>-5.9400000000000001E-2</v>
      </c>
      <c r="R76">
        <f>VLOOKUP($A76&amp;R$1,Data!$A$2:$D$3723,4,FALSE)</f>
        <v>0.81308999999999998</v>
      </c>
      <c r="S76">
        <f>VLOOKUP($A76&amp;S$1,Data!$A$2:$D$3723,4,FALSE)</f>
        <v>0.44</v>
      </c>
      <c r="T76">
        <f>VLOOKUP($A76&amp;T$1,Data!$A$2:$D$3723,4,FALSE)</f>
        <v>0.40799999999999997</v>
      </c>
      <c r="U76">
        <f>VLOOKUP($A76&amp;U$1,Data!$A$2:$D$3723,4,FALSE)</f>
        <v>0.46911999999999998</v>
      </c>
      <c r="V76">
        <f>VLOOKUP($A76&amp;V$1,Data!$A$2:$D$3723,4,FALSE)</f>
        <v>0.5</v>
      </c>
      <c r="W76">
        <f>VLOOKUP($A76&amp;W$1,Data!$A$2:$D$3723,4,FALSE)</f>
        <v>0.5</v>
      </c>
      <c r="X76">
        <f>VLOOKUP($A76&amp;X$1,Data!$A$2:$D$3723,4,FALSE)</f>
        <v>1.82</v>
      </c>
      <c r="Y76">
        <f>VLOOKUP($A76&amp;Y$1,Data!$A$2:$D$3723,4,FALSE)</f>
        <v>0.93600000000000005</v>
      </c>
      <c r="Z76">
        <f>VLOOKUP($A76&amp;Z$1,Data!$A$2:$D$3723,4,FALSE)</f>
        <v>0.86799999999999999</v>
      </c>
      <c r="AA76">
        <f>VLOOKUP($A76&amp;AA$1,Data!$A$2:$D$3723,4,FALSE)</f>
        <v>0.746</v>
      </c>
      <c r="AB76">
        <f>VLOOKUP($A76&amp;AB$1,Data!$A$2:$D$3723,4,FALSE)</f>
        <v>0.55600000000000005</v>
      </c>
      <c r="AC76">
        <f>VLOOKUP($A76&amp;AC$1,Data!$A$2:$D$3723,4,FALSE)</f>
        <v>1.2470000000000001</v>
      </c>
      <c r="AD76">
        <f>VLOOKUP($A76&amp;AD$1,Data!$A$2:$D$3723,4,FALSE)</f>
        <v>0.74399999999999999</v>
      </c>
      <c r="AE76">
        <f>VLOOKUP($A76&amp;AE$1,Data!$A$2:$D$3723,4,FALSE)</f>
        <v>1.1419999999999999</v>
      </c>
      <c r="AF76">
        <f>VLOOKUP($A76&amp;AF$1,Data!$A$2:$D$3723,4,FALSE)</f>
        <v>0</v>
      </c>
      <c r="AG76">
        <f>VLOOKUP($A76&amp;AG$1,Data!$A$2:$D$3723,4,FALSE)</f>
        <v>2000000</v>
      </c>
    </row>
    <row r="77" spans="1:33" hidden="1" x14ac:dyDescent="0.35">
      <c r="A77" s="13">
        <f t="shared" si="4"/>
        <v>76</v>
      </c>
      <c r="B77" t="s">
        <v>6</v>
      </c>
      <c r="C77" t="s">
        <v>2</v>
      </c>
      <c r="D77">
        <v>100</v>
      </c>
      <c r="E77" t="s">
        <v>17</v>
      </c>
      <c r="F77" s="5">
        <v>43831</v>
      </c>
      <c r="G77" s="5">
        <v>44562</v>
      </c>
      <c r="H77">
        <v>14</v>
      </c>
      <c r="I77">
        <v>9</v>
      </c>
      <c r="J77">
        <f t="shared" si="5"/>
        <v>28</v>
      </c>
      <c r="K77">
        <f t="shared" si="6"/>
        <v>72</v>
      </c>
      <c r="L77">
        <v>1000000</v>
      </c>
      <c r="M77">
        <f>VLOOKUP($A77&amp;M$1,Data!$A$2:$D$3723,4,FALSE)</f>
        <v>0.27840999999999999</v>
      </c>
      <c r="N77">
        <f>VLOOKUP($A77&amp;N$1,Data!$A$2:$D$3723,4,FALSE)</f>
        <v>0.38200000000000001</v>
      </c>
      <c r="O77">
        <f>VLOOKUP($A77&amp;O$1,Data!$A$2:$D$3723,4,FALSE)</f>
        <v>398</v>
      </c>
      <c r="P77">
        <f>VLOOKUP($A77&amp;P$1,Data!$A$2:$D$3723,4,FALSE)</f>
        <v>3.3999999999999998E-3</v>
      </c>
      <c r="Q77">
        <f>VLOOKUP($A77&amp;Q$1,Data!$A$2:$D$3723,4,FALSE)</f>
        <v>-3.3E-3</v>
      </c>
      <c r="R77">
        <f>VLOOKUP($A77&amp;R$1,Data!$A$2:$D$3723,4,FALSE)</f>
        <v>8.1799999999999998E-3</v>
      </c>
      <c r="S77">
        <f>VLOOKUP($A77&amp;S$1,Data!$A$2:$D$3723,4,FALSE)</f>
        <v>0.02</v>
      </c>
      <c r="T77">
        <f>VLOOKUP($A77&amp;T$1,Data!$A$2:$D$3723,4,FALSE)</f>
        <v>0.108</v>
      </c>
      <c r="U77">
        <f>VLOOKUP($A77&amp;U$1,Data!$A$2:$D$3723,4,FALSE)</f>
        <v>5.28E-3</v>
      </c>
      <c r="V77">
        <f>VLOOKUP($A77&amp;V$1,Data!$A$2:$D$3723,4,FALSE)</f>
        <v>0.46</v>
      </c>
      <c r="W77">
        <f>VLOOKUP($A77&amp;W$1,Data!$A$2:$D$3723,4,FALSE)</f>
        <v>0.54</v>
      </c>
      <c r="X77">
        <f>VLOOKUP($A77&amp;X$1,Data!$A$2:$D$3723,4,FALSE)</f>
        <v>1.06</v>
      </c>
      <c r="Y77">
        <f>VLOOKUP($A77&amp;Y$1,Data!$A$2:$D$3723,4,FALSE)</f>
        <v>6.0000000000000001E-3</v>
      </c>
      <c r="Z77">
        <f>VLOOKUP($A77&amp;Z$1,Data!$A$2:$D$3723,4,FALSE)</f>
        <v>-1E-3</v>
      </c>
      <c r="AA77">
        <f>VLOOKUP($A77&amp;AA$1,Data!$A$2:$D$3723,4,FALSE)</f>
        <v>1.4999999999999999E-2</v>
      </c>
      <c r="AB77">
        <f>VLOOKUP($A77&amp;AB$1,Data!$A$2:$D$3723,4,FALSE)</f>
        <v>0</v>
      </c>
      <c r="AC77">
        <f>VLOOKUP($A77&amp;AC$1,Data!$A$2:$D$3723,4,FALSE)</f>
        <v>-0.84499999999999997</v>
      </c>
      <c r="AD77">
        <f>VLOOKUP($A77&amp;AD$1,Data!$A$2:$D$3723,4,FALSE)</f>
        <v>6.9000000000000006E-2</v>
      </c>
      <c r="AE77">
        <f>VLOOKUP($A77&amp;AE$1,Data!$A$2:$D$3723,4,FALSE)</f>
        <v>-5.5830000000000002</v>
      </c>
      <c r="AF77">
        <f>VLOOKUP($A77&amp;AF$1,Data!$A$2:$D$3723,4,FALSE)</f>
        <v>0</v>
      </c>
      <c r="AG77">
        <f>VLOOKUP($A77&amp;AG$1,Data!$A$2:$D$3723,4,FALSE)</f>
        <v>4100000000</v>
      </c>
    </row>
    <row r="78" spans="1:33" hidden="1" x14ac:dyDescent="0.35">
      <c r="A78" s="13">
        <f t="shared" si="4"/>
        <v>77</v>
      </c>
      <c r="B78" t="s">
        <v>6</v>
      </c>
      <c r="C78" t="s">
        <v>2</v>
      </c>
      <c r="D78">
        <v>1000</v>
      </c>
      <c r="E78" t="s">
        <v>17</v>
      </c>
      <c r="F78" s="5">
        <v>43831</v>
      </c>
      <c r="G78" s="5">
        <v>44562</v>
      </c>
      <c r="H78">
        <v>14</v>
      </c>
      <c r="I78">
        <v>9</v>
      </c>
      <c r="J78">
        <f t="shared" si="5"/>
        <v>28</v>
      </c>
      <c r="K78">
        <f t="shared" si="6"/>
        <v>72</v>
      </c>
      <c r="L78">
        <v>1000000</v>
      </c>
      <c r="M78">
        <f>VLOOKUP($A78&amp;M$1,Data!$A$2:$D$3723,4,FALSE)</f>
        <v>0.42574000000000001</v>
      </c>
      <c r="N78">
        <f>VLOOKUP($A78&amp;N$1,Data!$A$2:$D$3723,4,FALSE)</f>
        <v>1.212</v>
      </c>
      <c r="O78">
        <f>VLOOKUP($A78&amp;O$1,Data!$A$2:$D$3723,4,FALSE)</f>
        <v>383</v>
      </c>
      <c r="P78">
        <f>VLOOKUP($A78&amp;P$1,Data!$A$2:$D$3723,4,FALSE)</f>
        <v>0.21609999999999999</v>
      </c>
      <c r="Q78">
        <f>VLOOKUP($A78&amp;Q$1,Data!$A$2:$D$3723,4,FALSE)</f>
        <v>-0.1457</v>
      </c>
      <c r="R78">
        <f>VLOOKUP($A78&amp;R$1,Data!$A$2:$D$3723,4,FALSE)</f>
        <v>0.60529999999999995</v>
      </c>
      <c r="S78">
        <f>VLOOKUP($A78&amp;S$1,Data!$A$2:$D$3723,4,FALSE)</f>
        <v>0.72299999999999998</v>
      </c>
      <c r="T78">
        <f>VLOOKUP($A78&amp;T$1,Data!$A$2:$D$3723,4,FALSE)</f>
        <v>0.32400000000000001</v>
      </c>
      <c r="U78">
        <f>VLOOKUP($A78&amp;U$1,Data!$A$2:$D$3723,4,FALSE)</f>
        <v>0.35619000000000001</v>
      </c>
      <c r="V78">
        <f>VLOOKUP($A78&amp;V$1,Data!$A$2:$D$3723,4,FALSE)</f>
        <v>0.47</v>
      </c>
      <c r="W78">
        <f>VLOOKUP($A78&amp;W$1,Data!$A$2:$D$3723,4,FALSE)</f>
        <v>0.53</v>
      </c>
      <c r="X78">
        <f>VLOOKUP($A78&amp;X$1,Data!$A$2:$D$3723,4,FALSE)</f>
        <v>1.48</v>
      </c>
      <c r="Y78">
        <f>VLOOKUP($A78&amp;Y$1,Data!$A$2:$D$3723,4,FALSE)</f>
        <v>1.139</v>
      </c>
      <c r="Z78">
        <f>VLOOKUP($A78&amp;Z$1,Data!$A$2:$D$3723,4,FALSE)</f>
        <v>-8.9999999999999993E-3</v>
      </c>
      <c r="AA78">
        <f>VLOOKUP($A78&amp;AA$1,Data!$A$2:$D$3723,4,FALSE)</f>
        <v>0.93799999999999994</v>
      </c>
      <c r="AB78">
        <f>VLOOKUP($A78&amp;AB$1,Data!$A$2:$D$3723,4,FALSE)</f>
        <v>0.88100000000000001</v>
      </c>
      <c r="AC78">
        <f>VLOOKUP($A78&amp;AC$1,Data!$A$2:$D$3723,4,FALSE)</f>
        <v>1.141</v>
      </c>
      <c r="AD78">
        <f>VLOOKUP($A78&amp;AD$1,Data!$A$2:$D$3723,4,FALSE)</f>
        <v>0.94099999999999995</v>
      </c>
      <c r="AE78">
        <f>VLOOKUP($A78&amp;AE$1,Data!$A$2:$D$3723,4,FALSE)</f>
        <v>-121.6</v>
      </c>
      <c r="AF78">
        <f>VLOOKUP($A78&amp;AF$1,Data!$A$2:$D$3723,4,FALSE)</f>
        <v>0</v>
      </c>
      <c r="AG78">
        <f>VLOOKUP($A78&amp;AG$1,Data!$A$2:$D$3723,4,FALSE)</f>
        <v>320000000</v>
      </c>
    </row>
    <row r="79" spans="1:33" hidden="1" x14ac:dyDescent="0.35">
      <c r="A79" s="13">
        <f t="shared" si="4"/>
        <v>78</v>
      </c>
      <c r="B79" t="s">
        <v>6</v>
      </c>
      <c r="C79" t="s">
        <v>2</v>
      </c>
      <c r="D79">
        <v>5000</v>
      </c>
      <c r="E79" t="s">
        <v>17</v>
      </c>
      <c r="F79" s="5">
        <v>43831</v>
      </c>
      <c r="G79" s="5">
        <v>44562</v>
      </c>
      <c r="H79">
        <v>14</v>
      </c>
      <c r="I79">
        <v>9</v>
      </c>
      <c r="J79">
        <f t="shared" si="5"/>
        <v>28</v>
      </c>
      <c r="K79">
        <f t="shared" si="6"/>
        <v>72</v>
      </c>
      <c r="L79">
        <v>1000000</v>
      </c>
      <c r="M79">
        <f>VLOOKUP($A79&amp;M$1,Data!$A$2:$D$3723,4,FALSE)</f>
        <v>0.42503999999999997</v>
      </c>
      <c r="N79">
        <f>VLOOKUP($A79&amp;N$1,Data!$A$2:$D$3723,4,FALSE)</f>
        <v>1.208</v>
      </c>
      <c r="O79">
        <f>VLOOKUP($A79&amp;O$1,Data!$A$2:$D$3723,4,FALSE)</f>
        <v>388</v>
      </c>
      <c r="P79">
        <f>VLOOKUP($A79&amp;P$1,Data!$A$2:$D$3723,4,FALSE)</f>
        <v>0.21609999999999999</v>
      </c>
      <c r="Q79">
        <f>VLOOKUP($A79&amp;Q$1,Data!$A$2:$D$3723,4,FALSE)</f>
        <v>-0.1457</v>
      </c>
      <c r="R79">
        <f>VLOOKUP($A79&amp;R$1,Data!$A$2:$D$3723,4,FALSE)</f>
        <v>0.60277999999999998</v>
      </c>
      <c r="S79">
        <f>VLOOKUP($A79&amp;S$1,Data!$A$2:$D$3723,4,FALSE)</f>
        <v>0.72299999999999998</v>
      </c>
      <c r="T79">
        <f>VLOOKUP($A79&amp;T$1,Data!$A$2:$D$3723,4,FALSE)</f>
        <v>0.32400000000000001</v>
      </c>
      <c r="U79">
        <f>VLOOKUP($A79&amp;U$1,Data!$A$2:$D$3723,4,FALSE)</f>
        <v>0.35657</v>
      </c>
      <c r="V79">
        <f>VLOOKUP($A79&amp;V$1,Data!$A$2:$D$3723,4,FALSE)</f>
        <v>0.47</v>
      </c>
      <c r="W79">
        <f>VLOOKUP($A79&amp;W$1,Data!$A$2:$D$3723,4,FALSE)</f>
        <v>0.53</v>
      </c>
      <c r="X79">
        <f>VLOOKUP($A79&amp;X$1,Data!$A$2:$D$3723,4,FALSE)</f>
        <v>1.48</v>
      </c>
      <c r="Y79">
        <f>VLOOKUP($A79&amp;Y$1,Data!$A$2:$D$3723,4,FALSE)</f>
        <v>1.1319999999999999</v>
      </c>
      <c r="Z79">
        <f>VLOOKUP($A79&amp;Z$1,Data!$A$2:$D$3723,4,FALSE)</f>
        <v>-8.9999999999999993E-3</v>
      </c>
      <c r="AA79">
        <f>VLOOKUP($A79&amp;AA$1,Data!$A$2:$D$3723,4,FALSE)</f>
        <v>0.93600000000000005</v>
      </c>
      <c r="AB79">
        <f>VLOOKUP($A79&amp;AB$1,Data!$A$2:$D$3723,4,FALSE)</f>
        <v>0.877</v>
      </c>
      <c r="AC79">
        <f>VLOOKUP($A79&amp;AC$1,Data!$A$2:$D$3723,4,FALSE)</f>
        <v>1.137</v>
      </c>
      <c r="AD79">
        <f>VLOOKUP($A79&amp;AD$1,Data!$A$2:$D$3723,4,FALSE)</f>
        <v>0.93899999999999995</v>
      </c>
      <c r="AE79">
        <f>VLOOKUP($A79&amp;AE$1,Data!$A$2:$D$3723,4,FALSE)</f>
        <v>-123.89700000000001</v>
      </c>
      <c r="AF79">
        <f>VLOOKUP($A79&amp;AF$1,Data!$A$2:$D$3723,4,FALSE)</f>
        <v>0</v>
      </c>
      <c r="AG79">
        <f>VLOOKUP($A79&amp;AG$1,Data!$A$2:$D$3723,4,FALSE)</f>
        <v>110000000</v>
      </c>
    </row>
    <row r="80" spans="1:33" hidden="1" x14ac:dyDescent="0.35">
      <c r="A80" s="13">
        <f t="shared" si="4"/>
        <v>79</v>
      </c>
      <c r="B80" t="s">
        <v>6</v>
      </c>
      <c r="C80" t="s">
        <v>22</v>
      </c>
      <c r="D80">
        <v>100</v>
      </c>
      <c r="E80" t="s">
        <v>17</v>
      </c>
      <c r="F80" s="5">
        <v>43831</v>
      </c>
      <c r="G80" s="5">
        <v>44562</v>
      </c>
      <c r="H80">
        <v>14</v>
      </c>
      <c r="I80">
        <v>9</v>
      </c>
      <c r="J80">
        <f t="shared" si="5"/>
        <v>28</v>
      </c>
      <c r="K80">
        <f t="shared" si="6"/>
        <v>72</v>
      </c>
      <c r="L80">
        <v>1000000</v>
      </c>
      <c r="M80">
        <f>VLOOKUP($A80&amp;M$1,Data!$A$2:$D$3723,4,FALSE)</f>
        <v>0.21287</v>
      </c>
      <c r="N80">
        <f>VLOOKUP($A80&amp;N$1,Data!$A$2:$D$3723,4,FALSE)</f>
        <v>0.183</v>
      </c>
      <c r="O80">
        <f>VLOOKUP($A80&amp;O$1,Data!$A$2:$D$3723,4,FALSE)</f>
        <v>285</v>
      </c>
      <c r="P80">
        <f>VLOOKUP($A80&amp;P$1,Data!$A$2:$D$3723,4,FALSE)</f>
        <v>2.0999999999999999E-3</v>
      </c>
      <c r="Q80">
        <f>VLOOKUP($A80&amp;Q$1,Data!$A$2:$D$3723,4,FALSE)</f>
        <v>-2.0999999999999999E-3</v>
      </c>
      <c r="R80">
        <f>VLOOKUP($A80&amp;R$1,Data!$A$2:$D$3723,4,FALSE)</f>
        <v>3.13E-3</v>
      </c>
      <c r="S80">
        <f>VLOOKUP($A80&amp;S$1,Data!$A$2:$D$3723,4,FALSE)</f>
        <v>1.0999999999999999E-2</v>
      </c>
      <c r="T80">
        <f>VLOOKUP($A80&amp;T$1,Data!$A$2:$D$3723,4,FALSE)</f>
        <v>0.111</v>
      </c>
      <c r="U80">
        <f>VLOOKUP($A80&amp;U$1,Data!$A$2:$D$3723,4,FALSE)</f>
        <v>2.0300000000000001E-3</v>
      </c>
      <c r="V80">
        <f>VLOOKUP($A80&amp;V$1,Data!$A$2:$D$3723,4,FALSE)</f>
        <v>0.44</v>
      </c>
      <c r="W80">
        <f>VLOOKUP($A80&amp;W$1,Data!$A$2:$D$3723,4,FALSE)</f>
        <v>0.56000000000000005</v>
      </c>
      <c r="X80">
        <f>VLOOKUP($A80&amp;X$1,Data!$A$2:$D$3723,4,FALSE)</f>
        <v>1</v>
      </c>
      <c r="Y80">
        <f>VLOOKUP($A80&amp;Y$1,Data!$A$2:$D$3723,4,FALSE)</f>
        <v>2E-3</v>
      </c>
      <c r="Z80">
        <f>VLOOKUP($A80&amp;Z$1,Data!$A$2:$D$3723,4,FALSE)</f>
        <v>0.01</v>
      </c>
      <c r="AA80">
        <f>VLOOKUP($A80&amp;AA$1,Data!$A$2:$D$3723,4,FALSE)</f>
        <v>1.2E-2</v>
      </c>
      <c r="AB80">
        <f>VLOOKUP($A80&amp;AB$1,Data!$A$2:$D$3723,4,FALSE)</f>
        <v>0</v>
      </c>
      <c r="AC80">
        <f>VLOOKUP($A80&amp;AC$1,Data!$A$2:$D$3723,4,FALSE)</f>
        <v>-0.91400000000000003</v>
      </c>
      <c r="AD80">
        <f>VLOOKUP($A80&amp;AD$1,Data!$A$2:$D$3723,4,FALSE)</f>
        <v>6.7000000000000004E-2</v>
      </c>
      <c r="AE80">
        <f>VLOOKUP($A80&amp;AE$1,Data!$A$2:$D$3723,4,FALSE)</f>
        <v>0.23599999999999999</v>
      </c>
      <c r="AF80">
        <f>VLOOKUP($A80&amp;AF$1,Data!$A$2:$D$3723,4,FALSE)</f>
        <v>0</v>
      </c>
      <c r="AG80">
        <f>VLOOKUP($A80&amp;AG$1,Data!$A$2:$D$3723,4,FALSE)</f>
        <v>280000000</v>
      </c>
    </row>
    <row r="81" spans="1:33" hidden="1" x14ac:dyDescent="0.35">
      <c r="A81" s="13">
        <f t="shared" si="4"/>
        <v>80</v>
      </c>
      <c r="B81" t="s">
        <v>6</v>
      </c>
      <c r="C81" t="s">
        <v>22</v>
      </c>
      <c r="D81">
        <v>1000</v>
      </c>
      <c r="E81" t="s">
        <v>17</v>
      </c>
      <c r="F81" s="5">
        <v>43831</v>
      </c>
      <c r="G81" s="5">
        <v>44562</v>
      </c>
      <c r="H81">
        <v>14</v>
      </c>
      <c r="I81">
        <v>9</v>
      </c>
      <c r="J81">
        <f t="shared" si="5"/>
        <v>28</v>
      </c>
      <c r="K81">
        <f t="shared" si="6"/>
        <v>72</v>
      </c>
      <c r="L81">
        <v>1000000</v>
      </c>
      <c r="M81">
        <f>VLOOKUP($A81&amp;M$1,Data!$A$2:$D$3723,4,FALSE)</f>
        <v>0.22600000000000001</v>
      </c>
      <c r="N81">
        <f>VLOOKUP($A81&amp;N$1,Data!$A$2:$D$3723,4,FALSE)</f>
        <v>0.23599999999999999</v>
      </c>
      <c r="O81">
        <f>VLOOKUP($A81&amp;O$1,Data!$A$2:$D$3723,4,FALSE)</f>
        <v>285</v>
      </c>
      <c r="P81">
        <f>VLOOKUP($A81&amp;P$1,Data!$A$2:$D$3723,4,FALSE)</f>
        <v>2.2100000000000002E-2</v>
      </c>
      <c r="Q81">
        <f>VLOOKUP($A81&amp;Q$1,Data!$A$2:$D$3723,4,FALSE)</f>
        <v>-2.1600000000000001E-2</v>
      </c>
      <c r="R81">
        <f>VLOOKUP($A81&amp;R$1,Data!$A$2:$D$3723,4,FALSE)</f>
        <v>3.15E-2</v>
      </c>
      <c r="S81">
        <f>VLOOKUP($A81&amp;S$1,Data!$A$2:$D$3723,4,FALSE)</f>
        <v>0.109</v>
      </c>
      <c r="T81">
        <f>VLOOKUP($A81&amp;T$1,Data!$A$2:$D$3723,4,FALSE)</f>
        <v>0.123</v>
      </c>
      <c r="U81">
        <f>VLOOKUP($A81&amp;U$1,Data!$A$2:$D$3723,4,FALSE)</f>
        <v>2.0250000000000001E-2</v>
      </c>
      <c r="V81">
        <f>VLOOKUP($A81&amp;V$1,Data!$A$2:$D$3723,4,FALSE)</f>
        <v>0.44</v>
      </c>
      <c r="W81">
        <f>VLOOKUP($A81&amp;W$1,Data!$A$2:$D$3723,4,FALSE)</f>
        <v>0.56000000000000005</v>
      </c>
      <c r="X81">
        <f>VLOOKUP($A81&amp;X$1,Data!$A$2:$D$3723,4,FALSE)</f>
        <v>1.02</v>
      </c>
      <c r="Y81">
        <f>VLOOKUP($A81&amp;Y$1,Data!$A$2:$D$3723,4,FALSE)</f>
        <v>2.4E-2</v>
      </c>
      <c r="Z81">
        <f>VLOOKUP($A81&amp;Z$1,Data!$A$2:$D$3723,4,FALSE)</f>
        <v>9.5000000000000001E-2</v>
      </c>
      <c r="AA81">
        <f>VLOOKUP($A81&amp;AA$1,Data!$A$2:$D$3723,4,FALSE)</f>
        <v>0.126</v>
      </c>
      <c r="AB81">
        <f>VLOOKUP($A81&amp;AB$1,Data!$A$2:$D$3723,4,FALSE)</f>
        <v>1.6E-2</v>
      </c>
      <c r="AC81">
        <f>VLOOKUP($A81&amp;AC$1,Data!$A$2:$D$3723,4,FALSE)</f>
        <v>-0.24199999999999999</v>
      </c>
      <c r="AD81">
        <f>VLOOKUP($A81&amp;AD$1,Data!$A$2:$D$3723,4,FALSE)</f>
        <v>0.14000000000000001</v>
      </c>
      <c r="AE81">
        <f>VLOOKUP($A81&amp;AE$1,Data!$A$2:$D$3723,4,FALSE)</f>
        <v>0.314</v>
      </c>
      <c r="AF81">
        <f>VLOOKUP($A81&amp;AF$1,Data!$A$2:$D$3723,4,FALSE)</f>
        <v>0</v>
      </c>
      <c r="AG81">
        <f>VLOOKUP($A81&amp;AG$1,Data!$A$2:$D$3723,4,FALSE)</f>
        <v>30000000</v>
      </c>
    </row>
    <row r="82" spans="1:33" hidden="1" x14ac:dyDescent="0.35">
      <c r="A82" s="13">
        <f t="shared" si="4"/>
        <v>81</v>
      </c>
      <c r="B82" t="s">
        <v>6</v>
      </c>
      <c r="C82" t="s">
        <v>22</v>
      </c>
      <c r="D82">
        <v>5000</v>
      </c>
      <c r="E82" t="s">
        <v>17</v>
      </c>
      <c r="F82" s="5">
        <v>43831</v>
      </c>
      <c r="G82" s="5">
        <v>44562</v>
      </c>
      <c r="H82">
        <v>14</v>
      </c>
      <c r="I82">
        <v>9</v>
      </c>
      <c r="J82">
        <f t="shared" si="5"/>
        <v>28</v>
      </c>
      <c r="K82">
        <f t="shared" si="6"/>
        <v>72</v>
      </c>
      <c r="L82">
        <v>1000000</v>
      </c>
      <c r="M82">
        <f>VLOOKUP($A82&amp;M$1,Data!$A$2:$D$3723,4,FALSE)</f>
        <v>0.21754999999999999</v>
      </c>
      <c r="N82">
        <f>VLOOKUP($A82&amp;N$1,Data!$A$2:$D$3723,4,FALSE)</f>
        <v>0.21199999999999999</v>
      </c>
      <c r="O82">
        <f>VLOOKUP($A82&amp;O$1,Data!$A$2:$D$3723,4,FALSE)</f>
        <v>284</v>
      </c>
      <c r="P82">
        <f>VLOOKUP($A82&amp;P$1,Data!$A$2:$D$3723,4,FALSE)</f>
        <v>0.1086</v>
      </c>
      <c r="Q82">
        <f>VLOOKUP($A82&amp;Q$1,Data!$A$2:$D$3723,4,FALSE)</f>
        <v>-6.9599999999999995E-2</v>
      </c>
      <c r="R82">
        <f>VLOOKUP($A82&amp;R$1,Data!$A$2:$D$3723,4,FALSE)</f>
        <v>-0.11747</v>
      </c>
      <c r="S82">
        <f>VLOOKUP($A82&amp;S$1,Data!$A$2:$D$3723,4,FALSE)</f>
        <v>0.49199999999999999</v>
      </c>
      <c r="T82">
        <f>VLOOKUP($A82&amp;T$1,Data!$A$2:$D$3723,4,FALSE)</f>
        <v>-1.4999999999999999E-2</v>
      </c>
      <c r="U82">
        <f>VLOOKUP($A82&amp;U$1,Data!$A$2:$D$3723,4,FALSE)</f>
        <v>-7.7609999999999998E-2</v>
      </c>
      <c r="V82">
        <f>VLOOKUP($A82&amp;V$1,Data!$A$2:$D$3723,4,FALSE)</f>
        <v>0.62</v>
      </c>
      <c r="W82">
        <f>VLOOKUP($A82&amp;W$1,Data!$A$2:$D$3723,4,FALSE)</f>
        <v>0.38</v>
      </c>
      <c r="X82">
        <f>VLOOKUP($A82&amp;X$1,Data!$A$2:$D$3723,4,FALSE)</f>
        <v>1.56</v>
      </c>
      <c r="Y82">
        <f>VLOOKUP($A82&amp;Y$1,Data!$A$2:$D$3723,4,FALSE)</f>
        <v>0.104</v>
      </c>
      <c r="Z82">
        <f>VLOOKUP($A82&amp;Z$1,Data!$A$2:$D$3723,4,FALSE)</f>
        <v>0.621</v>
      </c>
      <c r="AA82">
        <f>VLOOKUP($A82&amp;AA$1,Data!$A$2:$D$3723,4,FALSE)</f>
        <v>0.67600000000000005</v>
      </c>
      <c r="AB82">
        <f>VLOOKUP($A82&amp;AB$1,Data!$A$2:$D$3723,4,FALSE)</f>
        <v>0.45600000000000002</v>
      </c>
      <c r="AC82">
        <f>VLOOKUP($A82&amp;AC$1,Data!$A$2:$D$3723,4,FALSE)</f>
        <v>0.11799999999999999</v>
      </c>
      <c r="AD82">
        <f>VLOOKUP($A82&amp;AD$1,Data!$A$2:$D$3723,4,FALSE)</f>
        <v>0.67500000000000004</v>
      </c>
      <c r="AE82">
        <f>VLOOKUP($A82&amp;AE$1,Data!$A$2:$D$3723,4,FALSE)</f>
        <v>0.23100000000000001</v>
      </c>
      <c r="AF82">
        <f>VLOOKUP($A82&amp;AF$1,Data!$A$2:$D$3723,4,FALSE)</f>
        <v>0</v>
      </c>
      <c r="AG82">
        <f>VLOOKUP($A82&amp;AG$1,Data!$A$2:$D$3723,4,FALSE)</f>
        <v>6600000</v>
      </c>
    </row>
    <row r="83" spans="1:33" x14ac:dyDescent="0.35">
      <c r="A83" s="13">
        <f>A82+1</f>
        <v>82</v>
      </c>
      <c r="B83" t="s">
        <v>7</v>
      </c>
      <c r="C83" t="s">
        <v>3</v>
      </c>
      <c r="D83">
        <v>100</v>
      </c>
      <c r="E83" t="s">
        <v>17</v>
      </c>
      <c r="F83" s="5">
        <v>43831</v>
      </c>
      <c r="G83" s="5">
        <v>44562</v>
      </c>
      <c r="H83">
        <v>14</v>
      </c>
      <c r="I83">
        <v>9</v>
      </c>
      <c r="J83">
        <f t="shared" si="5"/>
        <v>30</v>
      </c>
      <c r="K83">
        <f t="shared" si="6"/>
        <v>70</v>
      </c>
      <c r="L83">
        <v>1000000</v>
      </c>
      <c r="M83">
        <f>VLOOKUP($A83&amp;M$1,Data!$A$2:$D$3723,4,FALSE)</f>
        <v>0.76280000000000003</v>
      </c>
      <c r="N83">
        <f>VLOOKUP($A83&amp;N$1,Data!$A$2:$D$3723,4,FALSE)</f>
        <v>1.7230000000000001</v>
      </c>
      <c r="O83">
        <f>VLOOKUP($A83&amp;O$1,Data!$A$2:$D$3723,4,FALSE)</f>
        <v>893</v>
      </c>
      <c r="P83">
        <f>VLOOKUP($A83&amp;P$1,Data!$A$2:$D$3723,4,FALSE)</f>
        <v>2.2000000000000001E-3</v>
      </c>
      <c r="Q83">
        <f>VLOOKUP($A83&amp;Q$1,Data!$A$2:$D$3723,4,FALSE)</f>
        <v>-1.4E-3</v>
      </c>
      <c r="R83">
        <f>VLOOKUP($A83&amp;R$1,Data!$A$2:$D$3723,4,FALSE)</f>
        <v>3.4130000000000001E-2</v>
      </c>
      <c r="S83">
        <f>VLOOKUP($A83&amp;S$1,Data!$A$2:$D$3723,4,FALSE)</f>
        <v>8.9999999999999993E-3</v>
      </c>
      <c r="T83">
        <f>VLOOKUP($A83&amp;T$1,Data!$A$2:$D$3723,4,FALSE)</f>
        <v>0.55300000000000005</v>
      </c>
      <c r="U83">
        <f>VLOOKUP($A83&amp;U$1,Data!$A$2:$D$3723,4,FALSE)</f>
        <v>2.1930000000000002E-2</v>
      </c>
      <c r="V83">
        <f>VLOOKUP($A83&amp;V$1,Data!$A$2:$D$3723,4,FALSE)</f>
        <v>0.38</v>
      </c>
      <c r="W83">
        <f>VLOOKUP($A83&amp;W$1,Data!$A$2:$D$3723,4,FALSE)</f>
        <v>0.62</v>
      </c>
      <c r="X83">
        <f>VLOOKUP($A83&amp;X$1,Data!$A$2:$D$3723,4,FALSE)</f>
        <v>1.5</v>
      </c>
      <c r="Y83">
        <f>VLOOKUP($A83&amp;Y$1,Data!$A$2:$D$3723,4,FALSE)</f>
        <v>1.9E-2</v>
      </c>
      <c r="Z83">
        <f>VLOOKUP($A83&amp;Z$1,Data!$A$2:$D$3723,4,FALSE)</f>
        <v>7.1999999999999995E-2</v>
      </c>
      <c r="AA83">
        <f>VLOOKUP($A83&amp;AA$1,Data!$A$2:$D$3723,4,FALSE)</f>
        <v>1.4E-2</v>
      </c>
      <c r="AB83">
        <f>VLOOKUP($A83&amp;AB$1,Data!$A$2:$D$3723,4,FALSE)</f>
        <v>0</v>
      </c>
      <c r="AC83">
        <f>VLOOKUP($A83&amp;AC$1,Data!$A$2:$D$3723,4,FALSE)</f>
        <v>-0.63300000000000001</v>
      </c>
      <c r="AD83">
        <f>VLOOKUP($A83&amp;AD$1,Data!$A$2:$D$3723,4,FALSE)</f>
        <v>6.3E-2</v>
      </c>
      <c r="AE83">
        <f>VLOOKUP($A83&amp;AE$1,Data!$A$2:$D$3723,4,FALSE)</f>
        <v>0.32900000000000001</v>
      </c>
      <c r="AF83">
        <f>VLOOKUP($A83&amp;AF$1,Data!$A$2:$D$3723,4,FALSE)</f>
        <v>0</v>
      </c>
      <c r="AG83">
        <f>VLOOKUP($A83&amp;AG$1,Data!$A$2:$D$3723,4,FALSE)</f>
        <v>25000000</v>
      </c>
    </row>
    <row r="84" spans="1:33" x14ac:dyDescent="0.35">
      <c r="A84" s="13">
        <f t="shared" ref="A84:A109" si="7">A83+1</f>
        <v>83</v>
      </c>
      <c r="B84" t="s">
        <v>7</v>
      </c>
      <c r="C84" t="s">
        <v>3</v>
      </c>
      <c r="D84">
        <v>1000</v>
      </c>
      <c r="E84" t="s">
        <v>17</v>
      </c>
      <c r="F84" s="5">
        <v>43831</v>
      </c>
      <c r="G84" s="5">
        <v>44562</v>
      </c>
      <c r="H84">
        <v>14</v>
      </c>
      <c r="I84">
        <v>9</v>
      </c>
      <c r="J84">
        <f t="shared" si="5"/>
        <v>30</v>
      </c>
      <c r="K84">
        <f t="shared" si="6"/>
        <v>70</v>
      </c>
      <c r="L84">
        <v>1000000</v>
      </c>
      <c r="M84">
        <f>VLOOKUP($A84&amp;M$1,Data!$A$2:$D$3723,4,FALSE)</f>
        <v>0.77276</v>
      </c>
      <c r="N84">
        <f>VLOOKUP($A84&amp;N$1,Data!$A$2:$D$3723,4,FALSE)</f>
        <v>1.9350000000000001</v>
      </c>
      <c r="O84">
        <f>VLOOKUP($A84&amp;O$1,Data!$A$2:$D$3723,4,FALSE)</f>
        <v>893</v>
      </c>
      <c r="P84">
        <f>VLOOKUP($A84&amp;P$1,Data!$A$2:$D$3723,4,FALSE)</f>
        <v>2.0299999999999999E-2</v>
      </c>
      <c r="Q84">
        <f>VLOOKUP($A84&amp;Q$1,Data!$A$2:$D$3723,4,FALSE)</f>
        <v>-1.34E-2</v>
      </c>
      <c r="R84">
        <f>VLOOKUP($A84&amp;R$1,Data!$A$2:$D$3723,4,FALSE)</f>
        <v>0.35898000000000002</v>
      </c>
      <c r="S84">
        <f>VLOOKUP($A84&amp;S$1,Data!$A$2:$D$3723,4,FALSE)</f>
        <v>8.2000000000000003E-2</v>
      </c>
      <c r="T84">
        <f>VLOOKUP($A84&amp;T$1,Data!$A$2:$D$3723,4,FALSE)</f>
        <v>0.56299999999999994</v>
      </c>
      <c r="U84">
        <f>VLOOKUP($A84&amp;U$1,Data!$A$2:$D$3723,4,FALSE)</f>
        <v>0.21931999999999999</v>
      </c>
      <c r="V84">
        <f>VLOOKUP($A84&amp;V$1,Data!$A$2:$D$3723,4,FALSE)</f>
        <v>0.38</v>
      </c>
      <c r="W84">
        <f>VLOOKUP($A84&amp;W$1,Data!$A$2:$D$3723,4,FALSE)</f>
        <v>0.62</v>
      </c>
      <c r="X84">
        <f>VLOOKUP($A84&amp;X$1,Data!$A$2:$D$3723,4,FALSE)</f>
        <v>1.52</v>
      </c>
      <c r="Y84">
        <f>VLOOKUP($A84&amp;Y$1,Data!$A$2:$D$3723,4,FALSE)</f>
        <v>0.20499999999999999</v>
      </c>
      <c r="Z84">
        <f>VLOOKUP($A84&amp;Z$1,Data!$A$2:$D$3723,4,FALSE)</f>
        <v>0.65900000000000003</v>
      </c>
      <c r="AA84">
        <f>VLOOKUP($A84&amp;AA$1,Data!$A$2:$D$3723,4,FALSE)</f>
        <v>0.128</v>
      </c>
      <c r="AB84">
        <f>VLOOKUP($A84&amp;AB$1,Data!$A$2:$D$3723,4,FALSE)</f>
        <v>1.6E-2</v>
      </c>
      <c r="AC84">
        <f>VLOOKUP($A84&amp;AC$1,Data!$A$2:$D$3723,4,FALSE)</f>
        <v>1.502</v>
      </c>
      <c r="AD84">
        <f>VLOOKUP($A84&amp;AD$1,Data!$A$2:$D$3723,4,FALSE)</f>
        <v>0.122</v>
      </c>
      <c r="AE84">
        <f>VLOOKUP($A84&amp;AE$1,Data!$A$2:$D$3723,4,FALSE)</f>
        <v>0.375</v>
      </c>
      <c r="AF84">
        <f>VLOOKUP($A84&amp;AF$1,Data!$A$2:$D$3723,4,FALSE)</f>
        <v>0</v>
      </c>
      <c r="AG84">
        <f>VLOOKUP($A84&amp;AG$1,Data!$A$2:$D$3723,4,FALSE)</f>
        <v>5000000</v>
      </c>
    </row>
    <row r="85" spans="1:33" x14ac:dyDescent="0.35">
      <c r="A85" s="13">
        <f t="shared" si="7"/>
        <v>84</v>
      </c>
      <c r="B85" t="s">
        <v>7</v>
      </c>
      <c r="C85" t="s">
        <v>3</v>
      </c>
      <c r="D85">
        <v>5000</v>
      </c>
      <c r="E85" t="s">
        <v>17</v>
      </c>
      <c r="F85" s="5">
        <v>43831</v>
      </c>
      <c r="G85" s="5">
        <v>44562</v>
      </c>
      <c r="H85">
        <v>14</v>
      </c>
      <c r="I85">
        <v>9</v>
      </c>
      <c r="J85">
        <f t="shared" si="5"/>
        <v>30</v>
      </c>
      <c r="K85">
        <f t="shared" si="6"/>
        <v>70</v>
      </c>
      <c r="L85">
        <v>1000000</v>
      </c>
      <c r="M85">
        <f>VLOOKUP($A85&amp;M$1,Data!$A$2:$D$3723,4,FALSE)</f>
        <v>0.80110000000000003</v>
      </c>
      <c r="N85">
        <f>VLOOKUP($A85&amp;N$1,Data!$A$2:$D$3723,4,FALSE)</f>
        <v>2.944</v>
      </c>
      <c r="O85">
        <f>VLOOKUP($A85&amp;O$1,Data!$A$2:$D$3723,4,FALSE)</f>
        <v>893</v>
      </c>
      <c r="P85">
        <f>VLOOKUP($A85&amp;P$1,Data!$A$2:$D$3723,4,FALSE)</f>
        <v>8.2299999999999998E-2</v>
      </c>
      <c r="Q85">
        <f>VLOOKUP($A85&amp;Q$1,Data!$A$2:$D$3723,4,FALSE)</f>
        <v>-5.1799999999999999E-2</v>
      </c>
      <c r="R85">
        <f>VLOOKUP($A85&amp;R$1,Data!$A$2:$D$3723,4,FALSE)</f>
        <v>2.14303</v>
      </c>
      <c r="S85">
        <f>VLOOKUP($A85&amp;S$1,Data!$A$2:$D$3723,4,FALSE)</f>
        <v>0.32100000000000001</v>
      </c>
      <c r="T85">
        <f>VLOOKUP($A85&amp;T$1,Data!$A$2:$D$3723,4,FALSE)</f>
        <v>0.60699999999999998</v>
      </c>
      <c r="U85">
        <f>VLOOKUP($A85&amp;U$1,Data!$A$2:$D$3723,4,FALSE)</f>
        <v>1.0966</v>
      </c>
      <c r="V85">
        <f>VLOOKUP($A85&amp;V$1,Data!$A$2:$D$3723,4,FALSE)</f>
        <v>0.38</v>
      </c>
      <c r="W85">
        <f>VLOOKUP($A85&amp;W$1,Data!$A$2:$D$3723,4,FALSE)</f>
        <v>0.62</v>
      </c>
      <c r="X85">
        <f>VLOOKUP($A85&amp;X$1,Data!$A$2:$D$3723,4,FALSE)</f>
        <v>1.59</v>
      </c>
      <c r="Y85">
        <f>VLOOKUP($A85&amp;Y$1,Data!$A$2:$D$3723,4,FALSE)</f>
        <v>1.35</v>
      </c>
      <c r="Z85">
        <f>VLOOKUP($A85&amp;Z$1,Data!$A$2:$D$3723,4,FALSE)</f>
        <v>2.468</v>
      </c>
      <c r="AA85">
        <f>VLOOKUP($A85&amp;AA$1,Data!$A$2:$D$3723,4,FALSE)</f>
        <v>0.51200000000000001</v>
      </c>
      <c r="AB85">
        <f>VLOOKUP($A85&amp;AB$1,Data!$A$2:$D$3723,4,FALSE)</f>
        <v>0.26200000000000001</v>
      </c>
      <c r="AC85">
        <f>VLOOKUP($A85&amp;AC$1,Data!$A$2:$D$3723,4,FALSE)</f>
        <v>2.919</v>
      </c>
      <c r="AD85">
        <f>VLOOKUP($A85&amp;AD$1,Data!$A$2:$D$3723,4,FALSE)</f>
        <v>0.495</v>
      </c>
      <c r="AE85">
        <f>VLOOKUP($A85&amp;AE$1,Data!$A$2:$D$3723,4,FALSE)</f>
        <v>0.61099999999999999</v>
      </c>
      <c r="AF85">
        <f>VLOOKUP($A85&amp;AF$1,Data!$A$2:$D$3723,4,FALSE)</f>
        <v>0</v>
      </c>
      <c r="AG85">
        <f>VLOOKUP($A85&amp;AG$1,Data!$A$2:$D$3723,4,FALSE)</f>
        <v>2800000</v>
      </c>
    </row>
    <row r="86" spans="1:33" hidden="1" x14ac:dyDescent="0.35">
      <c r="A86" s="13">
        <f t="shared" si="7"/>
        <v>85</v>
      </c>
      <c r="B86" t="s">
        <v>7</v>
      </c>
      <c r="C86" t="s">
        <v>2</v>
      </c>
      <c r="D86">
        <v>100</v>
      </c>
      <c r="E86" t="s">
        <v>17</v>
      </c>
      <c r="F86" s="5">
        <v>43831</v>
      </c>
      <c r="G86" s="5">
        <v>44562</v>
      </c>
      <c r="H86">
        <v>14</v>
      </c>
      <c r="I86">
        <v>9</v>
      </c>
      <c r="J86">
        <f t="shared" si="5"/>
        <v>30</v>
      </c>
      <c r="K86">
        <f t="shared" si="6"/>
        <v>70</v>
      </c>
      <c r="L86">
        <v>1000000</v>
      </c>
      <c r="M86">
        <f>VLOOKUP($A86&amp;M$1,Data!$A$2:$D$3723,4,FALSE)</f>
        <v>0.23429</v>
      </c>
      <c r="N86">
        <f>VLOOKUP($A86&amp;N$1,Data!$A$2:$D$3723,4,FALSE)</f>
        <v>0.24299999999999999</v>
      </c>
      <c r="O86">
        <f>VLOOKUP($A86&amp;O$1,Data!$A$2:$D$3723,4,FALSE)</f>
        <v>557</v>
      </c>
      <c r="P86">
        <f>VLOOKUP($A86&amp;P$1,Data!$A$2:$D$3723,4,FALSE)</f>
        <v>4.7999999999999996E-3</v>
      </c>
      <c r="Q86">
        <f>VLOOKUP($A86&amp;Q$1,Data!$A$2:$D$3723,4,FALSE)</f>
        <v>-2.0999999999999999E-3</v>
      </c>
      <c r="R86">
        <f>VLOOKUP($A86&amp;R$1,Data!$A$2:$D$3723,4,FALSE)</f>
        <v>5.5100000000000001E-3</v>
      </c>
      <c r="S86">
        <f>VLOOKUP($A86&amp;S$1,Data!$A$2:$D$3723,4,FALSE)</f>
        <v>1.4E-2</v>
      </c>
      <c r="T86">
        <f>VLOOKUP($A86&amp;T$1,Data!$A$2:$D$3723,4,FALSE)</f>
        <v>0.107</v>
      </c>
      <c r="U86">
        <f>VLOOKUP($A86&amp;U$1,Data!$A$2:$D$3723,4,FALSE)</f>
        <v>3.5599999999999998E-3</v>
      </c>
      <c r="V86">
        <f>VLOOKUP($A86&amp;V$1,Data!$A$2:$D$3723,4,FALSE)</f>
        <v>0.67</v>
      </c>
      <c r="W86">
        <f>VLOOKUP($A86&amp;W$1,Data!$A$2:$D$3723,4,FALSE)</f>
        <v>0.33</v>
      </c>
      <c r="X86">
        <f>VLOOKUP($A86&amp;X$1,Data!$A$2:$D$3723,4,FALSE)</f>
        <v>2.3199999999999998</v>
      </c>
      <c r="Y86">
        <f>VLOOKUP($A86&amp;Y$1,Data!$A$2:$D$3723,4,FALSE)</f>
        <v>-2E-3</v>
      </c>
      <c r="Z86">
        <f>VLOOKUP($A86&amp;Z$1,Data!$A$2:$D$3723,4,FALSE)</f>
        <v>9.2999999999999999E-2</v>
      </c>
      <c r="AA86">
        <f>VLOOKUP($A86&amp;AA$1,Data!$A$2:$D$3723,4,FALSE)</f>
        <v>1.6E-2</v>
      </c>
      <c r="AB86">
        <f>VLOOKUP($A86&amp;AB$1,Data!$A$2:$D$3723,4,FALSE)</f>
        <v>0</v>
      </c>
      <c r="AC86">
        <f>VLOOKUP($A86&amp;AC$1,Data!$A$2:$D$3723,4,FALSE)</f>
        <v>-0.95799999999999996</v>
      </c>
      <c r="AD86">
        <f>VLOOKUP($A86&amp;AD$1,Data!$A$2:$D$3723,4,FALSE)</f>
        <v>6.2E-2</v>
      </c>
      <c r="AE86">
        <f>VLOOKUP($A86&amp;AE$1,Data!$A$2:$D$3723,4,FALSE)</f>
        <v>4.2999999999999997E-2</v>
      </c>
      <c r="AF86">
        <f>VLOOKUP($A86&amp;AF$1,Data!$A$2:$D$3723,4,FALSE)</f>
        <v>0</v>
      </c>
      <c r="AG86">
        <f>VLOOKUP($A86&amp;AG$1,Data!$A$2:$D$3723,4,FALSE)</f>
        <v>120000000</v>
      </c>
    </row>
    <row r="87" spans="1:33" hidden="1" x14ac:dyDescent="0.35">
      <c r="A87" s="13">
        <f t="shared" si="7"/>
        <v>86</v>
      </c>
      <c r="B87" t="s">
        <v>7</v>
      </c>
      <c r="C87" t="s">
        <v>2</v>
      </c>
      <c r="D87">
        <v>1000</v>
      </c>
      <c r="E87" t="s">
        <v>17</v>
      </c>
      <c r="F87" s="5">
        <v>43831</v>
      </c>
      <c r="G87" s="5">
        <v>44562</v>
      </c>
      <c r="H87">
        <v>14</v>
      </c>
      <c r="I87">
        <v>9</v>
      </c>
      <c r="J87">
        <f t="shared" si="5"/>
        <v>30</v>
      </c>
      <c r="K87">
        <f t="shared" si="6"/>
        <v>70</v>
      </c>
      <c r="L87">
        <v>1000000</v>
      </c>
      <c r="M87">
        <f>VLOOKUP($A87&amp;M$1,Data!$A$2:$D$3723,4,FALSE)</f>
        <v>0.25339</v>
      </c>
      <c r="N87">
        <f>VLOOKUP($A87&amp;N$1,Data!$A$2:$D$3723,4,FALSE)</f>
        <v>0.315</v>
      </c>
      <c r="O87">
        <f>VLOOKUP($A87&amp;O$1,Data!$A$2:$D$3723,4,FALSE)</f>
        <v>557</v>
      </c>
      <c r="P87">
        <f>VLOOKUP($A87&amp;P$1,Data!$A$2:$D$3723,4,FALSE)</f>
        <v>5.16E-2</v>
      </c>
      <c r="Q87">
        <f>VLOOKUP($A87&amp;Q$1,Data!$A$2:$D$3723,4,FALSE)</f>
        <v>-2.1399999999999999E-2</v>
      </c>
      <c r="R87">
        <f>VLOOKUP($A87&amp;R$1,Data!$A$2:$D$3723,4,FALSE)</f>
        <v>5.5599999999999997E-2</v>
      </c>
      <c r="S87">
        <f>VLOOKUP($A87&amp;S$1,Data!$A$2:$D$3723,4,FALSE)</f>
        <v>0.13400000000000001</v>
      </c>
      <c r="T87">
        <f>VLOOKUP($A87&amp;T$1,Data!$A$2:$D$3723,4,FALSE)</f>
        <v>0.13500000000000001</v>
      </c>
      <c r="U87">
        <f>VLOOKUP($A87&amp;U$1,Data!$A$2:$D$3723,4,FALSE)</f>
        <v>3.56E-2</v>
      </c>
      <c r="V87">
        <f>VLOOKUP($A87&amp;V$1,Data!$A$2:$D$3723,4,FALSE)</f>
        <v>0.67</v>
      </c>
      <c r="W87">
        <f>VLOOKUP($A87&amp;W$1,Data!$A$2:$D$3723,4,FALSE)</f>
        <v>0.33</v>
      </c>
      <c r="X87">
        <f>VLOOKUP($A87&amp;X$1,Data!$A$2:$D$3723,4,FALSE)</f>
        <v>2.41</v>
      </c>
      <c r="Y87">
        <f>VLOOKUP($A87&amp;Y$1,Data!$A$2:$D$3723,4,FALSE)</f>
        <v>-8.9999999999999993E-3</v>
      </c>
      <c r="Z87">
        <f>VLOOKUP($A87&amp;Z$1,Data!$A$2:$D$3723,4,FALSE)</f>
        <v>0.97499999999999998</v>
      </c>
      <c r="AA87">
        <f>VLOOKUP($A87&amp;AA$1,Data!$A$2:$D$3723,4,FALSE)</f>
        <v>0.16900000000000001</v>
      </c>
      <c r="AB87">
        <f>VLOOKUP($A87&amp;AB$1,Data!$A$2:$D$3723,4,FALSE)</f>
        <v>2.9000000000000001E-2</v>
      </c>
      <c r="AC87">
        <f>VLOOKUP($A87&amp;AC$1,Data!$A$2:$D$3723,4,FALSE)</f>
        <v>-6.8000000000000005E-2</v>
      </c>
      <c r="AD87">
        <f>VLOOKUP($A87&amp;AD$1,Data!$A$2:$D$3723,4,FALSE)</f>
        <v>0.156</v>
      </c>
      <c r="AE87">
        <f>VLOOKUP($A87&amp;AE$1,Data!$A$2:$D$3723,4,FALSE)</f>
        <v>5.3999999999999999E-2</v>
      </c>
      <c r="AF87">
        <f>VLOOKUP($A87&amp;AF$1,Data!$A$2:$D$3723,4,FALSE)</f>
        <v>0</v>
      </c>
      <c r="AG87">
        <f>VLOOKUP($A87&amp;AG$1,Data!$A$2:$D$3723,4,FALSE)</f>
        <v>15000000</v>
      </c>
    </row>
    <row r="88" spans="1:33" hidden="1" x14ac:dyDescent="0.35">
      <c r="A88" s="13">
        <f t="shared" si="7"/>
        <v>87</v>
      </c>
      <c r="B88" t="s">
        <v>7</v>
      </c>
      <c r="C88" t="s">
        <v>2</v>
      </c>
      <c r="D88">
        <v>5000</v>
      </c>
      <c r="E88" t="s">
        <v>17</v>
      </c>
      <c r="F88" s="5">
        <v>43831</v>
      </c>
      <c r="G88" s="5">
        <v>44562</v>
      </c>
      <c r="H88">
        <v>14</v>
      </c>
      <c r="I88">
        <v>9</v>
      </c>
      <c r="J88">
        <f t="shared" si="5"/>
        <v>30</v>
      </c>
      <c r="K88">
        <f t="shared" si="6"/>
        <v>70</v>
      </c>
      <c r="L88">
        <v>1000000</v>
      </c>
      <c r="M88">
        <f>VLOOKUP($A88&amp;M$1,Data!$A$2:$D$3723,4,FALSE)</f>
        <v>0.30986999999999998</v>
      </c>
      <c r="N88">
        <f>VLOOKUP($A88&amp;N$1,Data!$A$2:$D$3723,4,FALSE)</f>
        <v>0.61399999999999999</v>
      </c>
      <c r="O88">
        <f>VLOOKUP($A88&amp;O$1,Data!$A$2:$D$3723,4,FALSE)</f>
        <v>541</v>
      </c>
      <c r="P88">
        <f>VLOOKUP($A88&amp;P$1,Data!$A$2:$D$3723,4,FALSE)</f>
        <v>0.25979999999999998</v>
      </c>
      <c r="Q88">
        <f>VLOOKUP($A88&amp;Q$1,Data!$A$2:$D$3723,4,FALSE)</f>
        <v>-9.8299999999999998E-2</v>
      </c>
      <c r="R88">
        <f>VLOOKUP($A88&amp;R$1,Data!$A$2:$D$3723,4,FALSE)</f>
        <v>2.3769999999999999E-2</v>
      </c>
      <c r="S88">
        <f>VLOOKUP($A88&amp;S$1,Data!$A$2:$D$3723,4,FALSE)</f>
        <v>0.56100000000000005</v>
      </c>
      <c r="T88">
        <f>VLOOKUP($A88&amp;T$1,Data!$A$2:$D$3723,4,FALSE)</f>
        <v>0.214</v>
      </c>
      <c r="U88">
        <f>VLOOKUP($A88&amp;U$1,Data!$A$2:$D$3723,4,FALSE)</f>
        <v>1.5299999999999999E-2</v>
      </c>
      <c r="V88">
        <f>VLOOKUP($A88&amp;V$1,Data!$A$2:$D$3723,4,FALSE)</f>
        <v>0.67</v>
      </c>
      <c r="W88">
        <f>VLOOKUP($A88&amp;W$1,Data!$A$2:$D$3723,4,FALSE)</f>
        <v>0.33</v>
      </c>
      <c r="X88">
        <f>VLOOKUP($A88&amp;X$1,Data!$A$2:$D$3723,4,FALSE)</f>
        <v>2.64</v>
      </c>
      <c r="Y88">
        <f>VLOOKUP($A88&amp;Y$1,Data!$A$2:$D$3723,4,FALSE)</f>
        <v>0.19800000000000001</v>
      </c>
      <c r="Z88">
        <f>VLOOKUP($A88&amp;Z$1,Data!$A$2:$D$3723,4,FALSE)</f>
        <v>5.8239999999999998</v>
      </c>
      <c r="AA88">
        <f>VLOOKUP($A88&amp;AA$1,Data!$A$2:$D$3723,4,FALSE)</f>
        <v>0.92600000000000005</v>
      </c>
      <c r="AB88">
        <f>VLOOKUP($A88&amp;AB$1,Data!$A$2:$D$3723,4,FALSE)</f>
        <v>0.85799999999999998</v>
      </c>
      <c r="AC88">
        <f>VLOOKUP($A88&amp;AC$1,Data!$A$2:$D$3723,4,FALSE)</f>
        <v>0.56100000000000005</v>
      </c>
      <c r="AD88">
        <f>VLOOKUP($A88&amp;AD$1,Data!$A$2:$D$3723,4,FALSE)</f>
        <v>0.9</v>
      </c>
      <c r="AE88">
        <f>VLOOKUP($A88&amp;AE$1,Data!$A$2:$D$3723,4,FALSE)</f>
        <v>9.8000000000000004E-2</v>
      </c>
      <c r="AF88">
        <f>VLOOKUP($A88&amp;AF$1,Data!$A$2:$D$3723,4,FALSE)</f>
        <v>0</v>
      </c>
      <c r="AG88">
        <f>VLOOKUP($A88&amp;AG$1,Data!$A$2:$D$3723,4,FALSE)</f>
        <v>4500000</v>
      </c>
    </row>
    <row r="89" spans="1:33" hidden="1" x14ac:dyDescent="0.35">
      <c r="A89" s="13">
        <f t="shared" si="7"/>
        <v>88</v>
      </c>
      <c r="B89" t="s">
        <v>7</v>
      </c>
      <c r="C89" t="s">
        <v>22</v>
      </c>
      <c r="D89">
        <v>100</v>
      </c>
      <c r="E89" t="s">
        <v>17</v>
      </c>
      <c r="F89" s="5">
        <v>43831</v>
      </c>
      <c r="G89" s="5">
        <v>44562</v>
      </c>
      <c r="H89">
        <v>14</v>
      </c>
      <c r="I89">
        <v>9</v>
      </c>
      <c r="J89">
        <f t="shared" si="5"/>
        <v>30</v>
      </c>
      <c r="K89">
        <f t="shared" si="6"/>
        <v>70</v>
      </c>
      <c r="L89">
        <v>1000000</v>
      </c>
      <c r="M89">
        <f>VLOOKUP($A89&amp;M$1,Data!$A$2:$D$3723,4,FALSE)</f>
        <v>0.12909000000000001</v>
      </c>
      <c r="N89">
        <f>VLOOKUP($A89&amp;N$1,Data!$A$2:$D$3723,4,FALSE)</f>
        <v>-0.17699999999999999</v>
      </c>
      <c r="O89">
        <f>VLOOKUP($A89&amp;O$1,Data!$A$2:$D$3723,4,FALSE)</f>
        <v>372</v>
      </c>
      <c r="P89">
        <f>VLOOKUP($A89&amp;P$1,Data!$A$2:$D$3723,4,FALSE)</f>
        <v>2.5999999999999999E-3</v>
      </c>
      <c r="Q89">
        <f>VLOOKUP($A89&amp;Q$1,Data!$A$2:$D$3723,4,FALSE)</f>
        <v>-2.2000000000000001E-3</v>
      </c>
      <c r="R89">
        <f>VLOOKUP($A89&amp;R$1,Data!$A$2:$D$3723,4,FALSE)</f>
        <v>-3.5500000000000002E-3</v>
      </c>
      <c r="S89">
        <f>VLOOKUP($A89&amp;S$1,Data!$A$2:$D$3723,4,FALSE)</f>
        <v>1.6E-2</v>
      </c>
      <c r="T89">
        <f>VLOOKUP($A89&amp;T$1,Data!$A$2:$D$3723,4,FALSE)</f>
        <v>-8.3000000000000004E-2</v>
      </c>
      <c r="U89">
        <f>VLOOKUP($A89&amp;U$1,Data!$A$2:$D$3723,4,FALSE)</f>
        <v>-2.3E-3</v>
      </c>
      <c r="V89">
        <f>VLOOKUP($A89&amp;V$1,Data!$A$2:$D$3723,4,FALSE)</f>
        <v>0.57999999999999996</v>
      </c>
      <c r="W89">
        <f>VLOOKUP($A89&amp;W$1,Data!$A$2:$D$3723,4,FALSE)</f>
        <v>0.42</v>
      </c>
      <c r="X89">
        <f>VLOOKUP($A89&amp;X$1,Data!$A$2:$D$3723,4,FALSE)</f>
        <v>1.2</v>
      </c>
      <c r="Y89">
        <f>VLOOKUP($A89&amp;Y$1,Data!$A$2:$D$3723,4,FALSE)</f>
        <v>-7.0000000000000001E-3</v>
      </c>
      <c r="Z89">
        <f>VLOOKUP($A89&amp;Z$1,Data!$A$2:$D$3723,4,FALSE)</f>
        <v>6.9000000000000006E-2</v>
      </c>
      <c r="AA89">
        <f>VLOOKUP($A89&amp;AA$1,Data!$A$2:$D$3723,4,FALSE)</f>
        <v>1.2999999999999999E-2</v>
      </c>
      <c r="AB89">
        <f>VLOOKUP($A89&amp;AB$1,Data!$A$2:$D$3723,4,FALSE)</f>
        <v>0</v>
      </c>
      <c r="AC89">
        <f>VLOOKUP($A89&amp;AC$1,Data!$A$2:$D$3723,4,FALSE)</f>
        <v>-1.0429999999999999</v>
      </c>
      <c r="AD89">
        <f>VLOOKUP($A89&amp;AD$1,Data!$A$2:$D$3723,4,FALSE)</f>
        <v>6.3E-2</v>
      </c>
      <c r="AE89">
        <f>VLOOKUP($A89&amp;AE$1,Data!$A$2:$D$3723,4,FALSE)</f>
        <v>-3.4000000000000002E-2</v>
      </c>
      <c r="AF89">
        <f>VLOOKUP($A89&amp;AF$1,Data!$A$2:$D$3723,4,FALSE)</f>
        <v>0</v>
      </c>
      <c r="AG89">
        <f>VLOOKUP($A89&amp;AG$1,Data!$A$2:$D$3723,4,FALSE)</f>
        <v>500000000</v>
      </c>
    </row>
    <row r="90" spans="1:33" hidden="1" x14ac:dyDescent="0.35">
      <c r="A90" s="13">
        <f t="shared" si="7"/>
        <v>89</v>
      </c>
      <c r="B90" t="s">
        <v>7</v>
      </c>
      <c r="C90" t="s">
        <v>22</v>
      </c>
      <c r="D90">
        <v>1000</v>
      </c>
      <c r="E90" t="s">
        <v>17</v>
      </c>
      <c r="F90" s="5">
        <v>43831</v>
      </c>
      <c r="G90" s="5">
        <v>44562</v>
      </c>
      <c r="H90">
        <v>14</v>
      </c>
      <c r="I90">
        <v>9</v>
      </c>
      <c r="J90">
        <f t="shared" si="5"/>
        <v>30</v>
      </c>
      <c r="K90">
        <f t="shared" si="6"/>
        <v>70</v>
      </c>
      <c r="L90">
        <v>1000000</v>
      </c>
      <c r="M90">
        <f>VLOOKUP($A90&amp;M$1,Data!$A$2:$D$3723,4,FALSE)</f>
        <v>0.14418</v>
      </c>
      <c r="N90">
        <f>VLOOKUP($A90&amp;N$1,Data!$A$2:$D$3723,4,FALSE)</f>
        <v>-0.104</v>
      </c>
      <c r="O90">
        <f>VLOOKUP($A90&amp;O$1,Data!$A$2:$D$3723,4,FALSE)</f>
        <v>372</v>
      </c>
      <c r="P90">
        <f>VLOOKUP($A90&amp;P$1,Data!$A$2:$D$3723,4,FALSE)</f>
        <v>2.8299999999999999E-2</v>
      </c>
      <c r="Q90">
        <f>VLOOKUP($A90&amp;Q$1,Data!$A$2:$D$3723,4,FALSE)</f>
        <v>-2.2499999999999999E-2</v>
      </c>
      <c r="R90">
        <f>VLOOKUP($A90&amp;R$1,Data!$A$2:$D$3723,4,FALSE)</f>
        <v>-3.533E-2</v>
      </c>
      <c r="S90">
        <f>VLOOKUP($A90&amp;S$1,Data!$A$2:$D$3723,4,FALSE)</f>
        <v>0.158</v>
      </c>
      <c r="T90">
        <f>VLOOKUP($A90&amp;T$1,Data!$A$2:$D$3723,4,FALSE)</f>
        <v>-0.06</v>
      </c>
      <c r="U90">
        <f>VLOOKUP($A90&amp;U$1,Data!$A$2:$D$3723,4,FALSE)</f>
        <v>-2.299E-2</v>
      </c>
      <c r="V90">
        <f>VLOOKUP($A90&amp;V$1,Data!$A$2:$D$3723,4,FALSE)</f>
        <v>0.57999999999999996</v>
      </c>
      <c r="W90">
        <f>VLOOKUP($A90&amp;W$1,Data!$A$2:$D$3723,4,FALSE)</f>
        <v>0.42</v>
      </c>
      <c r="X90">
        <f>VLOOKUP($A90&amp;X$1,Data!$A$2:$D$3723,4,FALSE)</f>
        <v>1.26</v>
      </c>
      <c r="Y90">
        <f>VLOOKUP($A90&amp;Y$1,Data!$A$2:$D$3723,4,FALSE)</f>
        <v>-0.06</v>
      </c>
      <c r="Z90">
        <f>VLOOKUP($A90&amp;Z$1,Data!$A$2:$D$3723,4,FALSE)</f>
        <v>0.71499999999999997</v>
      </c>
      <c r="AA90">
        <f>VLOOKUP($A90&amp;AA$1,Data!$A$2:$D$3723,4,FALSE)</f>
        <v>0.14199999999999999</v>
      </c>
      <c r="AB90">
        <f>VLOOKUP($A90&amp;AB$1,Data!$A$2:$D$3723,4,FALSE)</f>
        <v>0.02</v>
      </c>
      <c r="AC90">
        <f>VLOOKUP($A90&amp;AC$1,Data!$A$2:$D$3723,4,FALSE)</f>
        <v>-0.58099999999999996</v>
      </c>
      <c r="AD90">
        <f>VLOOKUP($A90&amp;AD$1,Data!$A$2:$D$3723,4,FALSE)</f>
        <v>0.13500000000000001</v>
      </c>
      <c r="AE90">
        <f>VLOOKUP($A90&amp;AE$1,Data!$A$2:$D$3723,4,FALSE)</f>
        <v>-2.1000000000000001E-2</v>
      </c>
      <c r="AF90">
        <f>VLOOKUP($A90&amp;AF$1,Data!$A$2:$D$3723,4,FALSE)</f>
        <v>0</v>
      </c>
      <c r="AG90">
        <f>VLOOKUP($A90&amp;AG$1,Data!$A$2:$D$3723,4,FALSE)</f>
        <v>51000000</v>
      </c>
    </row>
    <row r="91" spans="1:33" hidden="1" x14ac:dyDescent="0.35">
      <c r="A91" s="13">
        <f t="shared" si="7"/>
        <v>90</v>
      </c>
      <c r="B91" t="s">
        <v>7</v>
      </c>
      <c r="C91" t="s">
        <v>22</v>
      </c>
      <c r="D91">
        <v>5000</v>
      </c>
      <c r="E91" t="s">
        <v>17</v>
      </c>
      <c r="F91" s="5">
        <v>43831</v>
      </c>
      <c r="G91" s="5">
        <v>44562</v>
      </c>
      <c r="H91">
        <v>14</v>
      </c>
      <c r="I91">
        <v>9</v>
      </c>
      <c r="J91">
        <f t="shared" si="5"/>
        <v>30</v>
      </c>
      <c r="K91">
        <f t="shared" si="6"/>
        <v>70</v>
      </c>
      <c r="L91">
        <v>1000000</v>
      </c>
      <c r="M91">
        <f>VLOOKUP($A91&amp;M$1,Data!$A$2:$D$3723,4,FALSE)</f>
        <v>0.18754000000000001</v>
      </c>
      <c r="N91">
        <f>VLOOKUP($A91&amp;N$1,Data!$A$2:$D$3723,4,FALSE)</f>
        <v>8.5000000000000006E-2</v>
      </c>
      <c r="O91">
        <f>VLOOKUP($A91&amp;O$1,Data!$A$2:$D$3723,4,FALSE)</f>
        <v>358</v>
      </c>
      <c r="P91">
        <f>VLOOKUP($A91&amp;P$1,Data!$A$2:$D$3723,4,FALSE)</f>
        <v>0.18959999999999999</v>
      </c>
      <c r="Q91">
        <f>VLOOKUP($A91&amp;Q$1,Data!$A$2:$D$3723,4,FALSE)</f>
        <v>-0.12989999999999999</v>
      </c>
      <c r="R91">
        <f>VLOOKUP($A91&amp;R$1,Data!$A$2:$D$3723,4,FALSE)</f>
        <v>-0.26555000000000001</v>
      </c>
      <c r="S91">
        <f>VLOOKUP($A91&amp;S$1,Data!$A$2:$D$3723,4,FALSE)</f>
        <v>0.63500000000000001</v>
      </c>
      <c r="T91">
        <f>VLOOKUP($A91&amp;T$1,Data!$A$2:$D$3723,4,FALSE)</f>
        <v>2.5000000000000001E-2</v>
      </c>
      <c r="U91">
        <f>VLOOKUP($A91&amp;U$1,Data!$A$2:$D$3723,4,FALSE)</f>
        <v>-0.18087</v>
      </c>
      <c r="V91">
        <f>VLOOKUP($A91&amp;V$1,Data!$A$2:$D$3723,4,FALSE)</f>
        <v>0.57999999999999996</v>
      </c>
      <c r="W91">
        <f>VLOOKUP($A91&amp;W$1,Data!$A$2:$D$3723,4,FALSE)</f>
        <v>0.42</v>
      </c>
      <c r="X91">
        <f>VLOOKUP($A91&amp;X$1,Data!$A$2:$D$3723,4,FALSE)</f>
        <v>1.46</v>
      </c>
      <c r="Y91">
        <f>VLOOKUP($A91&amp;Y$1,Data!$A$2:$D$3723,4,FALSE)</f>
        <v>-0.18</v>
      </c>
      <c r="Z91">
        <f>VLOOKUP($A91&amp;Z$1,Data!$A$2:$D$3723,4,FALSE)</f>
        <v>3.8279999999999998</v>
      </c>
      <c r="AA91">
        <f>VLOOKUP($A91&amp;AA$1,Data!$A$2:$D$3723,4,FALSE)</f>
        <v>0.751</v>
      </c>
      <c r="AB91">
        <f>VLOOKUP($A91&amp;AB$1,Data!$A$2:$D$3723,4,FALSE)</f>
        <v>0.56399999999999995</v>
      </c>
      <c r="AC91">
        <f>VLOOKUP($A91&amp;AC$1,Data!$A$2:$D$3723,4,FALSE)</f>
        <v>0</v>
      </c>
      <c r="AD91">
        <f>VLOOKUP($A91&amp;AD$1,Data!$A$2:$D$3723,4,FALSE)</f>
        <v>0.73099999999999998</v>
      </c>
      <c r="AE91">
        <f>VLOOKUP($A91&amp;AE$1,Data!$A$2:$D$3723,4,FALSE)</f>
        <v>1.7000000000000001E-2</v>
      </c>
      <c r="AF91">
        <f>VLOOKUP($A91&amp;AF$1,Data!$A$2:$D$3723,4,FALSE)</f>
        <v>0</v>
      </c>
      <c r="AG91">
        <f>VLOOKUP($A91&amp;AG$1,Data!$A$2:$D$3723,4,FALSE)</f>
        <v>10000000</v>
      </c>
    </row>
    <row r="92" spans="1:33" hidden="1" x14ac:dyDescent="0.35">
      <c r="A92" s="13">
        <f t="shared" si="7"/>
        <v>91</v>
      </c>
      <c r="B92" t="s">
        <v>7</v>
      </c>
      <c r="C92" t="s">
        <v>3</v>
      </c>
      <c r="D92">
        <v>100</v>
      </c>
      <c r="E92" t="s">
        <v>17</v>
      </c>
      <c r="F92" s="5">
        <v>43831</v>
      </c>
      <c r="G92" s="5">
        <v>44562</v>
      </c>
      <c r="H92">
        <v>14</v>
      </c>
      <c r="I92">
        <v>9</v>
      </c>
      <c r="J92">
        <f t="shared" si="5"/>
        <v>32</v>
      </c>
      <c r="K92">
        <f t="shared" si="6"/>
        <v>68</v>
      </c>
      <c r="L92">
        <v>1000000</v>
      </c>
      <c r="M92">
        <f>VLOOKUP($A92&amp;M$1,Data!$A$2:$D$3723,4,FALSE)</f>
        <v>0.20558000000000001</v>
      </c>
      <c r="N92">
        <f>VLOOKUP($A92&amp;N$1,Data!$A$2:$D$3723,4,FALSE)</f>
        <v>0.13900000000000001</v>
      </c>
      <c r="O92">
        <f>VLOOKUP($A92&amp;O$1,Data!$A$2:$D$3723,4,FALSE)</f>
        <v>1133</v>
      </c>
      <c r="P92">
        <f>VLOOKUP($A92&amp;P$1,Data!$A$2:$D$3723,4,FALSE)</f>
        <v>1.8E-3</v>
      </c>
      <c r="Q92">
        <f>VLOOKUP($A92&amp;Q$1,Data!$A$2:$D$3723,4,FALSE)</f>
        <v>-1.6000000000000001E-3</v>
      </c>
      <c r="R92">
        <f>VLOOKUP($A92&amp;R$1,Data!$A$2:$D$3723,4,FALSE)</f>
        <v>3.5100000000000001E-3</v>
      </c>
      <c r="S92">
        <f>VLOOKUP($A92&amp;S$1,Data!$A$2:$D$3723,4,FALSE)</f>
        <v>0.02</v>
      </c>
      <c r="T92">
        <f>VLOOKUP($A92&amp;T$1,Data!$A$2:$D$3723,4,FALSE)</f>
        <v>6.5000000000000002E-2</v>
      </c>
      <c r="U92">
        <f>VLOOKUP($A92&amp;U$1,Data!$A$2:$D$3723,4,FALSE)</f>
        <v>2.2699999999999999E-3</v>
      </c>
      <c r="V92">
        <f>VLOOKUP($A92&amp;V$1,Data!$A$2:$D$3723,4,FALSE)</f>
        <v>0.49</v>
      </c>
      <c r="W92">
        <f>VLOOKUP($A92&amp;W$1,Data!$A$2:$D$3723,4,FALSE)</f>
        <v>0.51</v>
      </c>
      <c r="X92">
        <f>VLOOKUP($A92&amp;X$1,Data!$A$2:$D$3723,4,FALSE)</f>
        <v>1.07</v>
      </c>
      <c r="Y92">
        <f>VLOOKUP($A92&amp;Y$1,Data!$A$2:$D$3723,4,FALSE)</f>
        <v>-5.0000000000000001E-3</v>
      </c>
      <c r="Z92">
        <f>VLOOKUP($A92&amp;Z$1,Data!$A$2:$D$3723,4,FALSE)</f>
        <v>0.11899999999999999</v>
      </c>
      <c r="AA92">
        <f>VLOOKUP($A92&amp;AA$1,Data!$A$2:$D$3723,4,FALSE)</f>
        <v>1.9E-2</v>
      </c>
      <c r="AB92">
        <f>VLOOKUP($A92&amp;AB$1,Data!$A$2:$D$3723,4,FALSE)</f>
        <v>0</v>
      </c>
      <c r="AC92">
        <f>VLOOKUP($A92&amp;AC$1,Data!$A$2:$D$3723,4,FALSE)</f>
        <v>-0.998</v>
      </c>
      <c r="AD92">
        <f>VLOOKUP($A92&amp;AD$1,Data!$A$2:$D$3723,4,FALSE)</f>
        <v>6.0999999999999999E-2</v>
      </c>
      <c r="AE92">
        <f>VLOOKUP($A92&amp;AE$1,Data!$A$2:$D$3723,4,FALSE)</f>
        <v>2.1999999999999999E-2</v>
      </c>
      <c r="AF92">
        <f>VLOOKUP($A92&amp;AF$1,Data!$A$2:$D$3723,4,FALSE)</f>
        <v>0</v>
      </c>
      <c r="AG92">
        <f>VLOOKUP($A92&amp;AG$1,Data!$A$2:$D$3723,4,FALSE)</f>
        <v>20000000</v>
      </c>
    </row>
    <row r="93" spans="1:33" hidden="1" x14ac:dyDescent="0.35">
      <c r="A93" s="13">
        <f t="shared" si="7"/>
        <v>92</v>
      </c>
      <c r="B93" t="s">
        <v>7</v>
      </c>
      <c r="C93" t="s">
        <v>3</v>
      </c>
      <c r="D93">
        <v>1000</v>
      </c>
      <c r="E93" t="s">
        <v>17</v>
      </c>
      <c r="F93" s="5">
        <v>43831</v>
      </c>
      <c r="G93" s="5">
        <v>44562</v>
      </c>
      <c r="H93">
        <v>14</v>
      </c>
      <c r="I93">
        <v>9</v>
      </c>
      <c r="J93">
        <f t="shared" si="5"/>
        <v>32</v>
      </c>
      <c r="K93">
        <f t="shared" si="6"/>
        <v>68</v>
      </c>
      <c r="L93">
        <v>1000000</v>
      </c>
      <c r="M93">
        <f>VLOOKUP($A93&amp;M$1,Data!$A$2:$D$3723,4,FALSE)</f>
        <v>0.22938</v>
      </c>
      <c r="N93">
        <f>VLOOKUP($A93&amp;N$1,Data!$A$2:$D$3723,4,FALSE)</f>
        <v>0.22700000000000001</v>
      </c>
      <c r="O93">
        <f>VLOOKUP($A93&amp;O$1,Data!$A$2:$D$3723,4,FALSE)</f>
        <v>1133</v>
      </c>
      <c r="P93">
        <f>VLOOKUP($A93&amp;P$1,Data!$A$2:$D$3723,4,FALSE)</f>
        <v>1.7899999999999999E-2</v>
      </c>
      <c r="Q93">
        <f>VLOOKUP($A93&amp;Q$1,Data!$A$2:$D$3723,4,FALSE)</f>
        <v>-1.6199999999999999E-2</v>
      </c>
      <c r="R93">
        <f>VLOOKUP($A93&amp;R$1,Data!$A$2:$D$3723,4,FALSE)</f>
        <v>3.5279999999999999E-2</v>
      </c>
      <c r="S93">
        <f>VLOOKUP($A93&amp;S$1,Data!$A$2:$D$3723,4,FALSE)</f>
        <v>0.193</v>
      </c>
      <c r="T93">
        <f>VLOOKUP($A93&amp;T$1,Data!$A$2:$D$3723,4,FALSE)</f>
        <v>0.08</v>
      </c>
      <c r="U93">
        <f>VLOOKUP($A93&amp;U$1,Data!$A$2:$D$3723,4,FALSE)</f>
        <v>2.2669999999999999E-2</v>
      </c>
      <c r="V93">
        <f>VLOOKUP($A93&amp;V$1,Data!$A$2:$D$3723,4,FALSE)</f>
        <v>0.49</v>
      </c>
      <c r="W93">
        <f>VLOOKUP($A93&amp;W$1,Data!$A$2:$D$3723,4,FALSE)</f>
        <v>0.51</v>
      </c>
      <c r="X93">
        <f>VLOOKUP($A93&amp;X$1,Data!$A$2:$D$3723,4,FALSE)</f>
        <v>1.1000000000000001</v>
      </c>
      <c r="Y93">
        <f>VLOOKUP($A93&amp;Y$1,Data!$A$2:$D$3723,4,FALSE)</f>
        <v>-3.3000000000000002E-2</v>
      </c>
      <c r="Z93">
        <f>VLOOKUP($A93&amp;Z$1,Data!$A$2:$D$3723,4,FALSE)</f>
        <v>1.2</v>
      </c>
      <c r="AA93">
        <f>VLOOKUP($A93&amp;AA$1,Data!$A$2:$D$3723,4,FALSE)</f>
        <v>0.191</v>
      </c>
      <c r="AB93">
        <f>VLOOKUP($A93&amp;AB$1,Data!$A$2:$D$3723,4,FALSE)</f>
        <v>3.6999999999999998E-2</v>
      </c>
      <c r="AC93">
        <f>VLOOKUP($A93&amp;AC$1,Data!$A$2:$D$3723,4,FALSE)</f>
        <v>-0.11600000000000001</v>
      </c>
      <c r="AD93">
        <f>VLOOKUP($A93&amp;AD$1,Data!$A$2:$D$3723,4,FALSE)</f>
        <v>0.17399999999999999</v>
      </c>
      <c r="AE93">
        <f>VLOOKUP($A93&amp;AE$1,Data!$A$2:$D$3723,4,FALSE)</f>
        <v>3.5999999999999997E-2</v>
      </c>
      <c r="AF93">
        <f>VLOOKUP($A93&amp;AF$1,Data!$A$2:$D$3723,4,FALSE)</f>
        <v>0</v>
      </c>
      <c r="AG93">
        <f>VLOOKUP($A93&amp;AG$1,Data!$A$2:$D$3723,4,FALSE)</f>
        <v>4100000</v>
      </c>
    </row>
    <row r="94" spans="1:33" hidden="1" x14ac:dyDescent="0.35">
      <c r="A94" s="13">
        <f t="shared" si="7"/>
        <v>93</v>
      </c>
      <c r="B94" t="s">
        <v>7</v>
      </c>
      <c r="C94" t="s">
        <v>3</v>
      </c>
      <c r="D94">
        <v>5000</v>
      </c>
      <c r="E94" t="s">
        <v>17</v>
      </c>
      <c r="F94" s="5">
        <v>43831</v>
      </c>
      <c r="G94" s="5">
        <v>44562</v>
      </c>
      <c r="H94">
        <v>14</v>
      </c>
      <c r="I94">
        <v>9</v>
      </c>
      <c r="J94">
        <f t="shared" si="5"/>
        <v>32</v>
      </c>
      <c r="K94">
        <f t="shared" si="6"/>
        <v>68</v>
      </c>
      <c r="L94">
        <v>1000000</v>
      </c>
      <c r="M94">
        <f>VLOOKUP($A94&amp;M$1,Data!$A$2:$D$3723,4,FALSE)</f>
        <v>0.27012000000000003</v>
      </c>
      <c r="N94">
        <f>VLOOKUP($A94&amp;N$1,Data!$A$2:$D$3723,4,FALSE)</f>
        <v>0.434</v>
      </c>
      <c r="O94">
        <f>VLOOKUP($A94&amp;O$1,Data!$A$2:$D$3723,4,FALSE)</f>
        <v>1114</v>
      </c>
      <c r="P94">
        <f>VLOOKUP($A94&amp;P$1,Data!$A$2:$D$3723,4,FALSE)</f>
        <v>0.11459999999999999</v>
      </c>
      <c r="Q94">
        <f>VLOOKUP($A94&amp;Q$1,Data!$A$2:$D$3723,4,FALSE)</f>
        <v>-7.5200000000000003E-2</v>
      </c>
      <c r="R94">
        <f>VLOOKUP($A94&amp;R$1,Data!$A$2:$D$3723,4,FALSE)</f>
        <v>-0.24571000000000001</v>
      </c>
      <c r="S94">
        <f>VLOOKUP($A94&amp;S$1,Data!$A$2:$D$3723,4,FALSE)</f>
        <v>0.70199999999999996</v>
      </c>
      <c r="T94">
        <f>VLOOKUP($A94&amp;T$1,Data!$A$2:$D$3723,4,FALSE)</f>
        <v>0.09</v>
      </c>
      <c r="U94">
        <f>VLOOKUP($A94&amp;U$1,Data!$A$2:$D$3723,4,FALSE)</f>
        <v>-0.16664000000000001</v>
      </c>
      <c r="V94">
        <f>VLOOKUP($A94&amp;V$1,Data!$A$2:$D$3723,4,FALSE)</f>
        <v>0.56999999999999995</v>
      </c>
      <c r="W94">
        <f>VLOOKUP($A94&amp;W$1,Data!$A$2:$D$3723,4,FALSE)</f>
        <v>0.43</v>
      </c>
      <c r="X94">
        <f>VLOOKUP($A94&amp;X$1,Data!$A$2:$D$3723,4,FALSE)</f>
        <v>1.52</v>
      </c>
      <c r="Y94">
        <f>VLOOKUP($A94&amp;Y$1,Data!$A$2:$D$3723,4,FALSE)</f>
        <v>1.4E-2</v>
      </c>
      <c r="Z94">
        <f>VLOOKUP($A94&amp;Z$1,Data!$A$2:$D$3723,4,FALSE)</f>
        <v>6.742</v>
      </c>
      <c r="AA94">
        <f>VLOOKUP($A94&amp;AA$1,Data!$A$2:$D$3723,4,FALSE)</f>
        <v>1.0209999999999999</v>
      </c>
      <c r="AB94">
        <f>VLOOKUP($A94&amp;AB$1,Data!$A$2:$D$3723,4,FALSE)</f>
        <v>1.0429999999999999</v>
      </c>
      <c r="AC94">
        <f>VLOOKUP($A94&amp;AC$1,Data!$A$2:$D$3723,4,FALSE)</f>
        <v>0.38200000000000001</v>
      </c>
      <c r="AD94">
        <f>VLOOKUP($A94&amp;AD$1,Data!$A$2:$D$3723,4,FALSE)</f>
        <v>0.99299999999999999</v>
      </c>
      <c r="AE94">
        <f>VLOOKUP($A94&amp;AE$1,Data!$A$2:$D$3723,4,FALSE)</f>
        <v>6.6000000000000003E-2</v>
      </c>
      <c r="AF94">
        <f>VLOOKUP($A94&amp;AF$1,Data!$A$2:$D$3723,4,FALSE)</f>
        <v>0</v>
      </c>
      <c r="AG94">
        <f>VLOOKUP($A94&amp;AG$1,Data!$A$2:$D$3723,4,FALSE)</f>
        <v>1400000</v>
      </c>
    </row>
    <row r="95" spans="1:33" hidden="1" x14ac:dyDescent="0.35">
      <c r="A95" s="13">
        <f t="shared" si="7"/>
        <v>94</v>
      </c>
      <c r="B95" t="s">
        <v>7</v>
      </c>
      <c r="C95" t="s">
        <v>2</v>
      </c>
      <c r="D95">
        <v>100</v>
      </c>
      <c r="E95" t="s">
        <v>17</v>
      </c>
      <c r="F95" s="5">
        <v>43831</v>
      </c>
      <c r="G95" s="5">
        <v>44562</v>
      </c>
      <c r="H95">
        <v>14</v>
      </c>
      <c r="I95">
        <v>9</v>
      </c>
      <c r="J95">
        <f t="shared" si="5"/>
        <v>32</v>
      </c>
      <c r="K95">
        <f t="shared" si="6"/>
        <v>68</v>
      </c>
      <c r="L95">
        <v>1000000</v>
      </c>
      <c r="M95">
        <f>VLOOKUP($A95&amp;M$1,Data!$A$2:$D$3723,4,FALSE)</f>
        <v>0.22853999999999999</v>
      </c>
      <c r="N95">
        <f>VLOOKUP($A95&amp;N$1,Data!$A$2:$D$3723,4,FALSE)</f>
        <v>0.23400000000000001</v>
      </c>
      <c r="O95">
        <f>VLOOKUP($A95&amp;O$1,Data!$A$2:$D$3723,4,FALSE)</f>
        <v>697</v>
      </c>
      <c r="P95">
        <f>VLOOKUP($A95&amp;P$1,Data!$A$2:$D$3723,4,FALSE)</f>
        <v>2.0999999999999999E-3</v>
      </c>
      <c r="Q95">
        <f>VLOOKUP($A95&amp;Q$1,Data!$A$2:$D$3723,4,FALSE)</f>
        <v>-1.6999999999999999E-3</v>
      </c>
      <c r="R95">
        <f>VLOOKUP($A95&amp;R$1,Data!$A$2:$D$3723,4,FALSE)</f>
        <v>4.1000000000000003E-3</v>
      </c>
      <c r="S95">
        <f>VLOOKUP($A95&amp;S$1,Data!$A$2:$D$3723,4,FALSE)</f>
        <v>1.0999999999999999E-2</v>
      </c>
      <c r="T95">
        <f>VLOOKUP($A95&amp;T$1,Data!$A$2:$D$3723,4,FALSE)</f>
        <v>7.0999999999999994E-2</v>
      </c>
      <c r="U95">
        <f>VLOOKUP($A95&amp;U$1,Data!$A$2:$D$3723,4,FALSE)</f>
        <v>2.65E-3</v>
      </c>
      <c r="V95">
        <f>VLOOKUP($A95&amp;V$1,Data!$A$2:$D$3723,4,FALSE)</f>
        <v>0.52</v>
      </c>
      <c r="W95">
        <f>VLOOKUP($A95&amp;W$1,Data!$A$2:$D$3723,4,FALSE)</f>
        <v>0.48</v>
      </c>
      <c r="X95">
        <f>VLOOKUP($A95&amp;X$1,Data!$A$2:$D$3723,4,FALSE)</f>
        <v>1.24</v>
      </c>
      <c r="Y95">
        <f>VLOOKUP($A95&amp;Y$1,Data!$A$2:$D$3723,4,FALSE)</f>
        <v>-2E-3</v>
      </c>
      <c r="Z95">
        <f>VLOOKUP($A95&amp;Z$1,Data!$A$2:$D$3723,4,FALSE)</f>
        <v>7.3999999999999996E-2</v>
      </c>
      <c r="AA95">
        <f>VLOOKUP($A95&amp;AA$1,Data!$A$2:$D$3723,4,FALSE)</f>
        <v>1.2E-2</v>
      </c>
      <c r="AB95">
        <f>VLOOKUP($A95&amp;AB$1,Data!$A$2:$D$3723,4,FALSE)</f>
        <v>0</v>
      </c>
      <c r="AC95">
        <f>VLOOKUP($A95&amp;AC$1,Data!$A$2:$D$3723,4,FALSE)</f>
        <v>-0.96599999999999997</v>
      </c>
      <c r="AD95">
        <f>VLOOKUP($A95&amp;AD$1,Data!$A$2:$D$3723,4,FALSE)</f>
        <v>6.3E-2</v>
      </c>
      <c r="AE95">
        <f>VLOOKUP($A95&amp;AE$1,Data!$A$2:$D$3723,4,FALSE)</f>
        <v>0.04</v>
      </c>
      <c r="AF95">
        <f>VLOOKUP($A95&amp;AF$1,Data!$A$2:$D$3723,4,FALSE)</f>
        <v>0</v>
      </c>
      <c r="AG95">
        <f>VLOOKUP($A95&amp;AG$1,Data!$A$2:$D$3723,4,FALSE)</f>
        <v>1700000000</v>
      </c>
    </row>
    <row r="96" spans="1:33" hidden="1" x14ac:dyDescent="0.35">
      <c r="A96" s="13">
        <f t="shared" si="7"/>
        <v>95</v>
      </c>
      <c r="B96" t="s">
        <v>7</v>
      </c>
      <c r="C96" t="s">
        <v>2</v>
      </c>
      <c r="D96">
        <v>1000</v>
      </c>
      <c r="E96" t="s">
        <v>17</v>
      </c>
      <c r="F96" s="5">
        <v>43831</v>
      </c>
      <c r="G96" s="5">
        <v>44562</v>
      </c>
      <c r="H96">
        <v>14</v>
      </c>
      <c r="I96">
        <v>9</v>
      </c>
      <c r="J96">
        <f t="shared" si="5"/>
        <v>32</v>
      </c>
      <c r="K96">
        <f t="shared" si="6"/>
        <v>68</v>
      </c>
      <c r="L96">
        <v>1000000</v>
      </c>
      <c r="M96">
        <f>VLOOKUP($A96&amp;M$1,Data!$A$2:$D$3723,4,FALSE)</f>
        <v>0.24454000000000001</v>
      </c>
      <c r="N96">
        <f>VLOOKUP($A96&amp;N$1,Data!$A$2:$D$3723,4,FALSE)</f>
        <v>0.29399999999999998</v>
      </c>
      <c r="O96">
        <f>VLOOKUP($A96&amp;O$1,Data!$A$2:$D$3723,4,FALSE)</f>
        <v>697</v>
      </c>
      <c r="P96">
        <f>VLOOKUP($A96&amp;P$1,Data!$A$2:$D$3723,4,FALSE)</f>
        <v>2.0899999999999998E-2</v>
      </c>
      <c r="Q96">
        <f>VLOOKUP($A96&amp;Q$1,Data!$A$2:$D$3723,4,FALSE)</f>
        <v>-1.6500000000000001E-2</v>
      </c>
      <c r="R96">
        <f>VLOOKUP($A96&amp;R$1,Data!$A$2:$D$3723,4,FALSE)</f>
        <v>4.1320000000000003E-2</v>
      </c>
      <c r="S96">
        <f>VLOOKUP($A96&amp;S$1,Data!$A$2:$D$3723,4,FALSE)</f>
        <v>0.104</v>
      </c>
      <c r="T96">
        <f>VLOOKUP($A96&amp;T$1,Data!$A$2:$D$3723,4,FALSE)</f>
        <v>8.5999999999999993E-2</v>
      </c>
      <c r="U96">
        <f>VLOOKUP($A96&amp;U$1,Data!$A$2:$D$3723,4,FALSE)</f>
        <v>2.6519999999999998E-2</v>
      </c>
      <c r="V96">
        <f>VLOOKUP($A96&amp;V$1,Data!$A$2:$D$3723,4,FALSE)</f>
        <v>0.52</v>
      </c>
      <c r="W96">
        <f>VLOOKUP($A96&amp;W$1,Data!$A$2:$D$3723,4,FALSE)</f>
        <v>0.48</v>
      </c>
      <c r="X96">
        <f>VLOOKUP($A96&amp;X$1,Data!$A$2:$D$3723,4,FALSE)</f>
        <v>1.27</v>
      </c>
      <c r="Y96">
        <f>VLOOKUP($A96&amp;Y$1,Data!$A$2:$D$3723,4,FALSE)</f>
        <v>-0.01</v>
      </c>
      <c r="Z96">
        <f>VLOOKUP($A96&amp;Z$1,Data!$A$2:$D$3723,4,FALSE)</f>
        <v>0.72499999999999998</v>
      </c>
      <c r="AA96">
        <f>VLOOKUP($A96&amp;AA$1,Data!$A$2:$D$3723,4,FALSE)</f>
        <v>0.123</v>
      </c>
      <c r="AB96">
        <f>VLOOKUP($A96&amp;AB$1,Data!$A$2:$D$3723,4,FALSE)</f>
        <v>1.4999999999999999E-2</v>
      </c>
      <c r="AC96">
        <f>VLOOKUP($A96&amp;AC$1,Data!$A$2:$D$3723,4,FALSE)</f>
        <v>-0.23899999999999999</v>
      </c>
      <c r="AD96">
        <f>VLOOKUP($A96&amp;AD$1,Data!$A$2:$D$3723,4,FALSE)</f>
        <v>0.115</v>
      </c>
      <c r="AE96">
        <f>VLOOKUP($A96&amp;AE$1,Data!$A$2:$D$3723,4,FALSE)</f>
        <v>0.05</v>
      </c>
      <c r="AF96">
        <f>VLOOKUP($A96&amp;AF$1,Data!$A$2:$D$3723,4,FALSE)</f>
        <v>0</v>
      </c>
      <c r="AG96">
        <f>VLOOKUP($A96&amp;AG$1,Data!$A$2:$D$3723,4,FALSE)</f>
        <v>180000000</v>
      </c>
    </row>
    <row r="97" spans="1:33" hidden="1" x14ac:dyDescent="0.35">
      <c r="A97" s="13">
        <f t="shared" si="7"/>
        <v>96</v>
      </c>
      <c r="B97" t="s">
        <v>7</v>
      </c>
      <c r="C97" t="s">
        <v>2</v>
      </c>
      <c r="D97">
        <v>5000</v>
      </c>
      <c r="E97" t="s">
        <v>17</v>
      </c>
      <c r="F97" s="5">
        <v>43831</v>
      </c>
      <c r="G97" s="5">
        <v>44562</v>
      </c>
      <c r="H97">
        <v>14</v>
      </c>
      <c r="I97">
        <v>9</v>
      </c>
      <c r="J97">
        <f t="shared" si="5"/>
        <v>32</v>
      </c>
      <c r="K97">
        <f t="shared" si="6"/>
        <v>68</v>
      </c>
      <c r="L97">
        <v>1000000</v>
      </c>
      <c r="M97">
        <f>VLOOKUP($A97&amp;M$1,Data!$A$2:$D$3723,4,FALSE)</f>
        <v>0.31552000000000002</v>
      </c>
      <c r="N97">
        <f>VLOOKUP($A97&amp;N$1,Data!$A$2:$D$3723,4,FALSE)</f>
        <v>0.59899999999999998</v>
      </c>
      <c r="O97">
        <f>VLOOKUP($A97&amp;O$1,Data!$A$2:$D$3723,4,FALSE)</f>
        <v>697</v>
      </c>
      <c r="P97">
        <f>VLOOKUP($A97&amp;P$1,Data!$A$2:$D$3723,4,FALSE)</f>
        <v>0.1084</v>
      </c>
      <c r="Q97">
        <f>VLOOKUP($A97&amp;Q$1,Data!$A$2:$D$3723,4,FALSE)</f>
        <v>-7.6399999999999996E-2</v>
      </c>
      <c r="R97">
        <f>VLOOKUP($A97&amp;R$1,Data!$A$2:$D$3723,4,FALSE)</f>
        <v>0.21239</v>
      </c>
      <c r="S97">
        <f>VLOOKUP($A97&amp;S$1,Data!$A$2:$D$3723,4,FALSE)</f>
        <v>0.40899999999999997</v>
      </c>
      <c r="T97">
        <f>VLOOKUP($A97&amp;T$1,Data!$A$2:$D$3723,4,FALSE)</f>
        <v>0.157</v>
      </c>
      <c r="U97">
        <f>VLOOKUP($A97&amp;U$1,Data!$A$2:$D$3723,4,FALSE)</f>
        <v>0.13259000000000001</v>
      </c>
      <c r="V97">
        <f>VLOOKUP($A97&amp;V$1,Data!$A$2:$D$3723,4,FALSE)</f>
        <v>0.52</v>
      </c>
      <c r="W97">
        <f>VLOOKUP($A97&amp;W$1,Data!$A$2:$D$3723,4,FALSE)</f>
        <v>0.48</v>
      </c>
      <c r="X97">
        <f>VLOOKUP($A97&amp;X$1,Data!$A$2:$D$3723,4,FALSE)</f>
        <v>1.42</v>
      </c>
      <c r="Y97">
        <f>VLOOKUP($A97&amp;Y$1,Data!$A$2:$D$3723,4,FALSE)</f>
        <v>0.13700000000000001</v>
      </c>
      <c r="Z97">
        <f>VLOOKUP($A97&amp;Z$1,Data!$A$2:$D$3723,4,FALSE)</f>
        <v>3.4239999999999999</v>
      </c>
      <c r="AA97">
        <f>VLOOKUP($A97&amp;AA$1,Data!$A$2:$D$3723,4,FALSE)</f>
        <v>0.59299999999999997</v>
      </c>
      <c r="AB97">
        <f>VLOOKUP($A97&amp;AB$1,Data!$A$2:$D$3723,4,FALSE)</f>
        <v>0.35199999999999998</v>
      </c>
      <c r="AC97">
        <f>VLOOKUP($A97&amp;AC$1,Data!$A$2:$D$3723,4,FALSE)</f>
        <v>0.51</v>
      </c>
      <c r="AD97">
        <f>VLOOKUP($A97&amp;AD$1,Data!$A$2:$D$3723,4,FALSE)</f>
        <v>0.57099999999999995</v>
      </c>
      <c r="AE97">
        <f>VLOOKUP($A97&amp;AE$1,Data!$A$2:$D$3723,4,FALSE)</f>
        <v>0.104</v>
      </c>
      <c r="AF97">
        <f>VLOOKUP($A97&amp;AF$1,Data!$A$2:$D$3723,4,FALSE)</f>
        <v>0</v>
      </c>
      <c r="AG97">
        <f>VLOOKUP($A97&amp;AG$1,Data!$A$2:$D$3723,4,FALSE)</f>
        <v>41000000</v>
      </c>
    </row>
    <row r="98" spans="1:33" hidden="1" x14ac:dyDescent="0.35">
      <c r="A98" s="13">
        <f t="shared" si="7"/>
        <v>97</v>
      </c>
      <c r="B98" t="s">
        <v>7</v>
      </c>
      <c r="C98" t="s">
        <v>22</v>
      </c>
      <c r="D98">
        <v>100</v>
      </c>
      <c r="E98" t="s">
        <v>17</v>
      </c>
      <c r="F98" s="5">
        <v>43831</v>
      </c>
      <c r="G98" s="5">
        <v>44562</v>
      </c>
      <c r="H98">
        <v>14</v>
      </c>
      <c r="I98">
        <v>9</v>
      </c>
      <c r="J98">
        <f t="shared" si="5"/>
        <v>32</v>
      </c>
      <c r="K98">
        <f t="shared" si="6"/>
        <v>68</v>
      </c>
      <c r="L98">
        <v>1000000</v>
      </c>
      <c r="M98">
        <f>VLOOKUP($A98&amp;M$1,Data!$A$2:$D$3723,4,FALSE)</f>
        <v>5.1400000000000001E-2</v>
      </c>
      <c r="N98">
        <f>VLOOKUP($A98&amp;N$1,Data!$A$2:$D$3723,4,FALSE)</f>
        <v>-0.629</v>
      </c>
      <c r="O98">
        <f>VLOOKUP($A98&amp;O$1,Data!$A$2:$D$3723,4,FALSE)</f>
        <v>472</v>
      </c>
      <c r="P98">
        <f>VLOOKUP($A98&amp;P$1,Data!$A$2:$D$3723,4,FALSE)</f>
        <v>2.3E-3</v>
      </c>
      <c r="Q98">
        <f>VLOOKUP($A98&amp;Q$1,Data!$A$2:$D$3723,4,FALSE)</f>
        <v>-2.5999999999999999E-3</v>
      </c>
      <c r="R98">
        <f>VLOOKUP($A98&amp;R$1,Data!$A$2:$D$3723,4,FALSE)</f>
        <v>-1.6199999999999999E-2</v>
      </c>
      <c r="S98">
        <f>VLOOKUP($A98&amp;S$1,Data!$A$2:$D$3723,4,FALSE)</f>
        <v>2.3E-2</v>
      </c>
      <c r="T98">
        <f>VLOOKUP($A98&amp;T$1,Data!$A$2:$D$3723,4,FALSE)</f>
        <v>-0.23599999999999999</v>
      </c>
      <c r="U98">
        <f>VLOOKUP($A98&amp;U$1,Data!$A$2:$D$3723,4,FALSE)</f>
        <v>-1.0500000000000001E-2</v>
      </c>
      <c r="V98">
        <f>VLOOKUP($A98&amp;V$1,Data!$A$2:$D$3723,4,FALSE)</f>
        <v>0.6</v>
      </c>
      <c r="W98">
        <f>VLOOKUP($A98&amp;W$1,Data!$A$2:$D$3723,4,FALSE)</f>
        <v>0.4</v>
      </c>
      <c r="X98">
        <f>VLOOKUP($A98&amp;X$1,Data!$A$2:$D$3723,4,FALSE)</f>
        <v>0.91</v>
      </c>
      <c r="Y98">
        <f>VLOOKUP($A98&amp;Y$1,Data!$A$2:$D$3723,4,FALSE)</f>
        <v>-1.7000000000000001E-2</v>
      </c>
      <c r="Z98">
        <f>VLOOKUP($A98&amp;Z$1,Data!$A$2:$D$3723,4,FALSE)</f>
        <v>9.4E-2</v>
      </c>
      <c r="AA98">
        <f>VLOOKUP($A98&amp;AA$1,Data!$A$2:$D$3723,4,FALSE)</f>
        <v>1.7999999999999999E-2</v>
      </c>
      <c r="AB98">
        <f>VLOOKUP($A98&amp;AB$1,Data!$A$2:$D$3723,4,FALSE)</f>
        <v>0</v>
      </c>
      <c r="AC98">
        <f>VLOOKUP($A98&amp;AC$1,Data!$A$2:$D$3723,4,FALSE)</f>
        <v>-1.1930000000000001</v>
      </c>
      <c r="AD98">
        <f>VLOOKUP($A98&amp;AD$1,Data!$A$2:$D$3723,4,FALSE)</f>
        <v>6.3E-2</v>
      </c>
      <c r="AE98">
        <f>VLOOKUP($A98&amp;AE$1,Data!$A$2:$D$3723,4,FALSE)</f>
        <v>-0.11899999999999999</v>
      </c>
      <c r="AF98">
        <f>VLOOKUP($A98&amp;AF$1,Data!$A$2:$D$3723,4,FALSE)</f>
        <v>0</v>
      </c>
      <c r="AG98">
        <f>VLOOKUP($A98&amp;AG$1,Data!$A$2:$D$3723,4,FALSE)</f>
        <v>49000000</v>
      </c>
    </row>
    <row r="99" spans="1:33" hidden="1" x14ac:dyDescent="0.35">
      <c r="A99" s="13">
        <f t="shared" si="7"/>
        <v>98</v>
      </c>
      <c r="B99" t="s">
        <v>7</v>
      </c>
      <c r="C99" t="s">
        <v>22</v>
      </c>
      <c r="D99">
        <v>1000</v>
      </c>
      <c r="E99" t="s">
        <v>17</v>
      </c>
      <c r="F99" s="5">
        <v>43831</v>
      </c>
      <c r="G99" s="5">
        <v>44562</v>
      </c>
      <c r="H99">
        <v>14</v>
      </c>
      <c r="I99">
        <v>9</v>
      </c>
      <c r="J99">
        <f t="shared" si="5"/>
        <v>32</v>
      </c>
      <c r="K99">
        <f t="shared" si="6"/>
        <v>68</v>
      </c>
      <c r="L99">
        <v>1000000</v>
      </c>
      <c r="M99">
        <f>VLOOKUP($A99&amp;M$1,Data!$A$2:$D$3723,4,FALSE)</f>
        <v>6.9080000000000003E-2</v>
      </c>
      <c r="N99">
        <f>VLOOKUP($A99&amp;N$1,Data!$A$2:$D$3723,4,FALSE)</f>
        <v>-0.48899999999999999</v>
      </c>
      <c r="O99">
        <f>VLOOKUP($A99&amp;O$1,Data!$A$2:$D$3723,4,FALSE)</f>
        <v>472</v>
      </c>
      <c r="P99">
        <f>VLOOKUP($A99&amp;P$1,Data!$A$2:$D$3723,4,FALSE)</f>
        <v>2.7300000000000001E-2</v>
      </c>
      <c r="Q99">
        <f>VLOOKUP($A99&amp;Q$1,Data!$A$2:$D$3723,4,FALSE)</f>
        <v>-2.7799999999999998E-2</v>
      </c>
      <c r="R99">
        <f>VLOOKUP($A99&amp;R$1,Data!$A$2:$D$3723,4,FALSE)</f>
        <v>-0.15773000000000001</v>
      </c>
      <c r="S99">
        <f>VLOOKUP($A99&amp;S$1,Data!$A$2:$D$3723,4,FALSE)</f>
        <v>0.223</v>
      </c>
      <c r="T99">
        <f>VLOOKUP($A99&amp;T$1,Data!$A$2:$D$3723,4,FALSE)</f>
        <v>-0.20799999999999999</v>
      </c>
      <c r="U99">
        <f>VLOOKUP($A99&amp;U$1,Data!$A$2:$D$3723,4,FALSE)</f>
        <v>-0.10503</v>
      </c>
      <c r="V99">
        <f>VLOOKUP($A99&amp;V$1,Data!$A$2:$D$3723,4,FALSE)</f>
        <v>0.6</v>
      </c>
      <c r="W99">
        <f>VLOOKUP($A99&amp;W$1,Data!$A$2:$D$3723,4,FALSE)</f>
        <v>0.4</v>
      </c>
      <c r="X99">
        <f>VLOOKUP($A99&amp;X$1,Data!$A$2:$D$3723,4,FALSE)</f>
        <v>0.98</v>
      </c>
      <c r="Y99">
        <f>VLOOKUP($A99&amp;Y$1,Data!$A$2:$D$3723,4,FALSE)</f>
        <v>-0.161</v>
      </c>
      <c r="Z99">
        <f>VLOOKUP($A99&amp;Z$1,Data!$A$2:$D$3723,4,FALSE)</f>
        <v>1.03</v>
      </c>
      <c r="AA99">
        <f>VLOOKUP($A99&amp;AA$1,Data!$A$2:$D$3723,4,FALSE)</f>
        <v>0.19400000000000001</v>
      </c>
      <c r="AB99">
        <f>VLOOKUP($A99&amp;AB$1,Data!$A$2:$D$3723,4,FALSE)</f>
        <v>3.7999999999999999E-2</v>
      </c>
      <c r="AC99">
        <f>VLOOKUP($A99&amp;AC$1,Data!$A$2:$D$3723,4,FALSE)</f>
        <v>-0.872</v>
      </c>
      <c r="AD99">
        <f>VLOOKUP($A99&amp;AD$1,Data!$A$2:$D$3723,4,FALSE)</f>
        <v>0.182</v>
      </c>
      <c r="AE99">
        <f>VLOOKUP($A99&amp;AE$1,Data!$A$2:$D$3723,4,FALSE)</f>
        <v>-9.1999999999999998E-2</v>
      </c>
      <c r="AF99">
        <f>VLOOKUP($A99&amp;AF$1,Data!$A$2:$D$3723,4,FALSE)</f>
        <v>0</v>
      </c>
      <c r="AG99">
        <f>VLOOKUP($A99&amp;AG$1,Data!$A$2:$D$3723,4,FALSE)</f>
        <v>7500000</v>
      </c>
    </row>
    <row r="100" spans="1:33" hidden="1" x14ac:dyDescent="0.35">
      <c r="A100" s="13">
        <f t="shared" si="7"/>
        <v>99</v>
      </c>
      <c r="B100" t="s">
        <v>7</v>
      </c>
      <c r="C100" t="s">
        <v>22</v>
      </c>
      <c r="D100">
        <v>5000</v>
      </c>
      <c r="E100" t="s">
        <v>17</v>
      </c>
      <c r="F100" s="5">
        <v>43831</v>
      </c>
      <c r="G100" s="5">
        <v>44562</v>
      </c>
      <c r="H100">
        <v>14</v>
      </c>
      <c r="I100">
        <v>9</v>
      </c>
      <c r="J100">
        <f t="shared" si="5"/>
        <v>32</v>
      </c>
      <c r="K100">
        <f t="shared" si="6"/>
        <v>68</v>
      </c>
      <c r="L100">
        <v>1000000</v>
      </c>
      <c r="M100">
        <f>VLOOKUP($A100&amp;M$1,Data!$A$2:$D$3723,4,FALSE)</f>
        <v>0.12551999999999999</v>
      </c>
      <c r="N100">
        <f>VLOOKUP($A100&amp;N$1,Data!$A$2:$D$3723,4,FALSE)</f>
        <v>-0.17499999999999999</v>
      </c>
      <c r="O100">
        <f>VLOOKUP($A100&amp;O$1,Data!$A$2:$D$3723,4,FALSE)</f>
        <v>439</v>
      </c>
      <c r="P100">
        <f>VLOOKUP($A100&amp;P$1,Data!$A$2:$D$3723,4,FALSE)</f>
        <v>0.29949999999999999</v>
      </c>
      <c r="Q100">
        <f>VLOOKUP($A100&amp;Q$1,Data!$A$2:$D$3723,4,FALSE)</f>
        <v>-9.1200000000000003E-2</v>
      </c>
      <c r="R100">
        <f>VLOOKUP($A100&amp;R$1,Data!$A$2:$D$3723,4,FALSE)</f>
        <v>-0.67689999999999995</v>
      </c>
      <c r="S100">
        <f>VLOOKUP($A100&amp;S$1,Data!$A$2:$D$3723,4,FALSE)</f>
        <v>0.78700000000000003</v>
      </c>
      <c r="T100">
        <f>VLOOKUP($A100&amp;T$1,Data!$A$2:$D$3723,4,FALSE)</f>
        <v>-6.9000000000000006E-2</v>
      </c>
      <c r="U100">
        <f>VLOOKUP($A100&amp;U$1,Data!$A$2:$D$3723,4,FALSE)</f>
        <v>-0.51827000000000001</v>
      </c>
      <c r="V100">
        <f>VLOOKUP($A100&amp;V$1,Data!$A$2:$D$3723,4,FALSE)</f>
        <v>0.78</v>
      </c>
      <c r="W100">
        <f>VLOOKUP($A100&amp;W$1,Data!$A$2:$D$3723,4,FALSE)</f>
        <v>0.22</v>
      </c>
      <c r="X100">
        <f>VLOOKUP($A100&amp;X$1,Data!$A$2:$D$3723,4,FALSE)</f>
        <v>3.28</v>
      </c>
      <c r="Y100">
        <f>VLOOKUP($A100&amp;Y$1,Data!$A$2:$D$3723,4,FALSE)</f>
        <v>-0.59099999999999997</v>
      </c>
      <c r="Z100">
        <f>VLOOKUP($A100&amp;Z$1,Data!$A$2:$D$3723,4,FALSE)</f>
        <v>6.4169999999999998</v>
      </c>
      <c r="AA100">
        <f>VLOOKUP($A100&amp;AA$1,Data!$A$2:$D$3723,4,FALSE)</f>
        <v>1.0449999999999999</v>
      </c>
      <c r="AB100">
        <f>VLOOKUP($A100&amp;AB$1,Data!$A$2:$D$3723,4,FALSE)</f>
        <v>1.0920000000000001</v>
      </c>
      <c r="AC100">
        <f>VLOOKUP($A100&amp;AC$1,Data!$A$2:$D$3723,4,FALSE)</f>
        <v>-0.24099999999999999</v>
      </c>
      <c r="AD100">
        <f>VLOOKUP($A100&amp;AD$1,Data!$A$2:$D$3723,4,FALSE)</f>
        <v>1.02</v>
      </c>
      <c r="AE100">
        <f>VLOOKUP($A100&amp;AE$1,Data!$A$2:$D$3723,4,FALSE)</f>
        <v>-2.8000000000000001E-2</v>
      </c>
      <c r="AF100">
        <f>VLOOKUP($A100&amp;AF$1,Data!$A$2:$D$3723,4,FALSE)</f>
        <v>0</v>
      </c>
      <c r="AG100">
        <f>VLOOKUP($A100&amp;AG$1,Data!$A$2:$D$3723,4,FALSE)</f>
        <v>2100000</v>
      </c>
    </row>
    <row r="101" spans="1:33" hidden="1" x14ac:dyDescent="0.35">
      <c r="A101" s="13">
        <f t="shared" si="7"/>
        <v>100</v>
      </c>
      <c r="B101" t="s">
        <v>7</v>
      </c>
      <c r="C101" t="s">
        <v>3</v>
      </c>
      <c r="D101">
        <v>100</v>
      </c>
      <c r="E101" t="s">
        <v>17</v>
      </c>
      <c r="F101" s="5">
        <v>43831</v>
      </c>
      <c r="G101" s="5">
        <v>44562</v>
      </c>
      <c r="H101">
        <v>14</v>
      </c>
      <c r="I101">
        <v>9</v>
      </c>
      <c r="J101">
        <f t="shared" si="5"/>
        <v>28</v>
      </c>
      <c r="K101">
        <f t="shared" si="6"/>
        <v>72</v>
      </c>
      <c r="L101">
        <v>1000000</v>
      </c>
      <c r="M101">
        <f>VLOOKUP($A101&amp;M$1,Data!$A$2:$D$3723,4,FALSE)</f>
        <v>0.33544000000000002</v>
      </c>
      <c r="N101">
        <f>VLOOKUP($A101&amp;N$1,Data!$A$2:$D$3723,4,FALSE)</f>
        <v>0.56899999999999995</v>
      </c>
      <c r="O101">
        <f>VLOOKUP($A101&amp;O$1,Data!$A$2:$D$3723,4,FALSE)</f>
        <v>687</v>
      </c>
      <c r="P101">
        <f>VLOOKUP($A101&amp;P$1,Data!$A$2:$D$3723,4,FALSE)</f>
        <v>2.5000000000000001E-3</v>
      </c>
      <c r="Q101">
        <f>VLOOKUP($A101&amp;Q$1,Data!$A$2:$D$3723,4,FALSE)</f>
        <v>-1.6000000000000001E-3</v>
      </c>
      <c r="R101">
        <f>VLOOKUP($A101&amp;R$1,Data!$A$2:$D$3723,4,FALSE)</f>
        <v>9.5399999999999999E-3</v>
      </c>
      <c r="S101">
        <f>VLOOKUP($A101&amp;S$1,Data!$A$2:$D$3723,4,FALSE)</f>
        <v>7.0000000000000001E-3</v>
      </c>
      <c r="T101">
        <f>VLOOKUP($A101&amp;T$1,Data!$A$2:$D$3723,4,FALSE)</f>
        <v>0.30399999999999999</v>
      </c>
      <c r="U101">
        <f>VLOOKUP($A101&amp;U$1,Data!$A$2:$D$3723,4,FALSE)</f>
        <v>6.1599999999999997E-3</v>
      </c>
      <c r="V101">
        <f>VLOOKUP($A101&amp;V$1,Data!$A$2:$D$3723,4,FALSE)</f>
        <v>0.5</v>
      </c>
      <c r="W101">
        <f>VLOOKUP($A101&amp;W$1,Data!$A$2:$D$3723,4,FALSE)</f>
        <v>0.5</v>
      </c>
      <c r="X101">
        <f>VLOOKUP($A101&amp;X$1,Data!$A$2:$D$3723,4,FALSE)</f>
        <v>1.61</v>
      </c>
      <c r="Y101">
        <f>VLOOKUP($A101&amp;Y$1,Data!$A$2:$D$3723,4,FALSE)</f>
        <v>2E-3</v>
      </c>
      <c r="Z101">
        <f>VLOOKUP($A101&amp;Z$1,Data!$A$2:$D$3723,4,FALSE)</f>
        <v>7.0000000000000007E-2</v>
      </c>
      <c r="AA101">
        <f>VLOOKUP($A101&amp;AA$1,Data!$A$2:$D$3723,4,FALSE)</f>
        <v>1.2E-2</v>
      </c>
      <c r="AB101">
        <f>VLOOKUP($A101&amp;AB$1,Data!$A$2:$D$3723,4,FALSE)</f>
        <v>0</v>
      </c>
      <c r="AC101">
        <f>VLOOKUP($A101&amp;AC$1,Data!$A$2:$D$3723,4,FALSE)</f>
        <v>-0.90500000000000003</v>
      </c>
      <c r="AD101">
        <f>VLOOKUP($A101&amp;AD$1,Data!$A$2:$D$3723,4,FALSE)</f>
        <v>6.3E-2</v>
      </c>
      <c r="AE101">
        <f>VLOOKUP($A101&amp;AE$1,Data!$A$2:$D$3723,4,FALSE)</f>
        <v>9.5000000000000001E-2</v>
      </c>
      <c r="AF101">
        <f>VLOOKUP($A101&amp;AF$1,Data!$A$2:$D$3723,4,FALSE)</f>
        <v>0</v>
      </c>
      <c r="AG101">
        <f>VLOOKUP($A101&amp;AG$1,Data!$A$2:$D$3723,4,FALSE)</f>
        <v>150000000</v>
      </c>
    </row>
    <row r="102" spans="1:33" hidden="1" x14ac:dyDescent="0.35">
      <c r="A102" s="13">
        <f t="shared" si="7"/>
        <v>101</v>
      </c>
      <c r="B102" t="s">
        <v>7</v>
      </c>
      <c r="C102" t="s">
        <v>3</v>
      </c>
      <c r="D102">
        <v>1000</v>
      </c>
      <c r="E102" t="s">
        <v>17</v>
      </c>
      <c r="F102" s="5">
        <v>43831</v>
      </c>
      <c r="G102" s="5">
        <v>44562</v>
      </c>
      <c r="H102">
        <v>14</v>
      </c>
      <c r="I102">
        <v>9</v>
      </c>
      <c r="J102">
        <f t="shared" si="5"/>
        <v>28</v>
      </c>
      <c r="K102">
        <f t="shared" si="6"/>
        <v>72</v>
      </c>
      <c r="L102">
        <v>1000000</v>
      </c>
      <c r="M102">
        <f>VLOOKUP($A102&amp;M$1,Data!$A$2:$D$3723,4,FALSE)</f>
        <v>0.41305999999999998</v>
      </c>
      <c r="N102">
        <f>VLOOKUP($A102&amp;N$1,Data!$A$2:$D$3723,4,FALSE)</f>
        <v>0.81299999999999994</v>
      </c>
      <c r="O102">
        <f>VLOOKUP($A102&amp;O$1,Data!$A$2:$D$3723,4,FALSE)</f>
        <v>687</v>
      </c>
      <c r="P102">
        <f>VLOOKUP($A102&amp;P$1,Data!$A$2:$D$3723,4,FALSE)</f>
        <v>2.5000000000000001E-2</v>
      </c>
      <c r="Q102">
        <f>VLOOKUP($A102&amp;Q$1,Data!$A$2:$D$3723,4,FALSE)</f>
        <v>-1.5299999999999999E-2</v>
      </c>
      <c r="R102">
        <f>VLOOKUP($A102&amp;R$1,Data!$A$2:$D$3723,4,FALSE)</f>
        <v>0.12267</v>
      </c>
      <c r="S102">
        <f>VLOOKUP($A102&amp;S$1,Data!$A$2:$D$3723,4,FALSE)</f>
        <v>6.9000000000000006E-2</v>
      </c>
      <c r="T102">
        <f>VLOOKUP($A102&amp;T$1,Data!$A$2:$D$3723,4,FALSE)</f>
        <v>0.31900000000000001</v>
      </c>
      <c r="U102">
        <f>VLOOKUP($A102&amp;U$1,Data!$A$2:$D$3723,4,FALSE)</f>
        <v>7.7670000000000003E-2</v>
      </c>
      <c r="V102">
        <f>VLOOKUP($A102&amp;V$1,Data!$A$2:$D$3723,4,FALSE)</f>
        <v>0.5</v>
      </c>
      <c r="W102">
        <f>VLOOKUP($A102&amp;W$1,Data!$A$2:$D$3723,4,FALSE)</f>
        <v>0.5</v>
      </c>
      <c r="X102">
        <f>VLOOKUP($A102&amp;X$1,Data!$A$2:$D$3723,4,FALSE)</f>
        <v>1.64</v>
      </c>
      <c r="Y102">
        <f>VLOOKUP($A102&amp;Y$1,Data!$A$2:$D$3723,4,FALSE)</f>
        <v>4.7E-2</v>
      </c>
      <c r="Z102">
        <f>VLOOKUP($A102&amp;Z$1,Data!$A$2:$D$3723,4,FALSE)</f>
        <v>0.67300000000000004</v>
      </c>
      <c r="AA102">
        <f>VLOOKUP($A102&amp;AA$1,Data!$A$2:$D$3723,4,FALSE)</f>
        <v>0.111</v>
      </c>
      <c r="AB102">
        <f>VLOOKUP($A102&amp;AB$1,Data!$A$2:$D$3723,4,FALSE)</f>
        <v>1.2E-2</v>
      </c>
      <c r="AC102">
        <f>VLOOKUP($A102&amp;AC$1,Data!$A$2:$D$3723,4,FALSE)</f>
        <v>0.255</v>
      </c>
      <c r="AD102">
        <f>VLOOKUP($A102&amp;AD$1,Data!$A$2:$D$3723,4,FALSE)</f>
        <v>0.104</v>
      </c>
      <c r="AE102">
        <f>VLOOKUP($A102&amp;AE$1,Data!$A$2:$D$3723,4,FALSE)</f>
        <v>0.13400000000000001</v>
      </c>
      <c r="AF102">
        <f>VLOOKUP($A102&amp;AF$1,Data!$A$2:$D$3723,4,FALSE)</f>
        <v>0</v>
      </c>
      <c r="AG102">
        <f>VLOOKUP($A102&amp;AG$1,Data!$A$2:$D$3723,4,FALSE)</f>
        <v>17000000</v>
      </c>
    </row>
    <row r="103" spans="1:33" hidden="1" x14ac:dyDescent="0.35">
      <c r="A103" s="13">
        <f t="shared" si="7"/>
        <v>102</v>
      </c>
      <c r="B103" t="s">
        <v>7</v>
      </c>
      <c r="C103" t="s">
        <v>3</v>
      </c>
      <c r="D103">
        <v>5000</v>
      </c>
      <c r="E103" t="s">
        <v>17</v>
      </c>
      <c r="F103" s="5">
        <v>43831</v>
      </c>
      <c r="G103" s="5">
        <v>44562</v>
      </c>
      <c r="H103">
        <v>14</v>
      </c>
      <c r="I103">
        <v>9</v>
      </c>
      <c r="J103">
        <f t="shared" si="5"/>
        <v>28</v>
      </c>
      <c r="K103">
        <f t="shared" si="6"/>
        <v>72</v>
      </c>
      <c r="L103">
        <v>1000000</v>
      </c>
      <c r="M103">
        <f>VLOOKUP($A103&amp;M$1,Data!$A$2:$D$3723,4,FALSE)</f>
        <v>0.48737999999999998</v>
      </c>
      <c r="N103">
        <f>VLOOKUP($A103&amp;N$1,Data!$A$2:$D$3723,4,FALSE)</f>
        <v>1.23</v>
      </c>
      <c r="O103">
        <f>VLOOKUP($A103&amp;O$1,Data!$A$2:$D$3723,4,FALSE)</f>
        <v>687</v>
      </c>
      <c r="P103">
        <f>VLOOKUP($A103&amp;P$1,Data!$A$2:$D$3723,4,FALSE)</f>
        <v>0.1163</v>
      </c>
      <c r="Q103">
        <f>VLOOKUP($A103&amp;Q$1,Data!$A$2:$D$3723,4,FALSE)</f>
        <v>-6.5799999999999997E-2</v>
      </c>
      <c r="R103">
        <f>VLOOKUP($A103&amp;R$1,Data!$A$2:$D$3723,4,FALSE)</f>
        <v>0.66122999999999998</v>
      </c>
      <c r="S103">
        <f>VLOOKUP($A103&amp;S$1,Data!$A$2:$D$3723,4,FALSE)</f>
        <v>0.27700000000000002</v>
      </c>
      <c r="T103">
        <f>VLOOKUP($A103&amp;T$1,Data!$A$2:$D$3723,4,FALSE)</f>
        <v>0.38300000000000001</v>
      </c>
      <c r="U103">
        <f>VLOOKUP($A103&amp;U$1,Data!$A$2:$D$3723,4,FALSE)</f>
        <v>0.38834999999999997</v>
      </c>
      <c r="V103">
        <f>VLOOKUP($A103&amp;V$1,Data!$A$2:$D$3723,4,FALSE)</f>
        <v>0.5</v>
      </c>
      <c r="W103">
        <f>VLOOKUP($A103&amp;W$1,Data!$A$2:$D$3723,4,FALSE)</f>
        <v>0.5</v>
      </c>
      <c r="X103">
        <f>VLOOKUP($A103&amp;X$1,Data!$A$2:$D$3723,4,FALSE)</f>
        <v>1.77</v>
      </c>
      <c r="Y103">
        <f>VLOOKUP($A103&amp;Y$1,Data!$A$2:$D$3723,4,FALSE)</f>
        <v>0.40400000000000003</v>
      </c>
      <c r="Z103">
        <f>VLOOKUP($A103&amp;Z$1,Data!$A$2:$D$3723,4,FALSE)</f>
        <v>2.8980000000000001</v>
      </c>
      <c r="AA103">
        <f>VLOOKUP($A103&amp;AA$1,Data!$A$2:$D$3723,4,FALSE)</f>
        <v>0.47799999999999998</v>
      </c>
      <c r="AB103">
        <f>VLOOKUP($A103&amp;AB$1,Data!$A$2:$D$3723,4,FALSE)</f>
        <v>0.22900000000000001</v>
      </c>
      <c r="AC103">
        <f>VLOOKUP($A103&amp;AC$1,Data!$A$2:$D$3723,4,FALSE)</f>
        <v>1.1519999999999999</v>
      </c>
      <c r="AD103">
        <f>VLOOKUP($A103&amp;AD$1,Data!$A$2:$D$3723,4,FALSE)</f>
        <v>0.45500000000000002</v>
      </c>
      <c r="AE103">
        <f>VLOOKUP($A103&amp;AE$1,Data!$A$2:$D$3723,4,FALSE)</f>
        <v>0.20300000000000001</v>
      </c>
      <c r="AF103">
        <f>VLOOKUP($A103&amp;AF$1,Data!$A$2:$D$3723,4,FALSE)</f>
        <v>0</v>
      </c>
      <c r="AG103">
        <f>VLOOKUP($A103&amp;AG$1,Data!$A$2:$D$3723,4,FALSE)</f>
        <v>5100000</v>
      </c>
    </row>
    <row r="104" spans="1:33" hidden="1" x14ac:dyDescent="0.35">
      <c r="A104" s="13">
        <f t="shared" si="7"/>
        <v>103</v>
      </c>
      <c r="B104" t="s">
        <v>7</v>
      </c>
      <c r="C104" t="s">
        <v>2</v>
      </c>
      <c r="D104">
        <v>100</v>
      </c>
      <c r="E104" t="s">
        <v>17</v>
      </c>
      <c r="F104" s="5">
        <v>43831</v>
      </c>
      <c r="G104" s="5">
        <v>44562</v>
      </c>
      <c r="H104">
        <v>14</v>
      </c>
      <c r="I104">
        <v>9</v>
      </c>
      <c r="J104">
        <f t="shared" si="5"/>
        <v>28</v>
      </c>
      <c r="K104">
        <f t="shared" si="6"/>
        <v>72</v>
      </c>
      <c r="L104">
        <v>1000000</v>
      </c>
      <c r="M104">
        <f>VLOOKUP($A104&amp;M$1,Data!$A$2:$D$3723,4,FALSE)</f>
        <v>0.47492000000000001</v>
      </c>
      <c r="N104">
        <f>VLOOKUP($A104&amp;N$1,Data!$A$2:$D$3723,4,FALSE)</f>
        <v>0.93899999999999995</v>
      </c>
      <c r="O104">
        <f>VLOOKUP($A104&amp;O$1,Data!$A$2:$D$3723,4,FALSE)</f>
        <v>413</v>
      </c>
      <c r="P104">
        <f>VLOOKUP($A104&amp;P$1,Data!$A$2:$D$3723,4,FALSE)</f>
        <v>4.7000000000000002E-3</v>
      </c>
      <c r="Q104">
        <f>VLOOKUP($A104&amp;Q$1,Data!$A$2:$D$3723,4,FALSE)</f>
        <v>-2.8999999999999998E-3</v>
      </c>
      <c r="R104">
        <f>VLOOKUP($A104&amp;R$1,Data!$A$2:$D$3723,4,FALSE)</f>
        <v>2.281E-2</v>
      </c>
      <c r="S104">
        <f>VLOOKUP($A104&amp;S$1,Data!$A$2:$D$3723,4,FALSE)</f>
        <v>1.2999999999999999E-2</v>
      </c>
      <c r="T104">
        <f>VLOOKUP($A104&amp;T$1,Data!$A$2:$D$3723,4,FALSE)</f>
        <v>0.41899999999999998</v>
      </c>
      <c r="U104">
        <f>VLOOKUP($A104&amp;U$1,Data!$A$2:$D$3723,4,FALSE)</f>
        <v>1.469E-2</v>
      </c>
      <c r="V104">
        <f>VLOOKUP($A104&amp;V$1,Data!$A$2:$D$3723,4,FALSE)</f>
        <v>0.46</v>
      </c>
      <c r="W104">
        <f>VLOOKUP($A104&amp;W$1,Data!$A$2:$D$3723,4,FALSE)</f>
        <v>0.54</v>
      </c>
      <c r="X104">
        <f>VLOOKUP($A104&amp;X$1,Data!$A$2:$D$3723,4,FALSE)</f>
        <v>1.63</v>
      </c>
      <c r="Y104">
        <f>VLOOKUP($A104&amp;Y$1,Data!$A$2:$D$3723,4,FALSE)</f>
        <v>0.01</v>
      </c>
      <c r="Z104">
        <f>VLOOKUP($A104&amp;Z$1,Data!$A$2:$D$3723,4,FALSE)</f>
        <v>8.6999999999999994E-2</v>
      </c>
      <c r="AA104">
        <f>VLOOKUP($A104&amp;AA$1,Data!$A$2:$D$3723,4,FALSE)</f>
        <v>1.7000000000000001E-2</v>
      </c>
      <c r="AB104">
        <f>VLOOKUP($A104&amp;AB$1,Data!$A$2:$D$3723,4,FALSE)</f>
        <v>0</v>
      </c>
      <c r="AC104">
        <f>VLOOKUP($A104&amp;AC$1,Data!$A$2:$D$3723,4,FALSE)</f>
        <v>-0.75800000000000001</v>
      </c>
      <c r="AD104">
        <f>VLOOKUP($A104&amp;AD$1,Data!$A$2:$D$3723,4,FALSE)</f>
        <v>6.3E-2</v>
      </c>
      <c r="AE104">
        <f>VLOOKUP($A104&amp;AE$1,Data!$A$2:$D$3723,4,FALSE)</f>
        <v>0.184</v>
      </c>
      <c r="AF104">
        <f>VLOOKUP($A104&amp;AF$1,Data!$A$2:$D$3723,4,FALSE)</f>
        <v>0</v>
      </c>
      <c r="AG104">
        <f>VLOOKUP($A104&amp;AG$1,Data!$A$2:$D$3723,4,FALSE)</f>
        <v>31000000</v>
      </c>
    </row>
    <row r="105" spans="1:33" hidden="1" x14ac:dyDescent="0.35">
      <c r="A105" s="13">
        <f t="shared" si="7"/>
        <v>104</v>
      </c>
      <c r="B105" t="s">
        <v>7</v>
      </c>
      <c r="C105" t="s">
        <v>2</v>
      </c>
      <c r="D105">
        <v>1000</v>
      </c>
      <c r="E105" t="s">
        <v>17</v>
      </c>
      <c r="F105" s="5">
        <v>43831</v>
      </c>
      <c r="G105" s="5">
        <v>44562</v>
      </c>
      <c r="H105">
        <v>14</v>
      </c>
      <c r="I105">
        <v>9</v>
      </c>
      <c r="J105">
        <f t="shared" si="5"/>
        <v>28</v>
      </c>
      <c r="K105">
        <f t="shared" si="6"/>
        <v>72</v>
      </c>
      <c r="L105">
        <v>1000000</v>
      </c>
      <c r="M105">
        <f>VLOOKUP($A105&amp;M$1,Data!$A$2:$D$3723,4,FALSE)</f>
        <v>0.50126000000000004</v>
      </c>
      <c r="N105">
        <f>VLOOKUP($A105&amp;N$1,Data!$A$2:$D$3723,4,FALSE)</f>
        <v>1.0880000000000001</v>
      </c>
      <c r="O105">
        <f>VLOOKUP($A105&amp;O$1,Data!$A$2:$D$3723,4,FALSE)</f>
        <v>413</v>
      </c>
      <c r="P105">
        <f>VLOOKUP($A105&amp;P$1,Data!$A$2:$D$3723,4,FALSE)</f>
        <v>4.5999999999999999E-2</v>
      </c>
      <c r="Q105">
        <f>VLOOKUP($A105&amp;Q$1,Data!$A$2:$D$3723,4,FALSE)</f>
        <v>-2.69E-2</v>
      </c>
      <c r="R105">
        <f>VLOOKUP($A105&amp;R$1,Data!$A$2:$D$3723,4,FALSE)</f>
        <v>0.23613000000000001</v>
      </c>
      <c r="S105">
        <f>VLOOKUP($A105&amp;S$1,Data!$A$2:$D$3723,4,FALSE)</f>
        <v>0.12</v>
      </c>
      <c r="T105">
        <f>VLOOKUP($A105&amp;T$1,Data!$A$2:$D$3723,4,FALSE)</f>
        <v>0.46</v>
      </c>
      <c r="U105">
        <f>VLOOKUP($A105&amp;U$1,Data!$A$2:$D$3723,4,FALSE)</f>
        <v>0.14687</v>
      </c>
      <c r="V105">
        <f>VLOOKUP($A105&amp;V$1,Data!$A$2:$D$3723,4,FALSE)</f>
        <v>0.46</v>
      </c>
      <c r="W105">
        <f>VLOOKUP($A105&amp;W$1,Data!$A$2:$D$3723,4,FALSE)</f>
        <v>0.54</v>
      </c>
      <c r="X105">
        <f>VLOOKUP($A105&amp;X$1,Data!$A$2:$D$3723,4,FALSE)</f>
        <v>1.71</v>
      </c>
      <c r="Y105">
        <f>VLOOKUP($A105&amp;Y$1,Data!$A$2:$D$3723,4,FALSE)</f>
        <v>0.122</v>
      </c>
      <c r="Z105">
        <f>VLOOKUP($A105&amp;Z$1,Data!$A$2:$D$3723,4,FALSE)</f>
        <v>0.80100000000000005</v>
      </c>
      <c r="AA105">
        <f>VLOOKUP($A105&amp;AA$1,Data!$A$2:$D$3723,4,FALSE)</f>
        <v>0.159</v>
      </c>
      <c r="AB105">
        <f>VLOOKUP($A105&amp;AB$1,Data!$A$2:$D$3723,4,FALSE)</f>
        <v>2.5000000000000001E-2</v>
      </c>
      <c r="AC105">
        <f>VLOOKUP($A105&amp;AC$1,Data!$A$2:$D$3723,4,FALSE)</f>
        <v>0.72699999999999998</v>
      </c>
      <c r="AD105">
        <f>VLOOKUP($A105&amp;AD$1,Data!$A$2:$D$3723,4,FALSE)</f>
        <v>0.151</v>
      </c>
      <c r="AE105">
        <f>VLOOKUP($A105&amp;AE$1,Data!$A$2:$D$3723,4,FALSE)</f>
        <v>0.216</v>
      </c>
      <c r="AF105">
        <f>VLOOKUP($A105&amp;AF$1,Data!$A$2:$D$3723,4,FALSE)</f>
        <v>0</v>
      </c>
      <c r="AG105">
        <f>VLOOKUP($A105&amp;AG$1,Data!$A$2:$D$3723,4,FALSE)</f>
        <v>6300000</v>
      </c>
    </row>
    <row r="106" spans="1:33" hidden="1" x14ac:dyDescent="0.35">
      <c r="A106" s="13">
        <f t="shared" si="7"/>
        <v>105</v>
      </c>
      <c r="B106" t="s">
        <v>7</v>
      </c>
      <c r="C106" t="s">
        <v>2</v>
      </c>
      <c r="D106">
        <v>5000</v>
      </c>
      <c r="E106" t="s">
        <v>17</v>
      </c>
      <c r="F106" s="5">
        <v>43831</v>
      </c>
      <c r="G106" s="5">
        <v>44562</v>
      </c>
      <c r="H106">
        <v>14</v>
      </c>
      <c r="I106">
        <v>9</v>
      </c>
      <c r="J106">
        <f t="shared" si="5"/>
        <v>28</v>
      </c>
      <c r="K106">
        <f t="shared" si="6"/>
        <v>72</v>
      </c>
      <c r="L106">
        <v>1000000</v>
      </c>
      <c r="M106">
        <f>VLOOKUP($A106&amp;M$1,Data!$A$2:$D$3723,4,FALSE)</f>
        <v>0.47092000000000001</v>
      </c>
      <c r="N106">
        <f>VLOOKUP($A106&amp;N$1,Data!$A$2:$D$3723,4,FALSE)</f>
        <v>1.4159999999999999</v>
      </c>
      <c r="O106">
        <f>VLOOKUP($A106&amp;O$1,Data!$A$2:$D$3723,4,FALSE)</f>
        <v>283</v>
      </c>
      <c r="P106">
        <f>VLOOKUP($A106&amp;P$1,Data!$A$2:$D$3723,4,FALSE)</f>
        <v>0.1166</v>
      </c>
      <c r="Q106">
        <f>VLOOKUP($A106&amp;Q$1,Data!$A$2:$D$3723,4,FALSE)</f>
        <v>-7.51E-2</v>
      </c>
      <c r="R106">
        <f>VLOOKUP($A106&amp;R$1,Data!$A$2:$D$3723,4,FALSE)</f>
        <v>0.86343000000000003</v>
      </c>
      <c r="S106">
        <f>VLOOKUP($A106&amp;S$1,Data!$A$2:$D$3723,4,FALSE)</f>
        <v>0.49099999999999999</v>
      </c>
      <c r="T106">
        <f>VLOOKUP($A106&amp;T$1,Data!$A$2:$D$3723,4,FALSE)</f>
        <v>0.70099999999999996</v>
      </c>
      <c r="U106">
        <f>VLOOKUP($A106&amp;U$1,Data!$A$2:$D$3723,4,FALSE)</f>
        <v>0.49281000000000003</v>
      </c>
      <c r="V106">
        <f>VLOOKUP($A106&amp;V$1,Data!$A$2:$D$3723,4,FALSE)</f>
        <v>0.33</v>
      </c>
      <c r="W106">
        <f>VLOOKUP($A106&amp;W$1,Data!$A$2:$D$3723,4,FALSE)</f>
        <v>0.67</v>
      </c>
      <c r="X106">
        <f>VLOOKUP($A106&amp;X$1,Data!$A$2:$D$3723,4,FALSE)</f>
        <v>1.55</v>
      </c>
      <c r="Y106">
        <f>VLOOKUP($A106&amp;Y$1,Data!$A$2:$D$3723,4,FALSE)</f>
        <v>0.92400000000000004</v>
      </c>
      <c r="Z106">
        <f>VLOOKUP($A106&amp;Z$1,Data!$A$2:$D$3723,4,FALSE)</f>
        <v>4.7430000000000003</v>
      </c>
      <c r="AA106">
        <f>VLOOKUP($A106&amp;AA$1,Data!$A$2:$D$3723,4,FALSE)</f>
        <v>0.86699999999999999</v>
      </c>
      <c r="AB106">
        <f>VLOOKUP($A106&amp;AB$1,Data!$A$2:$D$3723,4,FALSE)</f>
        <v>0.751</v>
      </c>
      <c r="AC106">
        <f>VLOOKUP($A106&amp;AC$1,Data!$A$2:$D$3723,4,FALSE)</f>
        <v>1.3779999999999999</v>
      </c>
      <c r="AD106">
        <f>VLOOKUP($A106&amp;AD$1,Data!$A$2:$D$3723,4,FALSE)</f>
        <v>0.84499999999999997</v>
      </c>
      <c r="AE106">
        <f>VLOOKUP($A106&amp;AE$1,Data!$A$2:$D$3723,4,FALSE)</f>
        <v>0.25900000000000001</v>
      </c>
      <c r="AF106">
        <f>VLOOKUP($A106&amp;AF$1,Data!$A$2:$D$3723,4,FALSE)</f>
        <v>0</v>
      </c>
      <c r="AG106">
        <f>VLOOKUP($A106&amp;AG$1,Data!$A$2:$D$3723,4,FALSE)</f>
        <v>12000000</v>
      </c>
    </row>
    <row r="107" spans="1:33" hidden="1" x14ac:dyDescent="0.35">
      <c r="A107" s="13">
        <f t="shared" si="7"/>
        <v>106</v>
      </c>
      <c r="B107" t="s">
        <v>7</v>
      </c>
      <c r="C107" t="s">
        <v>22</v>
      </c>
      <c r="D107">
        <v>100</v>
      </c>
      <c r="E107" t="s">
        <v>17</v>
      </c>
      <c r="F107" s="5">
        <v>43831</v>
      </c>
      <c r="G107" s="5">
        <v>44562</v>
      </c>
      <c r="H107">
        <v>14</v>
      </c>
      <c r="I107">
        <v>9</v>
      </c>
      <c r="J107">
        <f t="shared" si="5"/>
        <v>28</v>
      </c>
      <c r="K107">
        <f t="shared" si="6"/>
        <v>72</v>
      </c>
      <c r="L107">
        <v>1000000</v>
      </c>
      <c r="M107">
        <f>VLOOKUP($A107&amp;M$1,Data!$A$2:$D$3723,4,FALSE)</f>
        <v>0.33343</v>
      </c>
      <c r="N107">
        <f>VLOOKUP($A107&amp;N$1,Data!$A$2:$D$3723,4,FALSE)</f>
        <v>0.55400000000000005</v>
      </c>
      <c r="O107">
        <f>VLOOKUP($A107&amp;O$1,Data!$A$2:$D$3723,4,FALSE)</f>
        <v>283</v>
      </c>
      <c r="P107">
        <f>VLOOKUP($A107&amp;P$1,Data!$A$2:$D$3723,4,FALSE)</f>
        <v>2.5000000000000001E-3</v>
      </c>
      <c r="Q107">
        <f>VLOOKUP($A107&amp;Q$1,Data!$A$2:$D$3723,4,FALSE)</f>
        <v>-1.6999999999999999E-3</v>
      </c>
      <c r="R107">
        <f>VLOOKUP($A107&amp;R$1,Data!$A$2:$D$3723,4,FALSE)</f>
        <v>1.529E-2</v>
      </c>
      <c r="S107">
        <f>VLOOKUP($A107&amp;S$1,Data!$A$2:$D$3723,4,FALSE)</f>
        <v>1.4E-2</v>
      </c>
      <c r="T107">
        <f>VLOOKUP($A107&amp;T$1,Data!$A$2:$D$3723,4,FALSE)</f>
        <v>0.64700000000000002</v>
      </c>
      <c r="U107">
        <f>VLOOKUP($A107&amp;U$1,Data!$A$2:$D$3723,4,FALSE)</f>
        <v>9.8600000000000007E-3</v>
      </c>
      <c r="V107">
        <f>VLOOKUP($A107&amp;V$1,Data!$A$2:$D$3723,4,FALSE)</f>
        <v>0.33</v>
      </c>
      <c r="W107">
        <f>VLOOKUP($A107&amp;W$1,Data!$A$2:$D$3723,4,FALSE)</f>
        <v>0.67</v>
      </c>
      <c r="X107">
        <f>VLOOKUP($A107&amp;X$1,Data!$A$2:$D$3723,4,FALSE)</f>
        <v>1.47</v>
      </c>
      <c r="Y107">
        <f>VLOOKUP($A107&amp;Y$1,Data!$A$2:$D$3723,4,FALSE)</f>
        <v>4.0000000000000001E-3</v>
      </c>
      <c r="Z107">
        <f>VLOOKUP($A107&amp;Z$1,Data!$A$2:$D$3723,4,FALSE)</f>
        <v>0.111</v>
      </c>
      <c r="AA107">
        <f>VLOOKUP($A107&amp;AA$1,Data!$A$2:$D$3723,4,FALSE)</f>
        <v>1.9E-2</v>
      </c>
      <c r="AB107">
        <f>VLOOKUP($A107&amp;AB$1,Data!$A$2:$D$3723,4,FALSE)</f>
        <v>0</v>
      </c>
      <c r="AC107">
        <f>VLOOKUP($A107&amp;AC$1,Data!$A$2:$D$3723,4,FALSE)</f>
        <v>-0.85399999999999998</v>
      </c>
      <c r="AD107">
        <f>VLOOKUP($A107&amp;AD$1,Data!$A$2:$D$3723,4,FALSE)</f>
        <v>6.2E-2</v>
      </c>
      <c r="AE107">
        <f>VLOOKUP($A107&amp;AE$1,Data!$A$2:$D$3723,4,FALSE)</f>
        <v>9.7000000000000003E-2</v>
      </c>
      <c r="AF107">
        <f>VLOOKUP($A107&amp;AF$1,Data!$A$2:$D$3723,4,FALSE)</f>
        <v>0</v>
      </c>
      <c r="AG107">
        <f>VLOOKUP($A107&amp;AG$1,Data!$A$2:$D$3723,4,FALSE)</f>
        <v>360000000</v>
      </c>
    </row>
    <row r="108" spans="1:33" hidden="1" x14ac:dyDescent="0.35">
      <c r="A108" s="13">
        <f t="shared" si="7"/>
        <v>107</v>
      </c>
      <c r="B108" t="s">
        <v>7</v>
      </c>
      <c r="C108" t="s">
        <v>22</v>
      </c>
      <c r="D108">
        <v>1000</v>
      </c>
      <c r="E108" t="s">
        <v>17</v>
      </c>
      <c r="F108" s="5">
        <v>43831</v>
      </c>
      <c r="G108" s="5">
        <v>44562</v>
      </c>
      <c r="H108">
        <v>14</v>
      </c>
      <c r="I108">
        <v>9</v>
      </c>
      <c r="J108">
        <f t="shared" si="5"/>
        <v>28</v>
      </c>
      <c r="K108">
        <f t="shared" si="6"/>
        <v>72</v>
      </c>
      <c r="L108">
        <v>1000000</v>
      </c>
      <c r="M108">
        <f>VLOOKUP($A108&amp;M$1,Data!$A$2:$D$3723,4,FALSE)</f>
        <v>0.36147000000000001</v>
      </c>
      <c r="N108">
        <f>VLOOKUP($A108&amp;N$1,Data!$A$2:$D$3723,4,FALSE)</f>
        <v>0.67</v>
      </c>
      <c r="O108">
        <f>VLOOKUP($A108&amp;O$1,Data!$A$2:$D$3723,4,FALSE)</f>
        <v>283</v>
      </c>
      <c r="P108">
        <f>VLOOKUP($A108&amp;P$1,Data!$A$2:$D$3723,4,FALSE)</f>
        <v>2.46E-2</v>
      </c>
      <c r="Q108">
        <f>VLOOKUP($A108&amp;Q$1,Data!$A$2:$D$3723,4,FALSE)</f>
        <v>-1.66E-2</v>
      </c>
      <c r="R108">
        <f>VLOOKUP($A108&amp;R$1,Data!$A$2:$D$3723,4,FALSE)</f>
        <v>0.15651999999999999</v>
      </c>
      <c r="S108">
        <f>VLOOKUP($A108&amp;S$1,Data!$A$2:$D$3723,4,FALSE)</f>
        <v>0.13100000000000001</v>
      </c>
      <c r="T108">
        <f>VLOOKUP($A108&amp;T$1,Data!$A$2:$D$3723,4,FALSE)</f>
        <v>0.65600000000000003</v>
      </c>
      <c r="U108">
        <f>VLOOKUP($A108&amp;U$1,Data!$A$2:$D$3723,4,FALSE)</f>
        <v>9.8559999999999995E-2</v>
      </c>
      <c r="V108">
        <f>VLOOKUP($A108&amp;V$1,Data!$A$2:$D$3723,4,FALSE)</f>
        <v>0.33</v>
      </c>
      <c r="W108">
        <f>VLOOKUP($A108&amp;W$1,Data!$A$2:$D$3723,4,FALSE)</f>
        <v>0.67</v>
      </c>
      <c r="X108">
        <f>VLOOKUP($A108&amp;X$1,Data!$A$2:$D$3723,4,FALSE)</f>
        <v>1.48</v>
      </c>
      <c r="Y108">
        <f>VLOOKUP($A108&amp;Y$1,Data!$A$2:$D$3723,4,FALSE)</f>
        <v>5.8000000000000003E-2</v>
      </c>
      <c r="Z108">
        <f>VLOOKUP($A108&amp;Z$1,Data!$A$2:$D$3723,4,FALSE)</f>
        <v>1.0669999999999999</v>
      </c>
      <c r="AA108">
        <f>VLOOKUP($A108&amp;AA$1,Data!$A$2:$D$3723,4,FALSE)</f>
        <v>0.188</v>
      </c>
      <c r="AB108">
        <f>VLOOKUP($A108&amp;AB$1,Data!$A$2:$D$3723,4,FALSE)</f>
        <v>3.5000000000000003E-2</v>
      </c>
      <c r="AC108">
        <f>VLOOKUP($A108&amp;AC$1,Data!$A$2:$D$3723,4,FALSE)</f>
        <v>0.35699999999999998</v>
      </c>
      <c r="AD108">
        <f>VLOOKUP($A108&amp;AD$1,Data!$A$2:$D$3723,4,FALSE)</f>
        <v>0.17399999999999999</v>
      </c>
      <c r="AE108">
        <f>VLOOKUP($A108&amp;AE$1,Data!$A$2:$D$3723,4,FALSE)</f>
        <v>0.11799999999999999</v>
      </c>
      <c r="AF108">
        <f>VLOOKUP($A108&amp;AF$1,Data!$A$2:$D$3723,4,FALSE)</f>
        <v>0</v>
      </c>
      <c r="AG108">
        <f>VLOOKUP($A108&amp;AG$1,Data!$A$2:$D$3723,4,FALSE)</f>
        <v>43000000</v>
      </c>
    </row>
    <row r="109" spans="1:33" hidden="1" x14ac:dyDescent="0.35">
      <c r="A109" s="13">
        <f t="shared" si="7"/>
        <v>108</v>
      </c>
      <c r="B109" t="s">
        <v>7</v>
      </c>
      <c r="C109" t="s">
        <v>22</v>
      </c>
      <c r="D109">
        <v>5000</v>
      </c>
      <c r="E109" t="s">
        <v>17</v>
      </c>
      <c r="F109" s="5">
        <v>43831</v>
      </c>
      <c r="G109" s="5">
        <v>44562</v>
      </c>
      <c r="H109">
        <v>14</v>
      </c>
      <c r="I109">
        <v>9</v>
      </c>
      <c r="J109">
        <f t="shared" si="5"/>
        <v>28</v>
      </c>
      <c r="K109">
        <f t="shared" si="6"/>
        <v>72</v>
      </c>
      <c r="L109">
        <v>1000000</v>
      </c>
      <c r="M109">
        <f>VLOOKUP($A109&amp;M$1,Data!$A$2:$D$3723,4,FALSE)</f>
        <v>0.47092000000000001</v>
      </c>
      <c r="N109">
        <f>VLOOKUP($A109&amp;N$1,Data!$A$2:$D$3723,4,FALSE)</f>
        <v>1.4159999999999999</v>
      </c>
      <c r="O109">
        <f>VLOOKUP($A109&amp;O$1,Data!$A$2:$D$3723,4,FALSE)</f>
        <v>283</v>
      </c>
      <c r="P109">
        <f>VLOOKUP($A109&amp;P$1,Data!$A$2:$D$3723,4,FALSE)</f>
        <v>0.1166</v>
      </c>
      <c r="Q109">
        <f>VLOOKUP($A109&amp;Q$1,Data!$A$2:$D$3723,4,FALSE)</f>
        <v>-7.51E-2</v>
      </c>
      <c r="R109">
        <f>VLOOKUP($A109&amp;R$1,Data!$A$2:$D$3723,4,FALSE)</f>
        <v>0.86343000000000003</v>
      </c>
      <c r="S109">
        <f>VLOOKUP($A109&amp;S$1,Data!$A$2:$D$3723,4,FALSE)</f>
        <v>0.49099999999999999</v>
      </c>
      <c r="T109">
        <f>VLOOKUP($A109&amp;T$1,Data!$A$2:$D$3723,4,FALSE)</f>
        <v>0.70099999999999996</v>
      </c>
      <c r="U109">
        <f>VLOOKUP($A109&amp;U$1,Data!$A$2:$D$3723,4,FALSE)</f>
        <v>0.49281000000000003</v>
      </c>
      <c r="V109">
        <f>VLOOKUP($A109&amp;V$1,Data!$A$2:$D$3723,4,FALSE)</f>
        <v>0.33</v>
      </c>
      <c r="W109">
        <f>VLOOKUP($A109&amp;W$1,Data!$A$2:$D$3723,4,FALSE)</f>
        <v>0.67</v>
      </c>
      <c r="X109">
        <f>VLOOKUP($A109&amp;X$1,Data!$A$2:$D$3723,4,FALSE)</f>
        <v>1.55</v>
      </c>
      <c r="Y109">
        <f>VLOOKUP($A109&amp;Y$1,Data!$A$2:$D$3723,4,FALSE)</f>
        <v>0.92400000000000004</v>
      </c>
      <c r="Z109">
        <f>VLOOKUP($A109&amp;Z$1,Data!$A$2:$D$3723,4,FALSE)</f>
        <v>4.7430000000000003</v>
      </c>
      <c r="AA109">
        <f>VLOOKUP($A109&amp;AA$1,Data!$A$2:$D$3723,4,FALSE)</f>
        <v>0.86699999999999999</v>
      </c>
      <c r="AB109">
        <f>VLOOKUP($A109&amp;AB$1,Data!$A$2:$D$3723,4,FALSE)</f>
        <v>0.751</v>
      </c>
      <c r="AC109">
        <f>VLOOKUP($A109&amp;AC$1,Data!$A$2:$D$3723,4,FALSE)</f>
        <v>1.3779999999999999</v>
      </c>
      <c r="AD109">
        <f>VLOOKUP($A109&amp;AD$1,Data!$A$2:$D$3723,4,FALSE)</f>
        <v>0.84499999999999997</v>
      </c>
      <c r="AE109">
        <f>VLOOKUP($A109&amp;AE$1,Data!$A$2:$D$3723,4,FALSE)</f>
        <v>0.25900000000000001</v>
      </c>
      <c r="AF109">
        <f>VLOOKUP($A109&amp;AF$1,Data!$A$2:$D$3723,4,FALSE)</f>
        <v>0</v>
      </c>
      <c r="AG109">
        <f>VLOOKUP($A109&amp;AG$1,Data!$A$2:$D$3723,4,FALSE)</f>
        <v>12000000</v>
      </c>
    </row>
    <row r="110" spans="1:33" hidden="1" x14ac:dyDescent="0.35">
      <c r="A110" s="13">
        <f>A109+1</f>
        <v>109</v>
      </c>
      <c r="B110" t="s">
        <v>19</v>
      </c>
      <c r="C110" t="s">
        <v>3</v>
      </c>
      <c r="D110">
        <v>100</v>
      </c>
      <c r="E110" t="s">
        <v>17</v>
      </c>
      <c r="F110" s="5">
        <v>43831</v>
      </c>
      <c r="G110" s="5">
        <v>44562</v>
      </c>
      <c r="H110">
        <v>14</v>
      </c>
      <c r="I110">
        <v>9</v>
      </c>
      <c r="J110">
        <f t="shared" si="5"/>
        <v>30</v>
      </c>
      <c r="K110">
        <f t="shared" si="6"/>
        <v>70</v>
      </c>
      <c r="L110">
        <v>1000000</v>
      </c>
      <c r="M110">
        <f>VLOOKUP($A110&amp;M$1,Data!$A$2:$D$3723,4,FALSE)</f>
        <v>1.1E-4</v>
      </c>
      <c r="N110">
        <f>VLOOKUP($A110&amp;N$1,Data!$A$2:$D$3723,4,FALSE)</f>
        <v>-2.3759999999999999</v>
      </c>
      <c r="O110" s="7">
        <f>VLOOKUP($A110&amp;O$1,Data!$A$2:$D$3723,4,FALSE)</f>
        <v>607</v>
      </c>
      <c r="P110">
        <f>VLOOKUP($A110&amp;P$1,Data!$A$2:$D$3723,4,FALSE)</f>
        <v>2.0000000000000001E-4</v>
      </c>
      <c r="Q110">
        <f>VLOOKUP($A110&amp;Q$1,Data!$A$2:$D$3723,4,FALSE)</f>
        <v>-1.1000000000000001E-3</v>
      </c>
      <c r="R110">
        <f>VLOOKUP($A110&amp;R$1,Data!$A$2:$D$3723,4,FALSE)</f>
        <v>-2.0080000000000001E-2</v>
      </c>
      <c r="S110">
        <f>VLOOKUP($A110&amp;S$1,Data!$A$2:$D$3723,4,FALSE)</f>
        <v>1.4999999999999999E-2</v>
      </c>
      <c r="T110">
        <f>VLOOKUP($A110&amp;T$1,Data!$A$2:$D$3723,4,FALSE)</f>
        <v>-0.59599999999999997</v>
      </c>
      <c r="U110">
        <f>VLOOKUP($A110&amp;U$1,Data!$A$2:$D$3723,4,FALSE)</f>
        <v>-1.303E-2</v>
      </c>
      <c r="V110">
        <f>VLOOKUP($A110&amp;V$1,Data!$A$2:$D$3723,4,FALSE)</f>
        <v>0.65</v>
      </c>
      <c r="W110">
        <f>VLOOKUP($A110&amp;W$1,Data!$A$2:$D$3723,4,FALSE)</f>
        <v>0.35</v>
      </c>
      <c r="X110">
        <f>VLOOKUP($A110&amp;X$1,Data!$A$2:$D$3723,4,FALSE)</f>
        <v>0.15</v>
      </c>
      <c r="Y110">
        <f>VLOOKUP($A110&amp;Y$1,Data!$A$2:$D$3723,4,FALSE)</f>
        <v>-1.2E-2</v>
      </c>
      <c r="Z110">
        <f>VLOOKUP($A110&amp;Z$1,Data!$A$2:$D$3723,4,FALSE)</f>
        <v>-0.03</v>
      </c>
      <c r="AA110">
        <f>VLOOKUP($A110&amp;AA$1,Data!$A$2:$D$3723,4,FALSE)</f>
        <v>6.0000000000000001E-3</v>
      </c>
      <c r="AB110">
        <f>VLOOKUP($A110&amp;AB$1,Data!$A$2:$D$3723,4,FALSE)</f>
        <v>0</v>
      </c>
      <c r="AC110">
        <f>VLOOKUP($A110&amp;AC$1,Data!$A$2:$D$3723,4,FALSE)</f>
        <v>-1.1259999999999999</v>
      </c>
      <c r="AD110">
        <f>VLOOKUP($A110&amp;AD$1,Data!$A$2:$D$3723,4,FALSE)</f>
        <v>6.9000000000000006E-2</v>
      </c>
      <c r="AE110">
        <f>VLOOKUP($A110&amp;AE$1,Data!$A$2:$D$3723,4,FALSE)</f>
        <v>0.46899999999999997</v>
      </c>
      <c r="AF110">
        <f>VLOOKUP($A110&amp;AF$1,Data!$A$2:$D$3723,4,FALSE)</f>
        <v>0</v>
      </c>
      <c r="AG110">
        <f>VLOOKUP($A110&amp;AG$1,Data!$A$2:$D$3723,4,FALSE)</f>
        <v>3000000000</v>
      </c>
    </row>
    <row r="111" spans="1:33" hidden="1" x14ac:dyDescent="0.35">
      <c r="A111" s="13">
        <f>A110+1</f>
        <v>110</v>
      </c>
      <c r="B111" t="s">
        <v>19</v>
      </c>
      <c r="C111" t="s">
        <v>3</v>
      </c>
      <c r="D111">
        <v>1000</v>
      </c>
      <c r="E111" t="s">
        <v>17</v>
      </c>
      <c r="F111" s="5">
        <v>43831</v>
      </c>
      <c r="G111" s="5">
        <v>44562</v>
      </c>
      <c r="H111">
        <v>14</v>
      </c>
      <c r="I111">
        <v>9</v>
      </c>
      <c r="J111">
        <f t="shared" si="5"/>
        <v>30</v>
      </c>
      <c r="K111">
        <f t="shared" si="6"/>
        <v>70</v>
      </c>
      <c r="L111">
        <v>1000000</v>
      </c>
      <c r="M111">
        <f>VLOOKUP($A111&amp;M$1,Data!$A$2:$D$3723,4,FALSE)</f>
        <v>1.4999999999999999E-4</v>
      </c>
      <c r="N111">
        <f>VLOOKUP($A111&amp;N$1,Data!$A$2:$D$3723,4,FALSE)</f>
        <v>-2.19</v>
      </c>
      <c r="O111" s="7">
        <f>VLOOKUP($A111&amp;O$1,Data!$A$2:$D$3723,4,FALSE)</f>
        <v>607</v>
      </c>
      <c r="P111">
        <f>VLOOKUP($A111&amp;P$1,Data!$A$2:$D$3723,4,FALSE)</f>
        <v>1.6999999999999999E-3</v>
      </c>
      <c r="Q111">
        <f>VLOOKUP($A111&amp;Q$1,Data!$A$2:$D$3723,4,FALSE)</f>
        <v>-1.12E-2</v>
      </c>
      <c r="R111">
        <f>VLOOKUP($A111&amp;R$1,Data!$A$2:$D$3723,4,FALSE)</f>
        <v>-0.19416</v>
      </c>
      <c r="S111">
        <f>VLOOKUP($A111&amp;S$1,Data!$A$2:$D$3723,4,FALSE)</f>
        <v>0.14499999999999999</v>
      </c>
      <c r="T111">
        <f>VLOOKUP($A111&amp;T$1,Data!$A$2:$D$3723,4,FALSE)</f>
        <v>-0.59699999999999998</v>
      </c>
      <c r="U111">
        <f>VLOOKUP($A111&amp;U$1,Data!$A$2:$D$3723,4,FALSE)</f>
        <v>-0.13025</v>
      </c>
      <c r="V111">
        <f>VLOOKUP($A111&amp;V$1,Data!$A$2:$D$3723,4,FALSE)</f>
        <v>0.65</v>
      </c>
      <c r="W111">
        <f>VLOOKUP($A111&amp;W$1,Data!$A$2:$D$3723,4,FALSE)</f>
        <v>0.35</v>
      </c>
      <c r="X111">
        <f>VLOOKUP($A111&amp;X$1,Data!$A$2:$D$3723,4,FALSE)</f>
        <v>0.15</v>
      </c>
      <c r="Y111">
        <f>VLOOKUP($A111&amp;Y$1,Data!$A$2:$D$3723,4,FALSE)</f>
        <v>-0.11700000000000001</v>
      </c>
      <c r="Z111">
        <f>VLOOKUP($A111&amp;Z$1,Data!$A$2:$D$3723,4,FALSE)</f>
        <v>-0.318</v>
      </c>
      <c r="AA111">
        <f>VLOOKUP($A111&amp;AA$1,Data!$A$2:$D$3723,4,FALSE)</f>
        <v>6.3E-2</v>
      </c>
      <c r="AB111">
        <f>VLOOKUP($A111&amp;AB$1,Data!$A$2:$D$3723,4,FALSE)</f>
        <v>4.0000000000000001E-3</v>
      </c>
      <c r="AC111">
        <f>VLOOKUP($A111&amp;AC$1,Data!$A$2:$D$3723,4,FALSE)</f>
        <v>-1.8979999999999999</v>
      </c>
      <c r="AD111">
        <f>VLOOKUP($A111&amp;AD$1,Data!$A$2:$D$3723,4,FALSE)</f>
        <v>0.106</v>
      </c>
      <c r="AE111">
        <f>VLOOKUP($A111&amp;AE$1,Data!$A$2:$D$3723,4,FALSE)</f>
        <v>0.432</v>
      </c>
      <c r="AF111">
        <f>VLOOKUP($A111&amp;AF$1,Data!$A$2:$D$3723,4,FALSE)</f>
        <v>0</v>
      </c>
      <c r="AG111">
        <f>VLOOKUP($A111&amp;AG$1,Data!$A$2:$D$3723,4,FALSE)</f>
        <v>270000000</v>
      </c>
    </row>
    <row r="112" spans="1:33" hidden="1" x14ac:dyDescent="0.35">
      <c r="A112" s="13">
        <f>A111+1</f>
        <v>111</v>
      </c>
      <c r="B112" t="s">
        <v>19</v>
      </c>
      <c r="C112" t="s">
        <v>3</v>
      </c>
      <c r="D112">
        <v>5000</v>
      </c>
      <c r="E112" t="s">
        <v>17</v>
      </c>
      <c r="F112" s="5">
        <v>43831</v>
      </c>
      <c r="G112" s="5">
        <v>44562</v>
      </c>
      <c r="H112">
        <v>14</v>
      </c>
      <c r="I112">
        <v>9</v>
      </c>
      <c r="J112">
        <f t="shared" si="5"/>
        <v>30</v>
      </c>
      <c r="K112">
        <f t="shared" si="6"/>
        <v>70</v>
      </c>
      <c r="L112">
        <v>1000000</v>
      </c>
      <c r="M112">
        <f>VLOOKUP($A112&amp;M$1,Data!$A$2:$D$3723,4,FALSE)</f>
        <v>1.6900000000000001E-3</v>
      </c>
      <c r="N112">
        <f>VLOOKUP($A112&amp;N$1,Data!$A$2:$D$3723,4,FALSE)</f>
        <v>-1.252</v>
      </c>
      <c r="O112" s="7">
        <f>VLOOKUP($A112&amp;O$1,Data!$A$2:$D$3723,4,FALSE)</f>
        <v>600</v>
      </c>
      <c r="P112">
        <f>VLOOKUP($A112&amp;P$1,Data!$A$2:$D$3723,4,FALSE)</f>
        <v>1.18E-2</v>
      </c>
      <c r="Q112">
        <f>VLOOKUP($A112&amp;Q$1,Data!$A$2:$D$3723,4,FALSE)</f>
        <v>-6.4899999999999999E-2</v>
      </c>
      <c r="R112">
        <f>VLOOKUP($A112&amp;R$1,Data!$A$2:$D$3723,4,FALSE)</f>
        <v>-0.77429999999999999</v>
      </c>
      <c r="S112">
        <f>VLOOKUP($A112&amp;S$1,Data!$A$2:$D$3723,4,FALSE)</f>
        <v>0.65900000000000003</v>
      </c>
      <c r="T112">
        <f>VLOOKUP($A112&amp;T$1,Data!$A$2:$D$3723,4,FALSE)</f>
        <v>-0.64500000000000002</v>
      </c>
      <c r="U112">
        <f>VLOOKUP($A112&amp;U$1,Data!$A$2:$D$3723,4,FALSE)</f>
        <v>-0.61799000000000004</v>
      </c>
      <c r="V112">
        <f>VLOOKUP($A112&amp;V$1,Data!$A$2:$D$3723,4,FALSE)</f>
        <v>0.7</v>
      </c>
      <c r="W112">
        <f>VLOOKUP($A112&amp;W$1,Data!$A$2:$D$3723,4,FALSE)</f>
        <v>0.3</v>
      </c>
      <c r="X112">
        <f>VLOOKUP($A112&amp;X$1,Data!$A$2:$D$3723,4,FALSE)</f>
        <v>0.18</v>
      </c>
      <c r="Y112">
        <f>VLOOKUP($A112&amp;Y$1,Data!$A$2:$D$3723,4,FALSE)</f>
        <v>-0.45</v>
      </c>
      <c r="Z112">
        <f>VLOOKUP($A112&amp;Z$1,Data!$A$2:$D$3723,4,FALSE)</f>
        <v>-2.35</v>
      </c>
      <c r="AA112">
        <f>VLOOKUP($A112&amp;AA$1,Data!$A$2:$D$3723,4,FALSE)</f>
        <v>0.47799999999999998</v>
      </c>
      <c r="AB112">
        <f>VLOOKUP($A112&amp;AB$1,Data!$A$2:$D$3723,4,FALSE)</f>
        <v>0.22900000000000001</v>
      </c>
      <c r="AC112">
        <f>VLOOKUP($A112&amp;AC$1,Data!$A$2:$D$3723,4,FALSE)</f>
        <v>-1.3149999999999999</v>
      </c>
      <c r="AD112">
        <f>VLOOKUP($A112&amp;AD$1,Data!$A$2:$D$3723,4,FALSE)</f>
        <v>0.504</v>
      </c>
      <c r="AE112">
        <f>VLOOKUP($A112&amp;AE$1,Data!$A$2:$D$3723,4,FALSE)</f>
        <v>0.255</v>
      </c>
      <c r="AF112">
        <f>VLOOKUP($A112&amp;AF$1,Data!$A$2:$D$3723,4,FALSE)</f>
        <v>0</v>
      </c>
      <c r="AG112">
        <f>VLOOKUP($A112&amp;AG$1,Data!$A$2:$D$3723,4,FALSE)</f>
        <v>23000000</v>
      </c>
    </row>
    <row r="113" spans="1:33" hidden="1" x14ac:dyDescent="0.35">
      <c r="A113" s="13">
        <f t="shared" ref="A113:A174" si="8">A112+1</f>
        <v>112</v>
      </c>
      <c r="B113" t="s">
        <v>19</v>
      </c>
      <c r="C113" t="s">
        <v>2</v>
      </c>
      <c r="D113">
        <v>100</v>
      </c>
      <c r="E113" t="s">
        <v>17</v>
      </c>
      <c r="F113" s="5">
        <v>43831</v>
      </c>
      <c r="G113" s="5">
        <v>44562</v>
      </c>
      <c r="H113">
        <v>14</v>
      </c>
      <c r="I113">
        <v>9</v>
      </c>
      <c r="J113">
        <f t="shared" si="5"/>
        <v>30</v>
      </c>
      <c r="K113">
        <f t="shared" si="6"/>
        <v>70</v>
      </c>
      <c r="L113">
        <v>1000000</v>
      </c>
      <c r="M113">
        <f>VLOOKUP($A113&amp;M$1,Data!$A$2:$D$3723,4,FALSE)</f>
        <v>0.56274000000000002</v>
      </c>
      <c r="N113">
        <f>VLOOKUP($A113&amp;N$1,Data!$A$2:$D$3723,4,FALSE)</f>
        <v>1.1579999999999999</v>
      </c>
      <c r="O113" s="7">
        <f>VLOOKUP($A113&amp;O$1,Data!$A$2:$D$3723,4,FALSE)</f>
        <v>359</v>
      </c>
      <c r="P113">
        <f>VLOOKUP($A113&amp;P$1,Data!$A$2:$D$3723,4,FALSE)</f>
        <v>2.2000000000000001E-3</v>
      </c>
      <c r="Q113">
        <f>VLOOKUP($A113&amp;Q$1,Data!$A$2:$D$3723,4,FALSE)</f>
        <v>-5.9999999999999995E-4</v>
      </c>
      <c r="R113">
        <f>VLOOKUP($A113&amp;R$1,Data!$A$2:$D$3723,4,FALSE)</f>
        <v>2.223E-2</v>
      </c>
      <c r="S113">
        <f>VLOOKUP($A113&amp;S$1,Data!$A$2:$D$3723,4,FALSE)</f>
        <v>8.9999999999999993E-3</v>
      </c>
      <c r="T113">
        <f>VLOOKUP($A113&amp;T$1,Data!$A$2:$D$3723,4,FALSE)</f>
        <v>2.948</v>
      </c>
      <c r="U113">
        <f>VLOOKUP($A113&amp;U$1,Data!$A$2:$D$3723,4,FALSE)</f>
        <v>1.4319999999999999E-2</v>
      </c>
      <c r="V113">
        <f>VLOOKUP($A113&amp;V$1,Data!$A$2:$D$3723,4,FALSE)</f>
        <v>0.18</v>
      </c>
      <c r="W113">
        <f>VLOOKUP($A113&amp;W$1,Data!$A$2:$D$3723,4,FALSE)</f>
        <v>0.82</v>
      </c>
      <c r="X113">
        <f>VLOOKUP($A113&amp;X$1,Data!$A$2:$D$3723,4,FALSE)</f>
        <v>3.83</v>
      </c>
      <c r="Y113">
        <f>VLOOKUP($A113&amp;Y$1,Data!$A$2:$D$3723,4,FALSE)</f>
        <v>1.9E-2</v>
      </c>
      <c r="Z113">
        <f>VLOOKUP($A113&amp;Z$1,Data!$A$2:$D$3723,4,FALSE)</f>
        <v>-5.6000000000000001E-2</v>
      </c>
      <c r="AA113">
        <f>VLOOKUP($A113&amp;AA$1,Data!$A$2:$D$3723,4,FALSE)</f>
        <v>1.2999999999999999E-2</v>
      </c>
      <c r="AB113">
        <f>VLOOKUP($A113&amp;AB$1,Data!$A$2:$D$3723,4,FALSE)</f>
        <v>0</v>
      </c>
      <c r="AC113">
        <f>VLOOKUP($A113&amp;AC$1,Data!$A$2:$D$3723,4,FALSE)</f>
        <v>-0.67400000000000004</v>
      </c>
      <c r="AD113">
        <f>VLOOKUP($A113&amp;AD$1,Data!$A$2:$D$3723,4,FALSE)</f>
        <v>7.1999999999999995E-2</v>
      </c>
      <c r="AE113">
        <f>VLOOKUP($A113&amp;AE$1,Data!$A$2:$D$3723,4,FALSE)</f>
        <v>-0.27700000000000002</v>
      </c>
      <c r="AF113">
        <f>VLOOKUP($A113&amp;AF$1,Data!$A$2:$D$3723,4,FALSE)</f>
        <v>0</v>
      </c>
      <c r="AG113">
        <f>VLOOKUP($A113&amp;AG$1,Data!$A$2:$D$3723,4,FALSE)</f>
        <v>28000000</v>
      </c>
    </row>
    <row r="114" spans="1:33" hidden="1" x14ac:dyDescent="0.35">
      <c r="A114" s="13">
        <f t="shared" si="8"/>
        <v>113</v>
      </c>
      <c r="B114" t="s">
        <v>19</v>
      </c>
      <c r="C114" t="s">
        <v>2</v>
      </c>
      <c r="D114">
        <v>1000</v>
      </c>
      <c r="E114" t="s">
        <v>17</v>
      </c>
      <c r="F114" s="5">
        <v>43831</v>
      </c>
      <c r="G114" s="5">
        <v>44562</v>
      </c>
      <c r="H114">
        <v>14</v>
      </c>
      <c r="I114">
        <v>9</v>
      </c>
      <c r="J114">
        <f t="shared" si="5"/>
        <v>30</v>
      </c>
      <c r="K114">
        <f t="shared" si="6"/>
        <v>70</v>
      </c>
      <c r="L114">
        <v>1000000</v>
      </c>
      <c r="M114">
        <f>VLOOKUP($A114&amp;M$1,Data!$A$2:$D$3723,4,FALSE)</f>
        <v>0.59633000000000003</v>
      </c>
      <c r="N114">
        <f>VLOOKUP($A114&amp;N$1,Data!$A$2:$D$3723,4,FALSE)</f>
        <v>1.325</v>
      </c>
      <c r="O114" s="7">
        <f>VLOOKUP($A114&amp;O$1,Data!$A$2:$D$3723,4,FALSE)</f>
        <v>359</v>
      </c>
      <c r="P114">
        <f>VLOOKUP($A114&amp;P$1,Data!$A$2:$D$3723,4,FALSE)</f>
        <v>2.1100000000000001E-2</v>
      </c>
      <c r="Q114">
        <f>VLOOKUP($A114&amp;Q$1,Data!$A$2:$D$3723,4,FALSE)</f>
        <v>-5.7000000000000002E-3</v>
      </c>
      <c r="R114">
        <f>VLOOKUP($A114&amp;R$1,Data!$A$2:$D$3723,4,FALSE)</f>
        <v>0.22996</v>
      </c>
      <c r="S114">
        <f>VLOOKUP($A114&amp;S$1,Data!$A$2:$D$3723,4,FALSE)</f>
        <v>0.08</v>
      </c>
      <c r="T114">
        <f>VLOOKUP($A114&amp;T$1,Data!$A$2:$D$3723,4,FALSE)</f>
        <v>2.8580000000000001</v>
      </c>
      <c r="U114">
        <f>VLOOKUP($A114&amp;U$1,Data!$A$2:$D$3723,4,FALSE)</f>
        <v>0.14316999999999999</v>
      </c>
      <c r="V114">
        <f>VLOOKUP($A114&amp;V$1,Data!$A$2:$D$3723,4,FALSE)</f>
        <v>0.18</v>
      </c>
      <c r="W114">
        <f>VLOOKUP($A114&amp;W$1,Data!$A$2:$D$3723,4,FALSE)</f>
        <v>0.82</v>
      </c>
      <c r="X114">
        <f>VLOOKUP($A114&amp;X$1,Data!$A$2:$D$3723,4,FALSE)</f>
        <v>3.71</v>
      </c>
      <c r="Y114">
        <f>VLOOKUP($A114&amp;Y$1,Data!$A$2:$D$3723,4,FALSE)</f>
        <v>0.19500000000000001</v>
      </c>
      <c r="Z114">
        <f>VLOOKUP($A114&amp;Z$1,Data!$A$2:$D$3723,4,FALSE)</f>
        <v>-0.51</v>
      </c>
      <c r="AA114">
        <f>VLOOKUP($A114&amp;AA$1,Data!$A$2:$D$3723,4,FALSE)</f>
        <v>0.123</v>
      </c>
      <c r="AB114">
        <f>VLOOKUP($A114&amp;AB$1,Data!$A$2:$D$3723,4,FALSE)</f>
        <v>1.4999999999999999E-2</v>
      </c>
      <c r="AC114">
        <f>VLOOKUP($A114&amp;AC$1,Data!$A$2:$D$3723,4,FALSE)</f>
        <v>0.63900000000000001</v>
      </c>
      <c r="AD114">
        <f>VLOOKUP($A114&amp;AD$1,Data!$A$2:$D$3723,4,FALSE)</f>
        <v>0.155</v>
      </c>
      <c r="AE114">
        <f>VLOOKUP($A114&amp;AE$1,Data!$A$2:$D$3723,4,FALSE)</f>
        <v>-0.31900000000000001</v>
      </c>
      <c r="AF114">
        <f>VLOOKUP($A114&amp;AF$1,Data!$A$2:$D$3723,4,FALSE)</f>
        <v>0</v>
      </c>
      <c r="AG114">
        <f>VLOOKUP($A114&amp;AG$1,Data!$A$2:$D$3723,4,FALSE)</f>
        <v>3400000</v>
      </c>
    </row>
    <row r="115" spans="1:33" hidden="1" x14ac:dyDescent="0.35">
      <c r="A115" s="13">
        <f t="shared" si="8"/>
        <v>114</v>
      </c>
      <c r="B115" t="s">
        <v>19</v>
      </c>
      <c r="C115" t="s">
        <v>2</v>
      </c>
      <c r="D115">
        <v>5000</v>
      </c>
      <c r="E115" t="s">
        <v>17</v>
      </c>
      <c r="F115" s="5">
        <v>43831</v>
      </c>
      <c r="G115" s="5">
        <v>44562</v>
      </c>
      <c r="H115">
        <v>14</v>
      </c>
      <c r="I115">
        <v>9</v>
      </c>
      <c r="J115">
        <f t="shared" si="5"/>
        <v>30</v>
      </c>
      <c r="K115">
        <f t="shared" si="6"/>
        <v>70</v>
      </c>
      <c r="L115">
        <v>1000000</v>
      </c>
      <c r="M115">
        <f>VLOOKUP($A115&amp;M$1,Data!$A$2:$D$3723,4,FALSE)</f>
        <v>0.68464000000000003</v>
      </c>
      <c r="N115">
        <f>VLOOKUP($A115&amp;N$1,Data!$A$2:$D$3723,4,FALSE)</f>
        <v>2.0459999999999998</v>
      </c>
      <c r="O115" s="7">
        <f>VLOOKUP($A115&amp;O$1,Data!$A$2:$D$3723,4,FALSE)</f>
        <v>359</v>
      </c>
      <c r="P115">
        <f>VLOOKUP($A115&amp;P$1,Data!$A$2:$D$3723,4,FALSE)</f>
        <v>8.4699999999999998E-2</v>
      </c>
      <c r="Q115">
        <f>VLOOKUP($A115&amp;Q$1,Data!$A$2:$D$3723,4,FALSE)</f>
        <v>-2.47E-2</v>
      </c>
      <c r="R115">
        <f>VLOOKUP($A115&amp;R$1,Data!$A$2:$D$3723,4,FALSE)</f>
        <v>1.3051999999999999</v>
      </c>
      <c r="S115">
        <f>VLOOKUP($A115&amp;S$1,Data!$A$2:$D$3723,4,FALSE)</f>
        <v>0.24199999999999999</v>
      </c>
      <c r="T115">
        <f>VLOOKUP($A115&amp;T$1,Data!$A$2:$D$3723,4,FALSE)</f>
        <v>2.6240000000000001</v>
      </c>
      <c r="U115">
        <f>VLOOKUP($A115&amp;U$1,Data!$A$2:$D$3723,4,FALSE)</f>
        <v>0.71584000000000003</v>
      </c>
      <c r="V115">
        <f>VLOOKUP($A115&amp;V$1,Data!$A$2:$D$3723,4,FALSE)</f>
        <v>0.18</v>
      </c>
      <c r="W115">
        <f>VLOOKUP($A115&amp;W$1,Data!$A$2:$D$3723,4,FALSE)</f>
        <v>0.82</v>
      </c>
      <c r="X115">
        <f>VLOOKUP($A115&amp;X$1,Data!$A$2:$D$3723,4,FALSE)</f>
        <v>3.43</v>
      </c>
      <c r="Y115">
        <f>VLOOKUP($A115&amp;Y$1,Data!$A$2:$D$3723,4,FALSE)</f>
        <v>1.109</v>
      </c>
      <c r="Z115">
        <f>VLOOKUP($A115&amp;Z$1,Data!$A$2:$D$3723,4,FALSE)</f>
        <v>-1.881</v>
      </c>
      <c r="AA115">
        <f>VLOOKUP($A115&amp;AA$1,Data!$A$2:$D$3723,4,FALSE)</f>
        <v>0.48299999999999998</v>
      </c>
      <c r="AB115">
        <f>VLOOKUP($A115&amp;AB$1,Data!$A$2:$D$3723,4,FALSE)</f>
        <v>0.23400000000000001</v>
      </c>
      <c r="AC115">
        <f>VLOOKUP($A115&amp;AC$1,Data!$A$2:$D$3723,4,FALSE)</f>
        <v>1.833</v>
      </c>
      <c r="AD115">
        <f>VLOOKUP($A115&amp;AD$1,Data!$A$2:$D$3723,4,FALSE)</f>
        <v>0.505</v>
      </c>
      <c r="AE115">
        <f>VLOOKUP($A115&amp;AE$1,Data!$A$2:$D$3723,4,FALSE)</f>
        <v>-0.52600000000000002</v>
      </c>
      <c r="AF115">
        <f>VLOOKUP($A115&amp;AF$1,Data!$A$2:$D$3723,4,FALSE)</f>
        <v>0</v>
      </c>
      <c r="AG115">
        <f>VLOOKUP($A115&amp;AG$1,Data!$A$2:$D$3723,4,FALSE)</f>
        <v>1100000</v>
      </c>
    </row>
    <row r="116" spans="1:33" hidden="1" x14ac:dyDescent="0.35">
      <c r="A116" s="13">
        <f t="shared" si="8"/>
        <v>115</v>
      </c>
      <c r="B116" t="s">
        <v>19</v>
      </c>
      <c r="C116" t="s">
        <v>22</v>
      </c>
      <c r="D116">
        <v>100</v>
      </c>
      <c r="E116" t="s">
        <v>17</v>
      </c>
      <c r="F116" s="5">
        <v>43831</v>
      </c>
      <c r="G116" s="5">
        <v>44562</v>
      </c>
      <c r="H116">
        <v>14</v>
      </c>
      <c r="I116">
        <v>9</v>
      </c>
      <c r="J116">
        <f t="shared" si="5"/>
        <v>30</v>
      </c>
      <c r="K116">
        <f t="shared" si="6"/>
        <v>70</v>
      </c>
      <c r="L116">
        <v>1000000</v>
      </c>
      <c r="M116">
        <f>VLOOKUP($A116&amp;M$1,Data!$A$2:$D$3723,4,FALSE)</f>
        <v>0.51526000000000005</v>
      </c>
      <c r="N116">
        <f>VLOOKUP($A116&amp;N$1,Data!$A$2:$D$3723,4,FALSE)</f>
        <v>1.0429999999999999</v>
      </c>
      <c r="O116" s="7">
        <f>VLOOKUP($A116&amp;O$1,Data!$A$2:$D$3723,4,FALSE)</f>
        <v>254</v>
      </c>
      <c r="P116">
        <f>VLOOKUP($A116&amp;P$1,Data!$A$2:$D$3723,4,FALSE)</f>
        <v>2E-3</v>
      </c>
      <c r="Q116">
        <f>VLOOKUP($A116&amp;Q$1,Data!$A$2:$D$3723,4,FALSE)</f>
        <v>-1.2999999999999999E-3</v>
      </c>
      <c r="R116">
        <f>VLOOKUP($A116&amp;R$1,Data!$A$2:$D$3723,4,FALSE)</f>
        <v>1.503E-2</v>
      </c>
      <c r="S116">
        <f>VLOOKUP($A116&amp;S$1,Data!$A$2:$D$3723,4,FALSE)</f>
        <v>7.0000000000000001E-3</v>
      </c>
      <c r="T116">
        <f>VLOOKUP($A116&amp;T$1,Data!$A$2:$D$3723,4,FALSE)</f>
        <v>0.92300000000000004</v>
      </c>
      <c r="U116">
        <f>VLOOKUP($A116&amp;U$1,Data!$A$2:$D$3723,4,FALSE)</f>
        <v>9.6900000000000007E-3</v>
      </c>
      <c r="V116">
        <f>VLOOKUP($A116&amp;V$1,Data!$A$2:$D$3723,4,FALSE)</f>
        <v>0.25</v>
      </c>
      <c r="W116">
        <f>VLOOKUP($A116&amp;W$1,Data!$A$2:$D$3723,4,FALSE)</f>
        <v>0.75</v>
      </c>
      <c r="X116">
        <f>VLOOKUP($A116&amp;X$1,Data!$A$2:$D$3723,4,FALSE)</f>
        <v>1.56</v>
      </c>
      <c r="Y116">
        <f>VLOOKUP($A116&amp;Y$1,Data!$A$2:$D$3723,4,FALSE)</f>
        <v>1.2999999999999999E-2</v>
      </c>
      <c r="Z116">
        <f>VLOOKUP($A116&amp;Z$1,Data!$A$2:$D$3723,4,FALSE)</f>
        <v>-3.3000000000000002E-2</v>
      </c>
      <c r="AA116">
        <f>VLOOKUP($A116&amp;AA$1,Data!$A$2:$D$3723,4,FALSE)</f>
        <v>0.01</v>
      </c>
      <c r="AB116">
        <f>VLOOKUP($A116&amp;AB$1,Data!$A$2:$D$3723,4,FALSE)</f>
        <v>0</v>
      </c>
      <c r="AC116">
        <f>VLOOKUP($A116&amp;AC$1,Data!$A$2:$D$3723,4,FALSE)</f>
        <v>-0.76400000000000001</v>
      </c>
      <c r="AD116">
        <f>VLOOKUP($A116&amp;AD$1,Data!$A$2:$D$3723,4,FALSE)</f>
        <v>7.0000000000000007E-2</v>
      </c>
      <c r="AE116">
        <f>VLOOKUP($A116&amp;AE$1,Data!$A$2:$D$3723,4,FALSE)</f>
        <v>-0.312</v>
      </c>
      <c r="AF116">
        <f>VLOOKUP($A116&amp;AF$1,Data!$A$2:$D$3723,4,FALSE)</f>
        <v>0</v>
      </c>
      <c r="AG116">
        <f>VLOOKUP($A116&amp;AG$1,Data!$A$2:$D$3723,4,FALSE)</f>
        <v>1300000000</v>
      </c>
    </row>
    <row r="117" spans="1:33" hidden="1" x14ac:dyDescent="0.35">
      <c r="A117" s="13">
        <f t="shared" si="8"/>
        <v>116</v>
      </c>
      <c r="B117" t="s">
        <v>19</v>
      </c>
      <c r="C117" t="s">
        <v>22</v>
      </c>
      <c r="D117">
        <v>1000</v>
      </c>
      <c r="E117" t="s">
        <v>17</v>
      </c>
      <c r="F117" s="5">
        <v>43831</v>
      </c>
      <c r="G117" s="5">
        <v>44562</v>
      </c>
      <c r="H117">
        <v>14</v>
      </c>
      <c r="I117">
        <v>9</v>
      </c>
      <c r="J117">
        <f t="shared" si="5"/>
        <v>30</v>
      </c>
      <c r="K117">
        <f t="shared" si="6"/>
        <v>70</v>
      </c>
      <c r="L117">
        <v>1000000</v>
      </c>
      <c r="M117">
        <f>VLOOKUP($A117&amp;M$1,Data!$A$2:$D$3723,4,FALSE)</f>
        <v>0.52122000000000002</v>
      </c>
      <c r="N117">
        <f>VLOOKUP($A117&amp;N$1,Data!$A$2:$D$3723,4,FALSE)</f>
        <v>1.109</v>
      </c>
      <c r="O117" s="7">
        <f>VLOOKUP($A117&amp;O$1,Data!$A$2:$D$3723,4,FALSE)</f>
        <v>254</v>
      </c>
      <c r="P117">
        <f>VLOOKUP($A117&amp;P$1,Data!$A$2:$D$3723,4,FALSE)</f>
        <v>1.9699999999999999E-2</v>
      </c>
      <c r="Q117">
        <f>VLOOKUP($A117&amp;Q$1,Data!$A$2:$D$3723,4,FALSE)</f>
        <v>-1.2699999999999999E-2</v>
      </c>
      <c r="R117">
        <f>VLOOKUP($A117&amp;R$1,Data!$A$2:$D$3723,4,FALSE)</f>
        <v>0.15382999999999999</v>
      </c>
      <c r="S117">
        <f>VLOOKUP($A117&amp;S$1,Data!$A$2:$D$3723,4,FALSE)</f>
        <v>6.4000000000000001E-2</v>
      </c>
      <c r="T117">
        <f>VLOOKUP($A117&amp;T$1,Data!$A$2:$D$3723,4,FALSE)</f>
        <v>0.91300000000000003</v>
      </c>
      <c r="U117">
        <f>VLOOKUP($A117&amp;U$1,Data!$A$2:$D$3723,4,FALSE)</f>
        <v>9.6909999999999996E-2</v>
      </c>
      <c r="V117">
        <f>VLOOKUP($A117&amp;V$1,Data!$A$2:$D$3723,4,FALSE)</f>
        <v>0.25</v>
      </c>
      <c r="W117">
        <f>VLOOKUP($A117&amp;W$1,Data!$A$2:$D$3723,4,FALSE)</f>
        <v>0.75</v>
      </c>
      <c r="X117">
        <f>VLOOKUP($A117&amp;X$1,Data!$A$2:$D$3723,4,FALSE)</f>
        <v>1.55</v>
      </c>
      <c r="Y117">
        <f>VLOOKUP($A117&amp;Y$1,Data!$A$2:$D$3723,4,FALSE)</f>
        <v>0.13100000000000001</v>
      </c>
      <c r="Z117">
        <f>VLOOKUP($A117&amp;Z$1,Data!$A$2:$D$3723,4,FALSE)</f>
        <v>-0.33</v>
      </c>
      <c r="AA117">
        <f>VLOOKUP($A117&amp;AA$1,Data!$A$2:$D$3723,4,FALSE)</f>
        <v>9.9000000000000005E-2</v>
      </c>
      <c r="AB117">
        <f>VLOOKUP($A117&amp;AB$1,Data!$A$2:$D$3723,4,FALSE)</f>
        <v>0.01</v>
      </c>
      <c r="AC117">
        <f>VLOOKUP($A117&amp;AC$1,Data!$A$2:$D$3723,4,FALSE)</f>
        <v>0.35099999999999998</v>
      </c>
      <c r="AD117">
        <f>VLOOKUP($A117&amp;AD$1,Data!$A$2:$D$3723,4,FALSE)</f>
        <v>0.13100000000000001</v>
      </c>
      <c r="AE117">
        <f>VLOOKUP($A117&amp;AE$1,Data!$A$2:$D$3723,4,FALSE)</f>
        <v>-0.33300000000000002</v>
      </c>
      <c r="AF117">
        <f>VLOOKUP($A117&amp;AF$1,Data!$A$2:$D$3723,4,FALSE)</f>
        <v>0</v>
      </c>
      <c r="AG117">
        <f>VLOOKUP($A117&amp;AG$1,Data!$A$2:$D$3723,4,FALSE)</f>
        <v>140000000</v>
      </c>
    </row>
    <row r="118" spans="1:33" hidden="1" x14ac:dyDescent="0.35">
      <c r="A118" s="13">
        <f t="shared" si="8"/>
        <v>117</v>
      </c>
      <c r="B118" t="s">
        <v>19</v>
      </c>
      <c r="C118" t="s">
        <v>22</v>
      </c>
      <c r="D118">
        <v>5000</v>
      </c>
      <c r="E118" t="s">
        <v>17</v>
      </c>
      <c r="F118" s="5">
        <v>43831</v>
      </c>
      <c r="G118" s="5">
        <v>44562</v>
      </c>
      <c r="H118">
        <v>14</v>
      </c>
      <c r="I118">
        <v>9</v>
      </c>
      <c r="J118">
        <f t="shared" si="5"/>
        <v>30</v>
      </c>
      <c r="K118">
        <f t="shared" si="6"/>
        <v>70</v>
      </c>
      <c r="L118">
        <v>1000000</v>
      </c>
      <c r="M118">
        <f>VLOOKUP($A118&amp;M$1,Data!$A$2:$D$3723,4,FALSE)</f>
        <v>0.54954999999999998</v>
      </c>
      <c r="N118">
        <f>VLOOKUP($A118&amp;N$1,Data!$A$2:$D$3723,4,FALSE)</f>
        <v>1.4750000000000001</v>
      </c>
      <c r="O118" s="7">
        <f>VLOOKUP($A118&amp;O$1,Data!$A$2:$D$3723,4,FALSE)</f>
        <v>254</v>
      </c>
      <c r="P118">
        <f>VLOOKUP($A118&amp;P$1,Data!$A$2:$D$3723,4,FALSE)</f>
        <v>9.8900000000000002E-2</v>
      </c>
      <c r="Q118">
        <f>VLOOKUP($A118&amp;Q$1,Data!$A$2:$D$3723,4,FALSE)</f>
        <v>-6.5100000000000005E-2</v>
      </c>
      <c r="R118">
        <f>VLOOKUP($A118&amp;R$1,Data!$A$2:$D$3723,4,FALSE)</f>
        <v>0.84267000000000003</v>
      </c>
      <c r="S118">
        <f>VLOOKUP($A118&amp;S$1,Data!$A$2:$D$3723,4,FALSE)</f>
        <v>0.23599999999999999</v>
      </c>
      <c r="T118">
        <f>VLOOKUP($A118&amp;T$1,Data!$A$2:$D$3723,4,FALSE)</f>
        <v>0.88900000000000001</v>
      </c>
      <c r="U118">
        <f>VLOOKUP($A118&amp;U$1,Data!$A$2:$D$3723,4,FALSE)</f>
        <v>0.48457</v>
      </c>
      <c r="V118">
        <f>VLOOKUP($A118&amp;V$1,Data!$A$2:$D$3723,4,FALSE)</f>
        <v>0.25</v>
      </c>
      <c r="W118">
        <f>VLOOKUP($A118&amp;W$1,Data!$A$2:$D$3723,4,FALSE)</f>
        <v>0.75</v>
      </c>
      <c r="X118">
        <f>VLOOKUP($A118&amp;X$1,Data!$A$2:$D$3723,4,FALSE)</f>
        <v>1.52</v>
      </c>
      <c r="Y118">
        <f>VLOOKUP($A118&amp;Y$1,Data!$A$2:$D$3723,4,FALSE)</f>
        <v>0.80100000000000005</v>
      </c>
      <c r="Z118">
        <f>VLOOKUP($A118&amp;Z$1,Data!$A$2:$D$3723,4,FALSE)</f>
        <v>-1.571</v>
      </c>
      <c r="AA118">
        <f>VLOOKUP($A118&amp;AA$1,Data!$A$2:$D$3723,4,FALSE)</f>
        <v>0.47499999999999998</v>
      </c>
      <c r="AB118">
        <f>VLOOKUP($A118&amp;AB$1,Data!$A$2:$D$3723,4,FALSE)</f>
        <v>0.22600000000000001</v>
      </c>
      <c r="AC118">
        <f>VLOOKUP($A118&amp;AC$1,Data!$A$2:$D$3723,4,FALSE)</f>
        <v>1.2889999999999999</v>
      </c>
      <c r="AD118">
        <f>VLOOKUP($A118&amp;AD$1,Data!$A$2:$D$3723,4,FALSE)</f>
        <v>0.49399999999999999</v>
      </c>
      <c r="AE118">
        <f>VLOOKUP($A118&amp;AE$1,Data!$A$2:$D$3723,4,FALSE)</f>
        <v>-0.44600000000000001</v>
      </c>
      <c r="AF118">
        <f>VLOOKUP($A118&amp;AF$1,Data!$A$2:$D$3723,4,FALSE)</f>
        <v>0</v>
      </c>
      <c r="AG118">
        <f>VLOOKUP($A118&amp;AG$1,Data!$A$2:$D$3723,4,FALSE)</f>
        <v>38000000</v>
      </c>
    </row>
    <row r="119" spans="1:33" hidden="1" x14ac:dyDescent="0.35">
      <c r="A119" s="13">
        <f t="shared" si="8"/>
        <v>118</v>
      </c>
      <c r="B119" t="s">
        <v>19</v>
      </c>
      <c r="C119" t="s">
        <v>3</v>
      </c>
      <c r="D119">
        <v>100</v>
      </c>
      <c r="E119" t="s">
        <v>17</v>
      </c>
      <c r="F119" s="5">
        <v>43831</v>
      </c>
      <c r="G119" s="5">
        <v>44562</v>
      </c>
      <c r="H119">
        <v>14</v>
      </c>
      <c r="I119">
        <v>9</v>
      </c>
      <c r="J119">
        <f t="shared" si="5"/>
        <v>32</v>
      </c>
      <c r="K119">
        <f t="shared" si="6"/>
        <v>68</v>
      </c>
      <c r="L119">
        <v>1000000</v>
      </c>
      <c r="M119">
        <f>VLOOKUP($A119&amp;M$1,Data!$A$2:$D$3723,4,FALSE)</f>
        <v>5.1599999999999997E-3</v>
      </c>
      <c r="N119">
        <f>VLOOKUP($A119&amp;N$1,Data!$A$2:$D$3723,4,FALSE)</f>
        <v>-1.4870000000000001</v>
      </c>
      <c r="O119">
        <f>VLOOKUP($A119&amp;O$1,Data!$A$2:$D$3723,4,FALSE)</f>
        <v>781</v>
      </c>
      <c r="P119">
        <f>VLOOKUP($A119&amp;P$1,Data!$A$2:$D$3723,4,FALSE)</f>
        <v>8.9999999999999998E-4</v>
      </c>
      <c r="Q119">
        <f>VLOOKUP($A119&amp;Q$1,Data!$A$2:$D$3723,4,FALSE)</f>
        <v>-1.1000000000000001E-3</v>
      </c>
      <c r="R119">
        <f>VLOOKUP($A119&amp;R$1,Data!$A$2:$D$3723,4,FALSE)</f>
        <v>-1.9720000000000001E-2</v>
      </c>
      <c r="S119">
        <f>VLOOKUP($A119&amp;S$1,Data!$A$2:$D$3723,4,FALSE)</f>
        <v>1.4999999999999999E-2</v>
      </c>
      <c r="T119">
        <f>VLOOKUP($A119&amp;T$1,Data!$A$2:$D$3723,4,FALSE)</f>
        <v>-0.44500000000000001</v>
      </c>
      <c r="U119">
        <f>VLOOKUP($A119&amp;U$1,Data!$A$2:$D$3723,4,FALSE)</f>
        <v>-1.2789999999999999E-2</v>
      </c>
      <c r="V119">
        <f>VLOOKUP($A119&amp;V$1,Data!$A$2:$D$3723,4,FALSE)</f>
        <v>0.69</v>
      </c>
      <c r="W119">
        <f>VLOOKUP($A119&amp;W$1,Data!$A$2:$D$3723,4,FALSE)</f>
        <v>0.31</v>
      </c>
      <c r="X119">
        <f>VLOOKUP($A119&amp;X$1,Data!$A$2:$D$3723,4,FALSE)</f>
        <v>0.8</v>
      </c>
      <c r="Y119">
        <f>VLOOKUP($A119&amp;Y$1,Data!$A$2:$D$3723,4,FALSE)</f>
        <v>-1.0999999999999999E-2</v>
      </c>
      <c r="Z119">
        <f>VLOOKUP($A119&amp;Z$1,Data!$A$2:$D$3723,4,FALSE)</f>
        <v>-3.7999999999999999E-2</v>
      </c>
      <c r="AA119">
        <f>VLOOKUP($A119&amp;AA$1,Data!$A$2:$D$3723,4,FALSE)</f>
        <v>8.9999999999999993E-3</v>
      </c>
      <c r="AB119">
        <f>VLOOKUP($A119&amp;AB$1,Data!$A$2:$D$3723,4,FALSE)</f>
        <v>0</v>
      </c>
      <c r="AC119">
        <f>VLOOKUP($A119&amp;AC$1,Data!$A$2:$D$3723,4,FALSE)</f>
        <v>-1.107</v>
      </c>
      <c r="AD119">
        <f>VLOOKUP($A119&amp;AD$1,Data!$A$2:$D$3723,4,FALSE)</f>
        <v>7.0000000000000007E-2</v>
      </c>
      <c r="AE119">
        <f>VLOOKUP($A119&amp;AE$1,Data!$A$2:$D$3723,4,FALSE)</f>
        <v>0.35499999999999998</v>
      </c>
      <c r="AF119">
        <f>VLOOKUP($A119&amp;AF$1,Data!$A$2:$D$3723,4,FALSE)</f>
        <v>0</v>
      </c>
      <c r="AG119">
        <f>VLOOKUP($A119&amp;AG$1,Data!$A$2:$D$3723,4,FALSE)</f>
        <v>43000000000</v>
      </c>
    </row>
    <row r="120" spans="1:33" hidden="1" x14ac:dyDescent="0.35">
      <c r="A120" s="13">
        <f t="shared" si="8"/>
        <v>119</v>
      </c>
      <c r="B120" t="s">
        <v>19</v>
      </c>
      <c r="C120" t="s">
        <v>3</v>
      </c>
      <c r="D120">
        <v>1000</v>
      </c>
      <c r="E120" t="s">
        <v>17</v>
      </c>
      <c r="F120" s="5">
        <v>43831</v>
      </c>
      <c r="G120" s="5">
        <v>44562</v>
      </c>
      <c r="H120">
        <v>14</v>
      </c>
      <c r="I120">
        <v>9</v>
      </c>
      <c r="J120">
        <f t="shared" si="5"/>
        <v>32</v>
      </c>
      <c r="K120">
        <f t="shared" si="6"/>
        <v>68</v>
      </c>
      <c r="L120">
        <v>1000000</v>
      </c>
      <c r="M120">
        <f>VLOOKUP($A120&amp;M$1,Data!$A$2:$D$3723,4,FALSE)</f>
        <v>5.5199999999999997E-3</v>
      </c>
      <c r="N120">
        <f>VLOOKUP($A120&amp;N$1,Data!$A$2:$D$3723,4,FALSE)</f>
        <v>-1.37</v>
      </c>
      <c r="O120">
        <f>VLOOKUP($A120&amp;O$1,Data!$A$2:$D$3723,4,FALSE)</f>
        <v>781</v>
      </c>
      <c r="P120">
        <f>VLOOKUP($A120&amp;P$1,Data!$A$2:$D$3723,4,FALSE)</f>
        <v>8.8999999999999999E-3</v>
      </c>
      <c r="Q120">
        <f>VLOOKUP($A120&amp;Q$1,Data!$A$2:$D$3723,4,FALSE)</f>
        <v>-1.12E-2</v>
      </c>
      <c r="R120">
        <f>VLOOKUP($A120&amp;R$1,Data!$A$2:$D$3723,4,FALSE)</f>
        <v>-0.19083</v>
      </c>
      <c r="S120">
        <f>VLOOKUP($A120&amp;S$1,Data!$A$2:$D$3723,4,FALSE)</f>
        <v>0.14699999999999999</v>
      </c>
      <c r="T120">
        <f>VLOOKUP($A120&amp;T$1,Data!$A$2:$D$3723,4,FALSE)</f>
        <v>-0.44900000000000001</v>
      </c>
      <c r="U120">
        <f>VLOOKUP($A120&amp;U$1,Data!$A$2:$D$3723,4,FALSE)</f>
        <v>-0.12792999999999999</v>
      </c>
      <c r="V120">
        <f>VLOOKUP($A120&amp;V$1,Data!$A$2:$D$3723,4,FALSE)</f>
        <v>0.69</v>
      </c>
      <c r="W120">
        <f>VLOOKUP($A120&amp;W$1,Data!$A$2:$D$3723,4,FALSE)</f>
        <v>0.31</v>
      </c>
      <c r="X120">
        <f>VLOOKUP($A120&amp;X$1,Data!$A$2:$D$3723,4,FALSE)</f>
        <v>0.79</v>
      </c>
      <c r="Y120">
        <f>VLOOKUP($A120&amp;Y$1,Data!$A$2:$D$3723,4,FALSE)</f>
        <v>-0.107</v>
      </c>
      <c r="Z120">
        <f>VLOOKUP($A120&amp;Z$1,Data!$A$2:$D$3723,4,FALSE)</f>
        <v>-0.40699999999999997</v>
      </c>
      <c r="AA120">
        <f>VLOOKUP($A120&amp;AA$1,Data!$A$2:$D$3723,4,FALSE)</f>
        <v>9.7000000000000003E-2</v>
      </c>
      <c r="AB120">
        <f>VLOOKUP($A120&amp;AB$1,Data!$A$2:$D$3723,4,FALSE)</f>
        <v>8.9999999999999993E-3</v>
      </c>
      <c r="AC120">
        <f>VLOOKUP($A120&amp;AC$1,Data!$A$2:$D$3723,4,FALSE)</f>
        <v>-1.4850000000000001</v>
      </c>
      <c r="AD120">
        <f>VLOOKUP($A120&amp;AD$1,Data!$A$2:$D$3723,4,FALSE)</f>
        <v>0.13200000000000001</v>
      </c>
      <c r="AE120">
        <f>VLOOKUP($A120&amp;AE$1,Data!$A$2:$D$3723,4,FALSE)</f>
        <v>0.32500000000000001</v>
      </c>
      <c r="AF120">
        <f>VLOOKUP($A120&amp;AF$1,Data!$A$2:$D$3723,4,FALSE)</f>
        <v>0</v>
      </c>
      <c r="AG120">
        <f>VLOOKUP($A120&amp;AG$1,Data!$A$2:$D$3723,4,FALSE)</f>
        <v>3800000000</v>
      </c>
    </row>
    <row r="121" spans="1:33" hidden="1" x14ac:dyDescent="0.35">
      <c r="A121" s="13">
        <f t="shared" si="8"/>
        <v>120</v>
      </c>
      <c r="B121" t="s">
        <v>19</v>
      </c>
      <c r="C121" t="s">
        <v>3</v>
      </c>
      <c r="D121">
        <v>5000</v>
      </c>
      <c r="E121" t="s">
        <v>17</v>
      </c>
      <c r="F121" s="5">
        <v>43831</v>
      </c>
      <c r="G121" s="5">
        <v>44562</v>
      </c>
      <c r="H121">
        <v>14</v>
      </c>
      <c r="I121">
        <v>9</v>
      </c>
      <c r="J121">
        <f t="shared" si="5"/>
        <v>32</v>
      </c>
      <c r="K121">
        <f t="shared" si="6"/>
        <v>68</v>
      </c>
      <c r="L121">
        <v>1000000</v>
      </c>
      <c r="M121">
        <f>VLOOKUP($A121&amp;M$1,Data!$A$2:$D$3723,4,FALSE)</f>
        <v>1.243E-2</v>
      </c>
      <c r="N121">
        <f>VLOOKUP($A121&amp;N$1,Data!$A$2:$D$3723,4,FALSE)</f>
        <v>-0.83599999999999997</v>
      </c>
      <c r="O121">
        <f>VLOOKUP($A121&amp;O$1,Data!$A$2:$D$3723,4,FALSE)</f>
        <v>777</v>
      </c>
      <c r="P121">
        <f>VLOOKUP($A121&amp;P$1,Data!$A$2:$D$3723,4,FALSE)</f>
        <v>0.05</v>
      </c>
      <c r="Q121">
        <f>VLOOKUP($A121&amp;Q$1,Data!$A$2:$D$3723,4,FALSE)</f>
        <v>-6.4100000000000004E-2</v>
      </c>
      <c r="R121">
        <f>VLOOKUP($A121&amp;R$1,Data!$A$2:$D$3723,4,FALSE)</f>
        <v>-0.76720999999999995</v>
      </c>
      <c r="S121">
        <f>VLOOKUP($A121&amp;S$1,Data!$A$2:$D$3723,4,FALSE)</f>
        <v>0.65100000000000002</v>
      </c>
      <c r="T121">
        <f>VLOOKUP($A121&amp;T$1,Data!$A$2:$D$3723,4,FALSE)</f>
        <v>-0.47199999999999998</v>
      </c>
      <c r="U121">
        <f>VLOOKUP($A121&amp;U$1,Data!$A$2:$D$3723,4,FALSE)</f>
        <v>-0.61026999999999998</v>
      </c>
      <c r="V121">
        <f>VLOOKUP($A121&amp;V$1,Data!$A$2:$D$3723,4,FALSE)</f>
        <v>0.7</v>
      </c>
      <c r="W121">
        <f>VLOOKUP($A121&amp;W$1,Data!$A$2:$D$3723,4,FALSE)</f>
        <v>0.3</v>
      </c>
      <c r="X121">
        <f>VLOOKUP($A121&amp;X$1,Data!$A$2:$D$3723,4,FALSE)</f>
        <v>0.78</v>
      </c>
      <c r="Y121">
        <f>VLOOKUP($A121&amp;Y$1,Data!$A$2:$D$3723,4,FALSE)</f>
        <v>-0.36599999999999999</v>
      </c>
      <c r="Z121">
        <f>VLOOKUP($A121&amp;Z$1,Data!$A$2:$D$3723,4,FALSE)</f>
        <v>-2.7879999999999998</v>
      </c>
      <c r="AA121">
        <f>VLOOKUP($A121&amp;AA$1,Data!$A$2:$D$3723,4,FALSE)</f>
        <v>0.65100000000000002</v>
      </c>
      <c r="AB121">
        <f>VLOOKUP($A121&amp;AB$1,Data!$A$2:$D$3723,4,FALSE)</f>
        <v>0.42299999999999999</v>
      </c>
      <c r="AC121">
        <f>VLOOKUP($A121&amp;AC$1,Data!$A$2:$D$3723,4,FALSE)</f>
        <v>-0.90300000000000002</v>
      </c>
      <c r="AD121">
        <f>VLOOKUP($A121&amp;AD$1,Data!$A$2:$D$3723,4,FALSE)</f>
        <v>0.67300000000000004</v>
      </c>
      <c r="AE121">
        <f>VLOOKUP($A121&amp;AE$1,Data!$A$2:$D$3723,4,FALSE)</f>
        <v>0.19500000000000001</v>
      </c>
      <c r="AF121">
        <f>VLOOKUP($A121&amp;AF$1,Data!$A$2:$D$3723,4,FALSE)</f>
        <v>0</v>
      </c>
      <c r="AG121">
        <f>VLOOKUP($A121&amp;AG$1,Data!$A$2:$D$3723,4,FALSE)</f>
        <v>370000000</v>
      </c>
    </row>
    <row r="122" spans="1:33" hidden="1" x14ac:dyDescent="0.35">
      <c r="A122" s="13">
        <f t="shared" si="8"/>
        <v>121</v>
      </c>
      <c r="B122" t="s">
        <v>19</v>
      </c>
      <c r="C122" t="s">
        <v>2</v>
      </c>
      <c r="D122">
        <v>100</v>
      </c>
      <c r="E122" t="s">
        <v>17</v>
      </c>
      <c r="F122" s="5">
        <v>43831</v>
      </c>
      <c r="G122" s="5">
        <v>44562</v>
      </c>
      <c r="H122">
        <v>14</v>
      </c>
      <c r="I122">
        <v>9</v>
      </c>
      <c r="J122">
        <f t="shared" si="5"/>
        <v>32</v>
      </c>
      <c r="K122">
        <f t="shared" si="6"/>
        <v>68</v>
      </c>
      <c r="L122">
        <v>1000000</v>
      </c>
      <c r="M122">
        <f>VLOOKUP($A122&amp;M$1,Data!$A$2:$D$3723,4,FALSE)</f>
        <v>6.8339999999999998E-2</v>
      </c>
      <c r="N122">
        <f>VLOOKUP($A122&amp;N$1,Data!$A$2:$D$3723,4,FALSE)</f>
        <v>-0.52</v>
      </c>
      <c r="O122">
        <f>VLOOKUP($A122&amp;O$1,Data!$A$2:$D$3723,4,FALSE)</f>
        <v>453</v>
      </c>
      <c r="P122">
        <f>VLOOKUP($A122&amp;P$1,Data!$A$2:$D$3723,4,FALSE)</f>
        <v>1.6999999999999999E-3</v>
      </c>
      <c r="Q122">
        <f>VLOOKUP($A122&amp;Q$1,Data!$A$2:$D$3723,4,FALSE)</f>
        <v>-1.8E-3</v>
      </c>
      <c r="R122">
        <f>VLOOKUP($A122&amp;R$1,Data!$A$2:$D$3723,4,FALSE)</f>
        <v>-9.5099999999999994E-3</v>
      </c>
      <c r="S122">
        <f>VLOOKUP($A122&amp;S$1,Data!$A$2:$D$3723,4,FALSE)</f>
        <v>1.9E-2</v>
      </c>
      <c r="T122">
        <f>VLOOKUP($A122&amp;T$1,Data!$A$2:$D$3723,4,FALSE)</f>
        <v>-0.224</v>
      </c>
      <c r="U122">
        <f>VLOOKUP($A122&amp;U$1,Data!$A$2:$D$3723,4,FALSE)</f>
        <v>-6.1599999999999997E-3</v>
      </c>
      <c r="V122">
        <f>VLOOKUP($A122&amp;V$1,Data!$A$2:$D$3723,4,FALSE)</f>
        <v>0.6</v>
      </c>
      <c r="W122">
        <f>VLOOKUP($A122&amp;W$1,Data!$A$2:$D$3723,4,FALSE)</f>
        <v>0.4</v>
      </c>
      <c r="X122">
        <f>VLOOKUP($A122&amp;X$1,Data!$A$2:$D$3723,4,FALSE)</f>
        <v>0.94</v>
      </c>
      <c r="Y122">
        <f>VLOOKUP($A122&amp;Y$1,Data!$A$2:$D$3723,4,FALSE)</f>
        <v>-3.0000000000000001E-3</v>
      </c>
      <c r="Z122">
        <f>VLOOKUP($A122&amp;Z$1,Data!$A$2:$D$3723,4,FALSE)</f>
        <v>-5.7000000000000002E-2</v>
      </c>
      <c r="AA122">
        <f>VLOOKUP($A122&amp;AA$1,Data!$A$2:$D$3723,4,FALSE)</f>
        <v>1.2999999999999999E-2</v>
      </c>
      <c r="AB122">
        <f>VLOOKUP($A122&amp;AB$1,Data!$A$2:$D$3723,4,FALSE)</f>
        <v>0</v>
      </c>
      <c r="AC122">
        <f>VLOOKUP($A122&amp;AC$1,Data!$A$2:$D$3723,4,FALSE)</f>
        <v>-0.98099999999999998</v>
      </c>
      <c r="AD122">
        <f>VLOOKUP($A122&amp;AD$1,Data!$A$2:$D$3723,4,FALSE)</f>
        <v>7.1999999999999995E-2</v>
      </c>
      <c r="AE122">
        <f>VLOOKUP($A122&amp;AE$1,Data!$A$2:$D$3723,4,FALSE)</f>
        <v>0.114</v>
      </c>
      <c r="AF122">
        <f>VLOOKUP($A122&amp;AF$1,Data!$A$2:$D$3723,4,FALSE)</f>
        <v>0</v>
      </c>
      <c r="AG122">
        <f>VLOOKUP($A122&amp;AG$1,Data!$A$2:$D$3723,4,FALSE)</f>
        <v>13000000000</v>
      </c>
    </row>
    <row r="123" spans="1:33" hidden="1" x14ac:dyDescent="0.35">
      <c r="A123" s="13">
        <f t="shared" si="8"/>
        <v>122</v>
      </c>
      <c r="B123" t="s">
        <v>19</v>
      </c>
      <c r="C123" t="s">
        <v>2</v>
      </c>
      <c r="D123">
        <v>1000</v>
      </c>
      <c r="E123" t="s">
        <v>17</v>
      </c>
      <c r="F123" s="5">
        <v>43831</v>
      </c>
      <c r="G123" s="5">
        <v>44562</v>
      </c>
      <c r="H123">
        <v>14</v>
      </c>
      <c r="I123">
        <v>9</v>
      </c>
      <c r="J123">
        <f t="shared" si="5"/>
        <v>32</v>
      </c>
      <c r="K123">
        <f t="shared" si="6"/>
        <v>68</v>
      </c>
      <c r="L123">
        <v>1000000</v>
      </c>
      <c r="M123">
        <f>VLOOKUP($A123&amp;M$1,Data!$A$2:$D$3723,4,FALSE)</f>
        <v>7.9750000000000001E-2</v>
      </c>
      <c r="N123">
        <f>VLOOKUP($A123&amp;N$1,Data!$A$2:$D$3723,4,FALSE)</f>
        <v>-0.42899999999999999</v>
      </c>
      <c r="O123">
        <f>VLOOKUP($A123&amp;O$1,Data!$A$2:$D$3723,4,FALSE)</f>
        <v>453</v>
      </c>
      <c r="P123">
        <f>VLOOKUP($A123&amp;P$1,Data!$A$2:$D$3723,4,FALSE)</f>
        <v>1.7899999999999999E-2</v>
      </c>
      <c r="Q123">
        <f>VLOOKUP($A123&amp;Q$1,Data!$A$2:$D$3723,4,FALSE)</f>
        <v>-1.84E-2</v>
      </c>
      <c r="R123">
        <f>VLOOKUP($A123&amp;R$1,Data!$A$2:$D$3723,4,FALSE)</f>
        <v>-9.3659999999999993E-2</v>
      </c>
      <c r="S123">
        <f>VLOOKUP($A123&amp;S$1,Data!$A$2:$D$3723,4,FALSE)</f>
        <v>0.188</v>
      </c>
      <c r="T123">
        <f>VLOOKUP($A123&amp;T$1,Data!$A$2:$D$3723,4,FALSE)</f>
        <v>-0.21199999999999999</v>
      </c>
      <c r="U123">
        <f>VLOOKUP($A123&amp;U$1,Data!$A$2:$D$3723,4,FALSE)</f>
        <v>-6.1589999999999999E-2</v>
      </c>
      <c r="V123">
        <f>VLOOKUP($A123&amp;V$1,Data!$A$2:$D$3723,4,FALSE)</f>
        <v>0.6</v>
      </c>
      <c r="W123">
        <f>VLOOKUP($A123&amp;W$1,Data!$A$2:$D$3723,4,FALSE)</f>
        <v>0.4</v>
      </c>
      <c r="X123">
        <f>VLOOKUP($A123&amp;X$1,Data!$A$2:$D$3723,4,FALSE)</f>
        <v>0.97</v>
      </c>
      <c r="Y123">
        <f>VLOOKUP($A123&amp;Y$1,Data!$A$2:$D$3723,4,FALSE)</f>
        <v>-1.9E-2</v>
      </c>
      <c r="Z123">
        <f>VLOOKUP($A123&amp;Z$1,Data!$A$2:$D$3723,4,FALSE)</f>
        <v>-0.61</v>
      </c>
      <c r="AA123">
        <f>VLOOKUP($A123&amp;AA$1,Data!$A$2:$D$3723,4,FALSE)</f>
        <v>0.13400000000000001</v>
      </c>
      <c r="AB123">
        <f>VLOOKUP($A123&amp;AB$1,Data!$A$2:$D$3723,4,FALSE)</f>
        <v>1.7999999999999999E-2</v>
      </c>
      <c r="AC123">
        <f>VLOOKUP($A123&amp;AC$1,Data!$A$2:$D$3723,4,FALSE)</f>
        <v>-0.72599999999999998</v>
      </c>
      <c r="AD123">
        <f>VLOOKUP($A123&amp;AD$1,Data!$A$2:$D$3723,4,FALSE)</f>
        <v>0.16700000000000001</v>
      </c>
      <c r="AE123">
        <f>VLOOKUP($A123&amp;AE$1,Data!$A$2:$D$3723,4,FALSE)</f>
        <v>9.4E-2</v>
      </c>
      <c r="AF123">
        <f>VLOOKUP($A123&amp;AF$1,Data!$A$2:$D$3723,4,FALSE)</f>
        <v>0</v>
      </c>
      <c r="AG123">
        <f>VLOOKUP($A123&amp;AG$1,Data!$A$2:$D$3723,4,FALSE)</f>
        <v>1300000000</v>
      </c>
    </row>
    <row r="124" spans="1:33" hidden="1" x14ac:dyDescent="0.35">
      <c r="A124" s="13">
        <f>A123+1</f>
        <v>123</v>
      </c>
      <c r="B124" t="s">
        <v>19</v>
      </c>
      <c r="C124" t="s">
        <v>2</v>
      </c>
      <c r="D124">
        <v>5000</v>
      </c>
      <c r="E124" t="s">
        <v>17</v>
      </c>
      <c r="F124" s="5">
        <v>43831</v>
      </c>
      <c r="G124" s="5">
        <v>44562</v>
      </c>
      <c r="H124">
        <v>14</v>
      </c>
      <c r="I124">
        <v>9</v>
      </c>
      <c r="J124">
        <f t="shared" si="5"/>
        <v>32</v>
      </c>
      <c r="K124">
        <f t="shared" si="6"/>
        <v>68</v>
      </c>
      <c r="L124">
        <v>1000000</v>
      </c>
      <c r="M124">
        <f>VLOOKUP($A124&amp;M$1,Data!$A$2:$D$3723,4,FALSE)</f>
        <v>8.7029999999999996E-2</v>
      </c>
      <c r="N124">
        <f>VLOOKUP($A124&amp;N$1,Data!$A$2:$D$3723,4,FALSE)</f>
        <v>-0.34</v>
      </c>
      <c r="O124">
        <f>VLOOKUP($A124&amp;O$1,Data!$A$2:$D$3723,4,FALSE)</f>
        <v>456</v>
      </c>
      <c r="P124">
        <f>VLOOKUP($A124&amp;P$1,Data!$A$2:$D$3723,4,FALSE)</f>
        <v>0.122</v>
      </c>
      <c r="Q124">
        <f>VLOOKUP($A124&amp;Q$1,Data!$A$2:$D$3723,4,FALSE)</f>
        <v>-7.3400000000000007E-2</v>
      </c>
      <c r="R124">
        <f>VLOOKUP($A124&amp;R$1,Data!$A$2:$D$3723,4,FALSE)</f>
        <v>-0.60485</v>
      </c>
      <c r="S124">
        <f>VLOOKUP($A124&amp;S$1,Data!$A$2:$D$3723,4,FALSE)</f>
        <v>0.72599999999999998</v>
      </c>
      <c r="T124">
        <f>VLOOKUP($A124&amp;T$1,Data!$A$2:$D$3723,4,FALSE)</f>
        <v>-0.27400000000000002</v>
      </c>
      <c r="U124">
        <f>VLOOKUP($A124&amp;U$1,Data!$A$2:$D$3723,4,FALSE)</f>
        <v>-0.45130999999999999</v>
      </c>
      <c r="V124">
        <f>VLOOKUP($A124&amp;V$1,Data!$A$2:$D$3723,4,FALSE)</f>
        <v>0.73</v>
      </c>
      <c r="W124">
        <f>VLOOKUP($A124&amp;W$1,Data!$A$2:$D$3723,4,FALSE)</f>
        <v>0.27</v>
      </c>
      <c r="X124">
        <f>VLOOKUP($A124&amp;X$1,Data!$A$2:$D$3723,4,FALSE)</f>
        <v>1.66</v>
      </c>
      <c r="Y124">
        <f>VLOOKUP($A124&amp;Y$1,Data!$A$2:$D$3723,4,FALSE)</f>
        <v>-2.3E-2</v>
      </c>
      <c r="Z124">
        <f>VLOOKUP($A124&amp;Z$1,Data!$A$2:$D$3723,4,FALSE)</f>
        <v>-3.8479999999999999</v>
      </c>
      <c r="AA124">
        <f>VLOOKUP($A124&amp;AA$1,Data!$A$2:$D$3723,4,FALSE)</f>
        <v>0.78800000000000003</v>
      </c>
      <c r="AB124">
        <f>VLOOKUP($A124&amp;AB$1,Data!$A$2:$D$3723,4,FALSE)</f>
        <v>0.621</v>
      </c>
      <c r="AC124">
        <f>VLOOKUP($A124&amp;AC$1,Data!$A$2:$D$3723,4,FALSE)</f>
        <v>-0.40899999999999997</v>
      </c>
      <c r="AD124">
        <f>VLOOKUP($A124&amp;AD$1,Data!$A$2:$D$3723,4,FALSE)</f>
        <v>0.81200000000000006</v>
      </c>
      <c r="AE124">
        <f>VLOOKUP($A124&amp;AE$1,Data!$A$2:$D$3723,4,FALSE)</f>
        <v>7.0000000000000007E-2</v>
      </c>
      <c r="AF124">
        <f>VLOOKUP($A124&amp;AF$1,Data!$A$2:$D$3723,4,FALSE)</f>
        <v>0</v>
      </c>
      <c r="AG124">
        <f>VLOOKUP($A124&amp;AG$1,Data!$A$2:$D$3723,4,FALSE)</f>
        <v>140000000</v>
      </c>
    </row>
    <row r="125" spans="1:33" hidden="1" x14ac:dyDescent="0.35">
      <c r="A125" s="13">
        <f t="shared" si="8"/>
        <v>124</v>
      </c>
      <c r="B125" t="s">
        <v>19</v>
      </c>
      <c r="C125" t="s">
        <v>22</v>
      </c>
      <c r="D125">
        <v>100</v>
      </c>
      <c r="E125" t="s">
        <v>17</v>
      </c>
      <c r="F125" s="5">
        <v>43831</v>
      </c>
      <c r="G125" s="5">
        <v>44562</v>
      </c>
      <c r="H125">
        <v>14</v>
      </c>
      <c r="I125">
        <v>9</v>
      </c>
      <c r="J125">
        <f t="shared" si="5"/>
        <v>32</v>
      </c>
      <c r="K125">
        <f t="shared" si="6"/>
        <v>68</v>
      </c>
      <c r="L125">
        <v>1000000</v>
      </c>
      <c r="M125">
        <f>VLOOKUP($A125&amp;M$1,Data!$A$2:$D$3723,4,FALSE)</f>
        <v>3.0300000000000001E-3</v>
      </c>
      <c r="N125">
        <f>VLOOKUP($A125&amp;N$1,Data!$A$2:$D$3723,4,FALSE)</f>
        <v>-1.524</v>
      </c>
      <c r="O125">
        <f>VLOOKUP($A125&amp;O$1,Data!$A$2:$D$3723,4,FALSE)</f>
        <v>330</v>
      </c>
      <c r="P125">
        <f>VLOOKUP($A125&amp;P$1,Data!$A$2:$D$3723,4,FALSE)</f>
        <v>1E-3</v>
      </c>
      <c r="Q125">
        <f>VLOOKUP($A125&amp;Q$1,Data!$A$2:$D$3723,4,FALSE)</f>
        <v>-2.2000000000000001E-3</v>
      </c>
      <c r="R125">
        <f>VLOOKUP($A125&amp;R$1,Data!$A$2:$D$3723,4,FALSE)</f>
        <v>-2.2839999999999999E-2</v>
      </c>
      <c r="S125">
        <f>VLOOKUP($A125&amp;S$1,Data!$A$2:$D$3723,4,FALSE)</f>
        <v>1.7000000000000001E-2</v>
      </c>
      <c r="T125">
        <f>VLOOKUP($A125&amp;T$1,Data!$A$2:$D$3723,4,FALSE)</f>
        <v>-0.60299999999999998</v>
      </c>
      <c r="U125">
        <f>VLOOKUP($A125&amp;U$1,Data!$A$2:$D$3723,4,FALSE)</f>
        <v>-1.4829999999999999E-2</v>
      </c>
      <c r="V125">
        <f>VLOOKUP($A125&amp;V$1,Data!$A$2:$D$3723,4,FALSE)</f>
        <v>0.73</v>
      </c>
      <c r="W125">
        <f>VLOOKUP($A125&amp;W$1,Data!$A$2:$D$3723,4,FALSE)</f>
        <v>0.27</v>
      </c>
      <c r="X125">
        <f>VLOOKUP($A125&amp;X$1,Data!$A$2:$D$3723,4,FALSE)</f>
        <v>0.46</v>
      </c>
      <c r="Y125">
        <f>VLOOKUP($A125&amp;Y$1,Data!$A$2:$D$3723,4,FALSE)</f>
        <v>-1.4E-2</v>
      </c>
      <c r="Z125">
        <f>VLOOKUP($A125&amp;Z$1,Data!$A$2:$D$3723,4,FALSE)</f>
        <v>-2.8000000000000001E-2</v>
      </c>
      <c r="AA125">
        <f>VLOOKUP($A125&amp;AA$1,Data!$A$2:$D$3723,4,FALSE)</f>
        <v>0.01</v>
      </c>
      <c r="AB125">
        <f>VLOOKUP($A125&amp;AB$1,Data!$A$2:$D$3723,4,FALSE)</f>
        <v>0</v>
      </c>
      <c r="AC125">
        <f>VLOOKUP($A125&amp;AC$1,Data!$A$2:$D$3723,4,FALSE)</f>
        <v>-1.147</v>
      </c>
      <c r="AD125">
        <f>VLOOKUP($A125&amp;AD$1,Data!$A$2:$D$3723,4,FALSE)</f>
        <v>6.9000000000000006E-2</v>
      </c>
      <c r="AE125">
        <f>VLOOKUP($A125&amp;AE$1,Data!$A$2:$D$3723,4,FALSE)</f>
        <v>0.56499999999999995</v>
      </c>
      <c r="AF125">
        <f>VLOOKUP($A125&amp;AF$1,Data!$A$2:$D$3723,4,FALSE)</f>
        <v>0</v>
      </c>
      <c r="AG125">
        <f>VLOOKUP($A125&amp;AG$1,Data!$A$2:$D$3723,4,FALSE)</f>
        <v>57000000</v>
      </c>
    </row>
    <row r="126" spans="1:33" hidden="1" x14ac:dyDescent="0.35">
      <c r="A126" s="13">
        <f t="shared" si="8"/>
        <v>125</v>
      </c>
      <c r="B126" t="s">
        <v>19</v>
      </c>
      <c r="C126" t="s">
        <v>22</v>
      </c>
      <c r="D126">
        <v>1000</v>
      </c>
      <c r="E126" t="s">
        <v>17</v>
      </c>
      <c r="F126" s="5">
        <v>43831</v>
      </c>
      <c r="G126" s="5">
        <v>44562</v>
      </c>
      <c r="H126">
        <v>14</v>
      </c>
      <c r="I126">
        <v>9</v>
      </c>
      <c r="J126">
        <f t="shared" si="5"/>
        <v>32</v>
      </c>
      <c r="K126">
        <f t="shared" si="6"/>
        <v>68</v>
      </c>
      <c r="L126">
        <v>1000000</v>
      </c>
      <c r="M126">
        <f>VLOOKUP($A126&amp;M$1,Data!$A$2:$D$3723,4,FALSE)</f>
        <v>4.1000000000000003E-3</v>
      </c>
      <c r="N126">
        <f>VLOOKUP($A126&amp;N$1,Data!$A$2:$D$3723,4,FALSE)</f>
        <v>-1.3759999999999999</v>
      </c>
      <c r="O126">
        <f>VLOOKUP($A126&amp;O$1,Data!$A$2:$D$3723,4,FALSE)</f>
        <v>330</v>
      </c>
      <c r="P126">
        <f>VLOOKUP($A126&amp;P$1,Data!$A$2:$D$3723,4,FALSE)</f>
        <v>1.12E-2</v>
      </c>
      <c r="Q126">
        <f>VLOOKUP($A126&amp;Q$1,Data!$A$2:$D$3723,4,FALSE)</f>
        <v>-2.35E-2</v>
      </c>
      <c r="R126">
        <f>VLOOKUP($A126&amp;R$1,Data!$A$2:$D$3723,4,FALSE)</f>
        <v>-0.21981000000000001</v>
      </c>
      <c r="S126">
        <f>VLOOKUP($A126&amp;S$1,Data!$A$2:$D$3723,4,FALSE)</f>
        <v>0.16600000000000001</v>
      </c>
      <c r="T126">
        <f>VLOOKUP($A126&amp;T$1,Data!$A$2:$D$3723,4,FALSE)</f>
        <v>-0.59799999999999998</v>
      </c>
      <c r="U126">
        <f>VLOOKUP($A126&amp;U$1,Data!$A$2:$D$3723,4,FALSE)</f>
        <v>-0.14824999999999999</v>
      </c>
      <c r="V126">
        <f>VLOOKUP($A126&amp;V$1,Data!$A$2:$D$3723,4,FALSE)</f>
        <v>0.73</v>
      </c>
      <c r="W126">
        <f>VLOOKUP($A126&amp;W$1,Data!$A$2:$D$3723,4,FALSE)</f>
        <v>0.27</v>
      </c>
      <c r="X126">
        <f>VLOOKUP($A126&amp;X$1,Data!$A$2:$D$3723,4,FALSE)</f>
        <v>0.47</v>
      </c>
      <c r="Y126">
        <f>VLOOKUP($A126&amp;Y$1,Data!$A$2:$D$3723,4,FALSE)</f>
        <v>-0.13300000000000001</v>
      </c>
      <c r="Z126">
        <f>VLOOKUP($A126&amp;Z$1,Data!$A$2:$D$3723,4,FALSE)</f>
        <v>-0.313</v>
      </c>
      <c r="AA126">
        <f>VLOOKUP($A126&amp;AA$1,Data!$A$2:$D$3723,4,FALSE)</f>
        <v>0.111</v>
      </c>
      <c r="AB126">
        <f>VLOOKUP($A126&amp;AB$1,Data!$A$2:$D$3723,4,FALSE)</f>
        <v>1.2E-2</v>
      </c>
      <c r="AC126">
        <f>VLOOKUP($A126&amp;AC$1,Data!$A$2:$D$3723,4,FALSE)</f>
        <v>-1.548</v>
      </c>
      <c r="AD126">
        <f>VLOOKUP($A126&amp;AD$1,Data!$A$2:$D$3723,4,FALSE)</f>
        <v>0.14000000000000001</v>
      </c>
      <c r="AE126">
        <f>VLOOKUP($A126&amp;AE$1,Data!$A$2:$D$3723,4,FALSE)</f>
        <v>0.48899999999999999</v>
      </c>
      <c r="AF126">
        <f>VLOOKUP($A126&amp;AF$1,Data!$A$2:$D$3723,4,FALSE)</f>
        <v>0</v>
      </c>
      <c r="AG126">
        <f>VLOOKUP($A126&amp;AG$1,Data!$A$2:$D$3723,4,FALSE)</f>
        <v>7900000</v>
      </c>
    </row>
    <row r="127" spans="1:33" hidden="1" x14ac:dyDescent="0.35">
      <c r="A127" s="13">
        <f t="shared" si="8"/>
        <v>126</v>
      </c>
      <c r="B127" t="s">
        <v>19</v>
      </c>
      <c r="C127" t="s">
        <v>22</v>
      </c>
      <c r="D127">
        <v>5000</v>
      </c>
      <c r="E127" t="s">
        <v>17</v>
      </c>
      <c r="F127" s="5">
        <v>43831</v>
      </c>
      <c r="G127" s="5">
        <v>44562</v>
      </c>
      <c r="H127">
        <v>14</v>
      </c>
      <c r="I127">
        <v>9</v>
      </c>
      <c r="J127">
        <f t="shared" si="5"/>
        <v>32</v>
      </c>
      <c r="K127">
        <f t="shared" si="6"/>
        <v>68</v>
      </c>
      <c r="L127">
        <v>1000000</v>
      </c>
      <c r="M127">
        <f>VLOOKUP($A127&amp;M$1,Data!$A$2:$D$3723,4,FALSE)</f>
        <v>1.6219999999999998E-2</v>
      </c>
      <c r="N127">
        <f>VLOOKUP($A127&amp;N$1,Data!$A$2:$D$3723,4,FALSE)</f>
        <v>-0.71599999999999997</v>
      </c>
      <c r="O127">
        <f>VLOOKUP($A127&amp;O$1,Data!$A$2:$D$3723,4,FALSE)</f>
        <v>327</v>
      </c>
      <c r="P127">
        <f>VLOOKUP($A127&amp;P$1,Data!$A$2:$D$3723,4,FALSE)</f>
        <v>8.2900000000000001E-2</v>
      </c>
      <c r="Q127">
        <f>VLOOKUP($A127&amp;Q$1,Data!$A$2:$D$3723,4,FALSE)</f>
        <v>-9.4500000000000001E-2</v>
      </c>
      <c r="R127">
        <f>VLOOKUP($A127&amp;R$1,Data!$A$2:$D$3723,4,FALSE)</f>
        <v>-0.88102000000000003</v>
      </c>
      <c r="S127">
        <f>VLOOKUP($A127&amp;S$1,Data!$A$2:$D$3723,4,FALSE)</f>
        <v>0.78400000000000003</v>
      </c>
      <c r="T127">
        <f>VLOOKUP($A127&amp;T$1,Data!$A$2:$D$3723,4,FALSE)</f>
        <v>-0.68700000000000006</v>
      </c>
      <c r="U127">
        <f>VLOOKUP($A127&amp;U$1,Data!$A$2:$D$3723,4,FALSE)</f>
        <v>-0.74746000000000001</v>
      </c>
      <c r="V127">
        <f>VLOOKUP($A127&amp;V$1,Data!$A$2:$D$3723,4,FALSE)</f>
        <v>0.83</v>
      </c>
      <c r="W127">
        <f>VLOOKUP($A127&amp;W$1,Data!$A$2:$D$3723,4,FALSE)</f>
        <v>0.17</v>
      </c>
      <c r="X127">
        <f>VLOOKUP($A127&amp;X$1,Data!$A$2:$D$3723,4,FALSE)</f>
        <v>0.88</v>
      </c>
      <c r="Y127">
        <f>VLOOKUP($A127&amp;Y$1,Data!$A$2:$D$3723,4,FALSE)</f>
        <v>-0.42899999999999999</v>
      </c>
      <c r="Z127">
        <f>VLOOKUP($A127&amp;Z$1,Data!$A$2:$D$3723,4,FALSE)</f>
        <v>-3.3980000000000001</v>
      </c>
      <c r="AA127">
        <f>VLOOKUP($A127&amp;AA$1,Data!$A$2:$D$3723,4,FALSE)</f>
        <v>0.90200000000000002</v>
      </c>
      <c r="AB127">
        <f>VLOOKUP($A127&amp;AB$1,Data!$A$2:$D$3723,4,FALSE)</f>
        <v>0.81399999999999995</v>
      </c>
      <c r="AC127">
        <f>VLOOKUP($A127&amp;AC$1,Data!$A$2:$D$3723,4,FALSE)</f>
        <v>-0.77</v>
      </c>
      <c r="AD127">
        <f>VLOOKUP($A127&amp;AD$1,Data!$A$2:$D$3723,4,FALSE)</f>
        <v>0.92100000000000004</v>
      </c>
      <c r="AE127">
        <f>VLOOKUP($A127&amp;AE$1,Data!$A$2:$D$3723,4,FALSE)</f>
        <v>0.19</v>
      </c>
      <c r="AF127">
        <f>VLOOKUP($A127&amp;AF$1,Data!$A$2:$D$3723,4,FALSE)</f>
        <v>0</v>
      </c>
      <c r="AG127">
        <f>VLOOKUP($A127&amp;AG$1,Data!$A$2:$D$3723,4,FALSE)</f>
        <v>3100000</v>
      </c>
    </row>
    <row r="128" spans="1:33" hidden="1" x14ac:dyDescent="0.35">
      <c r="A128" s="13">
        <f t="shared" si="8"/>
        <v>127</v>
      </c>
      <c r="B128" t="s">
        <v>19</v>
      </c>
      <c r="C128" t="s">
        <v>3</v>
      </c>
      <c r="D128">
        <v>100</v>
      </c>
      <c r="E128" t="s">
        <v>17</v>
      </c>
      <c r="F128" s="5">
        <v>43831</v>
      </c>
      <c r="G128" s="5">
        <v>44562</v>
      </c>
      <c r="H128">
        <v>14</v>
      </c>
      <c r="I128">
        <v>9</v>
      </c>
      <c r="J128">
        <f t="shared" si="5"/>
        <v>28</v>
      </c>
      <c r="K128">
        <f t="shared" si="6"/>
        <v>72</v>
      </c>
      <c r="L128">
        <v>1000000</v>
      </c>
      <c r="M128">
        <f>VLOOKUP($A128&amp;M$1,Data!$A$2:$D$3723,4,FALSE)</f>
        <v>4.1869999999999997E-2</v>
      </c>
      <c r="N128">
        <f>VLOOKUP($A128&amp;N$1,Data!$A$2:$D$3723,4,FALSE)</f>
        <v>-0.78600000000000003</v>
      </c>
      <c r="O128">
        <f>VLOOKUP($A128&amp;O$1,Data!$A$2:$D$3723,4,FALSE)</f>
        <v>467</v>
      </c>
      <c r="P128">
        <f>VLOOKUP($A128&amp;P$1,Data!$A$2:$D$3723,4,FALSE)</f>
        <v>8.9999999999999998E-4</v>
      </c>
      <c r="Q128">
        <f>VLOOKUP($A128&amp;Q$1,Data!$A$2:$D$3723,4,FALSE)</f>
        <v>-8.0000000000000004E-4</v>
      </c>
      <c r="R128">
        <f>VLOOKUP($A128&amp;R$1,Data!$A$2:$D$3723,4,FALSE)</f>
        <v>-6.0800000000000003E-3</v>
      </c>
      <c r="S128">
        <f>VLOOKUP($A128&amp;S$1,Data!$A$2:$D$3723,4,FALSE)</f>
        <v>6.0000000000000001E-3</v>
      </c>
      <c r="T128">
        <f>VLOOKUP($A128&amp;T$1,Data!$A$2:$D$3723,4,FALSE)</f>
        <v>-0.29899999999999999</v>
      </c>
      <c r="U128">
        <f>VLOOKUP($A128&amp;U$1,Data!$A$2:$D$3723,4,FALSE)</f>
        <v>-3.9300000000000003E-3</v>
      </c>
      <c r="V128">
        <f>VLOOKUP($A128&amp;V$1,Data!$A$2:$D$3723,4,FALSE)</f>
        <v>0.67</v>
      </c>
      <c r="W128">
        <f>VLOOKUP($A128&amp;W$1,Data!$A$2:$D$3723,4,FALSE)</f>
        <v>0.33</v>
      </c>
      <c r="X128">
        <f>VLOOKUP($A128&amp;X$1,Data!$A$2:$D$3723,4,FALSE)</f>
        <v>1.1000000000000001</v>
      </c>
      <c r="Y128">
        <f>VLOOKUP($A128&amp;Y$1,Data!$A$2:$D$3723,4,FALSE)</f>
        <v>-3.0000000000000001E-3</v>
      </c>
      <c r="Z128">
        <f>VLOOKUP($A128&amp;Z$1,Data!$A$2:$D$3723,4,FALSE)</f>
        <v>-2.1999999999999999E-2</v>
      </c>
      <c r="AA128">
        <f>VLOOKUP($A128&amp;AA$1,Data!$A$2:$D$3723,4,FALSE)</f>
        <v>5.0000000000000001E-3</v>
      </c>
      <c r="AB128">
        <f>VLOOKUP($A128&amp;AB$1,Data!$A$2:$D$3723,4,FALSE)</f>
        <v>0</v>
      </c>
      <c r="AC128">
        <f>VLOOKUP($A128&amp;AC$1,Data!$A$2:$D$3723,4,FALSE)</f>
        <v>-0.99299999999999999</v>
      </c>
      <c r="AD128">
        <f>VLOOKUP($A128&amp;AD$1,Data!$A$2:$D$3723,4,FALSE)</f>
        <v>6.8000000000000005E-2</v>
      </c>
      <c r="AE128">
        <f>VLOOKUP($A128&amp;AE$1,Data!$A$2:$D$3723,4,FALSE)</f>
        <v>0.19500000000000001</v>
      </c>
      <c r="AF128">
        <f>VLOOKUP($A128&amp;AF$1,Data!$A$2:$D$3723,4,FALSE)</f>
        <v>0</v>
      </c>
      <c r="AG128">
        <f>VLOOKUP($A128&amp;AG$1,Data!$A$2:$D$3723,4,FALSE)</f>
        <v>1100000000</v>
      </c>
    </row>
    <row r="129" spans="1:33" hidden="1" x14ac:dyDescent="0.35">
      <c r="A129" s="13">
        <f t="shared" si="8"/>
        <v>128</v>
      </c>
      <c r="B129" t="s">
        <v>19</v>
      </c>
      <c r="C129" t="s">
        <v>3</v>
      </c>
      <c r="D129">
        <v>1000</v>
      </c>
      <c r="E129" t="s">
        <v>17</v>
      </c>
      <c r="F129" s="5">
        <v>43831</v>
      </c>
      <c r="G129" s="5">
        <v>44562</v>
      </c>
      <c r="H129">
        <v>14</v>
      </c>
      <c r="I129">
        <v>9</v>
      </c>
      <c r="J129">
        <f t="shared" si="5"/>
        <v>28</v>
      </c>
      <c r="K129">
        <f t="shared" si="6"/>
        <v>72</v>
      </c>
      <c r="L129">
        <v>1000000</v>
      </c>
      <c r="M129">
        <f>VLOOKUP($A129&amp;M$1,Data!$A$2:$D$3723,4,FALSE)</f>
        <v>4.3709999999999999E-2</v>
      </c>
      <c r="N129">
        <f>VLOOKUP($A129&amp;N$1,Data!$A$2:$D$3723,4,FALSE)</f>
        <v>-0.753</v>
      </c>
      <c r="O129">
        <f>VLOOKUP($A129&amp;O$1,Data!$A$2:$D$3723,4,FALSE)</f>
        <v>467</v>
      </c>
      <c r="P129">
        <f>VLOOKUP($A129&amp;P$1,Data!$A$2:$D$3723,4,FALSE)</f>
        <v>9.5999999999999992E-3</v>
      </c>
      <c r="Q129">
        <f>VLOOKUP($A129&amp;Q$1,Data!$A$2:$D$3723,4,FALSE)</f>
        <v>-8.6E-3</v>
      </c>
      <c r="R129">
        <f>VLOOKUP($A129&amp;R$1,Data!$A$2:$D$3723,4,FALSE)</f>
        <v>-6.0199999999999997E-2</v>
      </c>
      <c r="S129">
        <f>VLOOKUP($A129&amp;S$1,Data!$A$2:$D$3723,4,FALSE)</f>
        <v>5.8999999999999997E-2</v>
      </c>
      <c r="T129">
        <f>VLOOKUP($A129&amp;T$1,Data!$A$2:$D$3723,4,FALSE)</f>
        <v>-0.29399999999999998</v>
      </c>
      <c r="U129">
        <f>VLOOKUP($A129&amp;U$1,Data!$A$2:$D$3723,4,FALSE)</f>
        <v>-3.934E-2</v>
      </c>
      <c r="V129">
        <f>VLOOKUP($A129&amp;V$1,Data!$A$2:$D$3723,4,FALSE)</f>
        <v>0.67</v>
      </c>
      <c r="W129">
        <f>VLOOKUP($A129&amp;W$1,Data!$A$2:$D$3723,4,FALSE)</f>
        <v>0.33</v>
      </c>
      <c r="X129">
        <f>VLOOKUP($A129&amp;X$1,Data!$A$2:$D$3723,4,FALSE)</f>
        <v>1.1200000000000001</v>
      </c>
      <c r="Y129">
        <f>VLOOKUP($A129&amp;Y$1,Data!$A$2:$D$3723,4,FALSE)</f>
        <v>-2.7E-2</v>
      </c>
      <c r="Z129">
        <f>VLOOKUP($A129&amp;Z$1,Data!$A$2:$D$3723,4,FALSE)</f>
        <v>-0.218</v>
      </c>
      <c r="AA129">
        <f>VLOOKUP($A129&amp;AA$1,Data!$A$2:$D$3723,4,FALSE)</f>
        <v>5.3999999999999999E-2</v>
      </c>
      <c r="AB129">
        <f>VLOOKUP($A129&amp;AB$1,Data!$A$2:$D$3723,4,FALSE)</f>
        <v>3.0000000000000001E-3</v>
      </c>
      <c r="AC129">
        <f>VLOOKUP($A129&amp;AC$1,Data!$A$2:$D$3723,4,FALSE)</f>
        <v>-1.0820000000000001</v>
      </c>
      <c r="AD129">
        <f>VLOOKUP($A129&amp;AD$1,Data!$A$2:$D$3723,4,FALSE)</f>
        <v>9.7000000000000003E-2</v>
      </c>
      <c r="AE129">
        <f>VLOOKUP($A129&amp;AE$1,Data!$A$2:$D$3723,4,FALSE)</f>
        <v>0.187</v>
      </c>
      <c r="AF129">
        <f>VLOOKUP($A129&amp;AF$1,Data!$A$2:$D$3723,4,FALSE)</f>
        <v>0</v>
      </c>
      <c r="AG129">
        <f>VLOOKUP($A129&amp;AG$1,Data!$A$2:$D$3723,4,FALSE)</f>
        <v>100000000</v>
      </c>
    </row>
    <row r="130" spans="1:33" hidden="1" x14ac:dyDescent="0.35">
      <c r="A130" s="13">
        <f t="shared" si="8"/>
        <v>129</v>
      </c>
      <c r="B130" t="s">
        <v>19</v>
      </c>
      <c r="C130" t="s">
        <v>3</v>
      </c>
      <c r="D130">
        <v>5000</v>
      </c>
      <c r="E130" t="s">
        <v>17</v>
      </c>
      <c r="F130" s="5">
        <v>43831</v>
      </c>
      <c r="G130" s="5">
        <v>44562</v>
      </c>
      <c r="H130">
        <v>14</v>
      </c>
      <c r="I130">
        <v>9</v>
      </c>
      <c r="J130">
        <f t="shared" ref="J130:J162" si="9">J157</f>
        <v>28</v>
      </c>
      <c r="K130">
        <f t="shared" ref="K130:K162" si="10">K157</f>
        <v>72</v>
      </c>
      <c r="L130">
        <v>1000000</v>
      </c>
      <c r="M130">
        <f>VLOOKUP($A130&amp;M$1,Data!$A$2:$D$3723,4,FALSE)</f>
        <v>5.3260000000000002E-2</v>
      </c>
      <c r="N130">
        <f>VLOOKUP($A130&amp;N$1,Data!$A$2:$D$3723,4,FALSE)</f>
        <v>-0.61799999999999999</v>
      </c>
      <c r="O130">
        <f>VLOOKUP($A130&amp;O$1,Data!$A$2:$D$3723,4,FALSE)</f>
        <v>467</v>
      </c>
      <c r="P130">
        <f>VLOOKUP($A130&amp;P$1,Data!$A$2:$D$3723,4,FALSE)</f>
        <v>5.2999999999999999E-2</v>
      </c>
      <c r="Q130">
        <f>VLOOKUP($A130&amp;Q$1,Data!$A$2:$D$3723,4,FALSE)</f>
        <v>-4.4299999999999999E-2</v>
      </c>
      <c r="R130">
        <f>VLOOKUP($A130&amp;R$1,Data!$A$2:$D$3723,4,FALSE)</f>
        <v>-0.28738000000000002</v>
      </c>
      <c r="S130">
        <f>VLOOKUP($A130&amp;S$1,Data!$A$2:$D$3723,4,FALSE)</f>
        <v>0.27700000000000002</v>
      </c>
      <c r="T130">
        <f>VLOOKUP($A130&amp;T$1,Data!$A$2:$D$3723,4,FALSE)</f>
        <v>-0.26800000000000002</v>
      </c>
      <c r="U130">
        <f>VLOOKUP($A130&amp;U$1,Data!$A$2:$D$3723,4,FALSE)</f>
        <v>-0.19670000000000001</v>
      </c>
      <c r="V130">
        <f>VLOOKUP($A130&amp;V$1,Data!$A$2:$D$3723,4,FALSE)</f>
        <v>0.67</v>
      </c>
      <c r="W130">
        <f>VLOOKUP($A130&amp;W$1,Data!$A$2:$D$3723,4,FALSE)</f>
        <v>0.33</v>
      </c>
      <c r="X130">
        <f>VLOOKUP($A130&amp;X$1,Data!$A$2:$D$3723,4,FALSE)</f>
        <v>1.2</v>
      </c>
      <c r="Y130">
        <f>VLOOKUP($A130&amp;Y$1,Data!$A$2:$D$3723,4,FALSE)</f>
        <v>-0.10299999999999999</v>
      </c>
      <c r="Z130">
        <f>VLOOKUP($A130&amp;Z$1,Data!$A$2:$D$3723,4,FALSE)</f>
        <v>-1.1559999999999999</v>
      </c>
      <c r="AA130">
        <f>VLOOKUP($A130&amp;AA$1,Data!$A$2:$D$3723,4,FALSE)</f>
        <v>0.28599999999999998</v>
      </c>
      <c r="AB130">
        <f>VLOOKUP($A130&amp;AB$1,Data!$A$2:$D$3723,4,FALSE)</f>
        <v>8.2000000000000003E-2</v>
      </c>
      <c r="AC130">
        <f>VLOOKUP($A130&amp;AC$1,Data!$A$2:$D$3723,4,FALSE)</f>
        <v>-0.77400000000000002</v>
      </c>
      <c r="AD130">
        <f>VLOOKUP($A130&amp;AD$1,Data!$A$2:$D$3723,4,FALSE)</f>
        <v>0.31</v>
      </c>
      <c r="AE130">
        <f>VLOOKUP($A130&amp;AE$1,Data!$A$2:$D$3723,4,FALSE)</f>
        <v>0.153</v>
      </c>
      <c r="AF130">
        <f>VLOOKUP($A130&amp;AF$1,Data!$A$2:$D$3723,4,FALSE)</f>
        <v>0</v>
      </c>
      <c r="AG130">
        <f>VLOOKUP($A130&amp;AG$1,Data!$A$2:$D$3723,4,FALSE)</f>
        <v>18000000</v>
      </c>
    </row>
    <row r="131" spans="1:33" hidden="1" x14ac:dyDescent="0.35">
      <c r="A131" s="13">
        <f t="shared" si="8"/>
        <v>130</v>
      </c>
      <c r="B131" t="s">
        <v>19</v>
      </c>
      <c r="C131" t="s">
        <v>2</v>
      </c>
      <c r="D131">
        <v>100</v>
      </c>
      <c r="E131" t="s">
        <v>17</v>
      </c>
      <c r="F131" s="5">
        <v>43831</v>
      </c>
      <c r="G131" s="5">
        <v>44562</v>
      </c>
      <c r="H131">
        <v>14</v>
      </c>
      <c r="I131">
        <v>9</v>
      </c>
      <c r="J131">
        <f t="shared" si="9"/>
        <v>28</v>
      </c>
      <c r="K131">
        <f t="shared" si="10"/>
        <v>72</v>
      </c>
      <c r="L131">
        <v>1000000</v>
      </c>
      <c r="M131">
        <f>VLOOKUP($A131&amp;M$1,Data!$A$2:$D$3723,4,FALSE)</f>
        <v>5.8E-4</v>
      </c>
      <c r="N131">
        <f>VLOOKUP($A131&amp;N$1,Data!$A$2:$D$3723,4,FALSE)</f>
        <v>-1.5660000000000001</v>
      </c>
      <c r="O131">
        <f>VLOOKUP($A131&amp;O$1,Data!$A$2:$D$3723,4,FALSE)</f>
        <v>278</v>
      </c>
      <c r="P131">
        <f>VLOOKUP($A131&amp;P$1,Data!$A$2:$D$3723,4,FALSE)</f>
        <v>1.8E-3</v>
      </c>
      <c r="Q131">
        <f>VLOOKUP($A131&amp;Q$1,Data!$A$2:$D$3723,4,FALSE)</f>
        <v>-2.0999999999999999E-3</v>
      </c>
      <c r="R131">
        <f>VLOOKUP($A131&amp;R$1,Data!$A$2:$D$3723,4,FALSE)</f>
        <v>-1.712E-2</v>
      </c>
      <c r="S131">
        <f>VLOOKUP($A131&amp;S$1,Data!$A$2:$D$3723,4,FALSE)</f>
        <v>1.2E-2</v>
      </c>
      <c r="T131">
        <f>VLOOKUP($A131&amp;T$1,Data!$A$2:$D$3723,4,FALSE)</f>
        <v>-0.58599999999999997</v>
      </c>
      <c r="U131">
        <f>VLOOKUP($A131&amp;U$1,Data!$A$2:$D$3723,4,FALSE)</f>
        <v>-1.11E-2</v>
      </c>
      <c r="V131">
        <f>VLOOKUP($A131&amp;V$1,Data!$A$2:$D$3723,4,FALSE)</f>
        <v>0.78</v>
      </c>
      <c r="W131">
        <f>VLOOKUP($A131&amp;W$1,Data!$A$2:$D$3723,4,FALSE)</f>
        <v>0.22</v>
      </c>
      <c r="X131">
        <f>VLOOKUP($A131&amp;X$1,Data!$A$2:$D$3723,4,FALSE)</f>
        <v>0.86</v>
      </c>
      <c r="Y131">
        <f>VLOOKUP($A131&amp;Y$1,Data!$A$2:$D$3723,4,FALSE)</f>
        <v>-0.01</v>
      </c>
      <c r="Z131">
        <f>VLOOKUP($A131&amp;Z$1,Data!$A$2:$D$3723,4,FALSE)</f>
        <v>-3.4000000000000002E-2</v>
      </c>
      <c r="AA131">
        <f>VLOOKUP($A131&amp;AA$1,Data!$A$2:$D$3723,4,FALSE)</f>
        <v>8.0000000000000002E-3</v>
      </c>
      <c r="AB131">
        <f>VLOOKUP($A131&amp;AB$1,Data!$A$2:$D$3723,4,FALSE)</f>
        <v>0</v>
      </c>
      <c r="AC131">
        <f>VLOOKUP($A131&amp;AC$1,Data!$A$2:$D$3723,4,FALSE)</f>
        <v>-1.089</v>
      </c>
      <c r="AD131">
        <f>VLOOKUP($A131&amp;AD$1,Data!$A$2:$D$3723,4,FALSE)</f>
        <v>6.9000000000000006E-2</v>
      </c>
      <c r="AE131">
        <f>VLOOKUP($A131&amp;AE$1,Data!$A$2:$D$3723,4,FALSE)</f>
        <v>0.35</v>
      </c>
      <c r="AF131">
        <f>VLOOKUP($A131&amp;AF$1,Data!$A$2:$D$3723,4,FALSE)</f>
        <v>0</v>
      </c>
      <c r="AG131">
        <f>VLOOKUP($A131&amp;AG$1,Data!$A$2:$D$3723,4,FALSE)</f>
        <v>2700000000</v>
      </c>
    </row>
    <row r="132" spans="1:33" hidden="1" x14ac:dyDescent="0.35">
      <c r="A132" s="13">
        <f t="shared" si="8"/>
        <v>131</v>
      </c>
      <c r="B132" t="s">
        <v>19</v>
      </c>
      <c r="C132" t="s">
        <v>2</v>
      </c>
      <c r="D132">
        <v>1000</v>
      </c>
      <c r="E132" t="s">
        <v>17</v>
      </c>
      <c r="F132" s="5">
        <v>43831</v>
      </c>
      <c r="G132" s="5">
        <v>44562</v>
      </c>
      <c r="H132">
        <v>14</v>
      </c>
      <c r="I132">
        <v>9</v>
      </c>
      <c r="J132">
        <f t="shared" si="9"/>
        <v>28</v>
      </c>
      <c r="K132">
        <f t="shared" si="10"/>
        <v>72</v>
      </c>
      <c r="L132">
        <v>1000000</v>
      </c>
      <c r="M132">
        <f>VLOOKUP($A132&amp;M$1,Data!$A$2:$D$3723,4,FALSE)</f>
        <v>5.9000000000000003E-4</v>
      </c>
      <c r="N132">
        <f>VLOOKUP($A132&amp;N$1,Data!$A$2:$D$3723,4,FALSE)</f>
        <v>-1.47</v>
      </c>
      <c r="O132">
        <f>VLOOKUP($A132&amp;O$1,Data!$A$2:$D$3723,4,FALSE)</f>
        <v>278</v>
      </c>
      <c r="P132">
        <f>VLOOKUP($A132&amp;P$1,Data!$A$2:$D$3723,4,FALSE)</f>
        <v>1.8499999999999999E-2</v>
      </c>
      <c r="Q132">
        <f>VLOOKUP($A132&amp;Q$1,Data!$A$2:$D$3723,4,FALSE)</f>
        <v>-2.1299999999999999E-2</v>
      </c>
      <c r="R132">
        <f>VLOOKUP($A132&amp;R$1,Data!$A$2:$D$3723,4,FALSE)</f>
        <v>-0.16638</v>
      </c>
      <c r="S132">
        <f>VLOOKUP($A132&amp;S$1,Data!$A$2:$D$3723,4,FALSE)</f>
        <v>0.11700000000000001</v>
      </c>
      <c r="T132">
        <f>VLOOKUP($A132&amp;T$1,Data!$A$2:$D$3723,4,FALSE)</f>
        <v>-0.58499999999999996</v>
      </c>
      <c r="U132">
        <f>VLOOKUP($A132&amp;U$1,Data!$A$2:$D$3723,4,FALSE)</f>
        <v>-0.11099000000000001</v>
      </c>
      <c r="V132">
        <f>VLOOKUP($A132&amp;V$1,Data!$A$2:$D$3723,4,FALSE)</f>
        <v>0.78</v>
      </c>
      <c r="W132">
        <f>VLOOKUP($A132&amp;W$1,Data!$A$2:$D$3723,4,FALSE)</f>
        <v>0.22</v>
      </c>
      <c r="X132">
        <f>VLOOKUP($A132&amp;X$1,Data!$A$2:$D$3723,4,FALSE)</f>
        <v>0.87</v>
      </c>
      <c r="Y132">
        <f>VLOOKUP($A132&amp;Y$1,Data!$A$2:$D$3723,4,FALSE)</f>
        <v>-9.2999999999999999E-2</v>
      </c>
      <c r="Z132">
        <f>VLOOKUP($A132&amp;Z$1,Data!$A$2:$D$3723,4,FALSE)</f>
        <v>-0.35299999999999998</v>
      </c>
      <c r="AA132">
        <f>VLOOKUP($A132&amp;AA$1,Data!$A$2:$D$3723,4,FALSE)</f>
        <v>7.9000000000000001E-2</v>
      </c>
      <c r="AB132">
        <f>VLOOKUP($A132&amp;AB$1,Data!$A$2:$D$3723,4,FALSE)</f>
        <v>6.0000000000000001E-3</v>
      </c>
      <c r="AC132">
        <f>VLOOKUP($A132&amp;AC$1,Data!$A$2:$D$3723,4,FALSE)</f>
        <v>-1.528</v>
      </c>
      <c r="AD132">
        <f>VLOOKUP($A132&amp;AD$1,Data!$A$2:$D$3723,4,FALSE)</f>
        <v>0.11700000000000001</v>
      </c>
      <c r="AE132">
        <f>VLOOKUP($A132&amp;AE$1,Data!$A$2:$D$3723,4,FALSE)</f>
        <v>0.32800000000000001</v>
      </c>
      <c r="AF132">
        <f>VLOOKUP($A132&amp;AF$1,Data!$A$2:$D$3723,4,FALSE)</f>
        <v>0</v>
      </c>
      <c r="AG132">
        <f>VLOOKUP($A132&amp;AG$1,Data!$A$2:$D$3723,4,FALSE)</f>
        <v>250000000</v>
      </c>
    </row>
    <row r="133" spans="1:33" hidden="1" x14ac:dyDescent="0.35">
      <c r="A133" s="13">
        <f>A132+1</f>
        <v>132</v>
      </c>
      <c r="B133" t="s">
        <v>19</v>
      </c>
      <c r="C133" t="s">
        <v>2</v>
      </c>
      <c r="D133">
        <v>5000</v>
      </c>
      <c r="E133" t="s">
        <v>17</v>
      </c>
      <c r="F133" s="5">
        <v>43831</v>
      </c>
      <c r="G133" s="5">
        <v>44562</v>
      </c>
      <c r="H133">
        <v>14</v>
      </c>
      <c r="I133">
        <v>9</v>
      </c>
      <c r="J133">
        <f t="shared" si="9"/>
        <v>28</v>
      </c>
      <c r="K133">
        <f t="shared" si="10"/>
        <v>72</v>
      </c>
      <c r="L133">
        <v>1000000</v>
      </c>
      <c r="M133">
        <f>VLOOKUP($A133&amp;M$1,Data!$A$2:$D$3723,4,FALSE)</f>
        <v>9.3999999999999997E-4</v>
      </c>
      <c r="N133">
        <f>VLOOKUP($A133&amp;N$1,Data!$A$2:$D$3723,4,FALSE)</f>
        <v>-1.08</v>
      </c>
      <c r="O133">
        <f>VLOOKUP($A133&amp;O$1,Data!$A$2:$D$3723,4,FALSE)</f>
        <v>277</v>
      </c>
      <c r="P133">
        <f>VLOOKUP($A133&amp;P$1,Data!$A$2:$D$3723,4,FALSE)</f>
        <v>0.1123</v>
      </c>
      <c r="Q133">
        <f>VLOOKUP($A133&amp;Q$1,Data!$A$2:$D$3723,4,FALSE)</f>
        <v>-0.11940000000000001</v>
      </c>
      <c r="R133">
        <f>VLOOKUP($A133&amp;R$1,Data!$A$2:$D$3723,4,FALSE)</f>
        <v>-0.68932000000000004</v>
      </c>
      <c r="S133">
        <f>VLOOKUP($A133&amp;S$1,Data!$A$2:$D$3723,4,FALSE)</f>
        <v>0.54800000000000004</v>
      </c>
      <c r="T133">
        <f>VLOOKUP($A133&amp;T$1,Data!$A$2:$D$3723,4,FALSE)</f>
        <v>-0.56899999999999995</v>
      </c>
      <c r="U133">
        <f>VLOOKUP($A133&amp;U$1,Data!$A$2:$D$3723,4,FALSE)</f>
        <v>-0.53032999999999997</v>
      </c>
      <c r="V133">
        <f>VLOOKUP($A133&amp;V$1,Data!$A$2:$D$3723,4,FALSE)</f>
        <v>0.78</v>
      </c>
      <c r="W133">
        <f>VLOOKUP($A133&amp;W$1,Data!$A$2:$D$3723,4,FALSE)</f>
        <v>0.22</v>
      </c>
      <c r="X133">
        <f>VLOOKUP($A133&amp;X$1,Data!$A$2:$D$3723,4,FALSE)</f>
        <v>0.94</v>
      </c>
      <c r="Y133">
        <f>VLOOKUP($A133&amp;Y$1,Data!$A$2:$D$3723,4,FALSE)</f>
        <v>-0.36299999999999999</v>
      </c>
      <c r="Z133">
        <f>VLOOKUP($A133&amp;Z$1,Data!$A$2:$D$3723,4,FALSE)</f>
        <v>-2.1120000000000001</v>
      </c>
      <c r="AA133">
        <f>VLOOKUP($A133&amp;AA$1,Data!$A$2:$D$3723,4,FALSE)</f>
        <v>0.46100000000000002</v>
      </c>
      <c r="AB133">
        <f>VLOOKUP($A133&amp;AB$1,Data!$A$2:$D$3723,4,FALSE)</f>
        <v>0.21199999999999999</v>
      </c>
      <c r="AC133">
        <f>VLOOKUP($A133&amp;AC$1,Data!$A$2:$D$3723,4,FALSE)</f>
        <v>-1.157</v>
      </c>
      <c r="AD133">
        <f>VLOOKUP($A133&amp;AD$1,Data!$A$2:$D$3723,4,FALSE)</f>
        <v>0.48499999999999999</v>
      </c>
      <c r="AE133">
        <f>VLOOKUP($A133&amp;AE$1,Data!$A$2:$D$3723,4,FALSE)</f>
        <v>0.23599999999999999</v>
      </c>
      <c r="AF133">
        <f>VLOOKUP($A133&amp;AF$1,Data!$A$2:$D$3723,4,FALSE)</f>
        <v>0</v>
      </c>
      <c r="AG133">
        <f>VLOOKUP($A133&amp;AG$1,Data!$A$2:$D$3723,4,FALSE)</f>
        <v>28000000</v>
      </c>
    </row>
    <row r="134" spans="1:33" hidden="1" x14ac:dyDescent="0.35">
      <c r="A134" s="13">
        <f t="shared" si="8"/>
        <v>133</v>
      </c>
      <c r="B134" t="s">
        <v>19</v>
      </c>
      <c r="C134" t="s">
        <v>22</v>
      </c>
      <c r="D134">
        <v>100</v>
      </c>
      <c r="E134" t="s">
        <v>17</v>
      </c>
      <c r="F134" s="5">
        <v>43831</v>
      </c>
      <c r="G134" s="5">
        <v>44562</v>
      </c>
      <c r="H134">
        <v>14</v>
      </c>
      <c r="I134">
        <v>9</v>
      </c>
      <c r="J134">
        <f t="shared" si="9"/>
        <v>28</v>
      </c>
      <c r="K134">
        <f t="shared" si="10"/>
        <v>72</v>
      </c>
      <c r="L134">
        <v>1000000</v>
      </c>
      <c r="M134">
        <f>VLOOKUP($A134&amp;M$1,Data!$A$2:$D$3723,4,FALSE)</f>
        <v>0.44779999999999998</v>
      </c>
      <c r="N134">
        <f>VLOOKUP($A134&amp;N$1,Data!$A$2:$D$3723,4,FALSE)</f>
        <v>0.89100000000000001</v>
      </c>
      <c r="O134">
        <f>VLOOKUP($A134&amp;O$1,Data!$A$2:$D$3723,4,FALSE)</f>
        <v>194</v>
      </c>
      <c r="P134">
        <f>VLOOKUP($A134&amp;P$1,Data!$A$2:$D$3723,4,FALSE)</f>
        <v>3.7000000000000002E-3</v>
      </c>
      <c r="Q134">
        <f>VLOOKUP($A134&amp;Q$1,Data!$A$2:$D$3723,4,FALSE)</f>
        <v>-1.6000000000000001E-3</v>
      </c>
      <c r="R134">
        <f>VLOOKUP($A134&amp;R$1,Data!$A$2:$D$3723,4,FALSE)</f>
        <v>9.9699999999999997E-3</v>
      </c>
      <c r="S134">
        <f>VLOOKUP($A134&amp;S$1,Data!$A$2:$D$3723,4,FALSE)</f>
        <v>6.0000000000000001E-3</v>
      </c>
      <c r="T134">
        <f>VLOOKUP($A134&amp;T$1,Data!$A$2:$D$3723,4,FALSE)</f>
        <v>0.66700000000000004</v>
      </c>
      <c r="U134">
        <f>VLOOKUP($A134&amp;U$1,Data!$A$2:$D$3723,4,FALSE)</f>
        <v>6.43E-3</v>
      </c>
      <c r="V134">
        <f>VLOOKUP($A134&amp;V$1,Data!$A$2:$D$3723,4,FALSE)</f>
        <v>0.5</v>
      </c>
      <c r="W134">
        <f>VLOOKUP($A134&amp;W$1,Data!$A$2:$D$3723,4,FALSE)</f>
        <v>0.5</v>
      </c>
      <c r="X134">
        <f>VLOOKUP($A134&amp;X$1,Data!$A$2:$D$3723,4,FALSE)</f>
        <v>2.33</v>
      </c>
      <c r="Y134">
        <f>VLOOKUP($A134&amp;Y$1,Data!$A$2:$D$3723,4,FALSE)</f>
        <v>8.9999999999999993E-3</v>
      </c>
      <c r="Z134">
        <f>VLOOKUP($A134&amp;Z$1,Data!$A$2:$D$3723,4,FALSE)</f>
        <v>-2.8000000000000001E-2</v>
      </c>
      <c r="AA134">
        <f>VLOOKUP($A134&amp;AA$1,Data!$A$2:$D$3723,4,FALSE)</f>
        <v>8.0000000000000002E-3</v>
      </c>
      <c r="AB134">
        <f>VLOOKUP($A134&amp;AB$1,Data!$A$2:$D$3723,4,FALSE)</f>
        <v>0</v>
      </c>
      <c r="AC134">
        <f>VLOOKUP($A134&amp;AC$1,Data!$A$2:$D$3723,4,FALSE)</f>
        <v>-0.82299999999999995</v>
      </c>
      <c r="AD134">
        <f>VLOOKUP($A134&amp;AD$1,Data!$A$2:$D$3723,4,FALSE)</f>
        <v>6.9000000000000006E-2</v>
      </c>
      <c r="AE134">
        <f>VLOOKUP($A134&amp;AE$1,Data!$A$2:$D$3723,4,FALSE)</f>
        <v>-0.25</v>
      </c>
      <c r="AF134">
        <f>VLOOKUP($A134&amp;AF$1,Data!$A$2:$D$3723,4,FALSE)</f>
        <v>0</v>
      </c>
      <c r="AG134">
        <f>VLOOKUP($A134&amp;AG$1,Data!$A$2:$D$3723,4,FALSE)</f>
        <v>1100000000</v>
      </c>
    </row>
    <row r="135" spans="1:33" hidden="1" x14ac:dyDescent="0.35">
      <c r="A135" s="13">
        <f t="shared" si="8"/>
        <v>134</v>
      </c>
      <c r="B135" t="s">
        <v>19</v>
      </c>
      <c r="C135" t="s">
        <v>22</v>
      </c>
      <c r="D135">
        <v>1000</v>
      </c>
      <c r="E135" t="s">
        <v>17</v>
      </c>
      <c r="F135" s="5">
        <v>43831</v>
      </c>
      <c r="G135" s="5">
        <v>44562</v>
      </c>
      <c r="H135">
        <v>14</v>
      </c>
      <c r="I135">
        <v>9</v>
      </c>
      <c r="J135">
        <f t="shared" si="9"/>
        <v>28</v>
      </c>
      <c r="K135">
        <f t="shared" si="10"/>
        <v>72</v>
      </c>
      <c r="L135">
        <v>1000000</v>
      </c>
      <c r="M135">
        <f>VLOOKUP($A135&amp;M$1,Data!$A$2:$D$3723,4,FALSE)</f>
        <v>0.46274999999999999</v>
      </c>
      <c r="N135">
        <f>VLOOKUP($A135&amp;N$1,Data!$A$2:$D$3723,4,FALSE)</f>
        <v>0.95399999999999996</v>
      </c>
      <c r="O135">
        <f>VLOOKUP($A135&amp;O$1,Data!$A$2:$D$3723,4,FALSE)</f>
        <v>194</v>
      </c>
      <c r="P135">
        <f>VLOOKUP($A135&amp;P$1,Data!$A$2:$D$3723,4,FALSE)</f>
        <v>3.5999999999999997E-2</v>
      </c>
      <c r="Q135">
        <f>VLOOKUP($A135&amp;Q$1,Data!$A$2:$D$3723,4,FALSE)</f>
        <v>-1.47E-2</v>
      </c>
      <c r="R135">
        <f>VLOOKUP($A135&amp;R$1,Data!$A$2:$D$3723,4,FALSE)</f>
        <v>0.10122</v>
      </c>
      <c r="S135">
        <f>VLOOKUP($A135&amp;S$1,Data!$A$2:$D$3723,4,FALSE)</f>
        <v>5.0999999999999997E-2</v>
      </c>
      <c r="T135">
        <f>VLOOKUP($A135&amp;T$1,Data!$A$2:$D$3723,4,FALSE)</f>
        <v>0.72599999999999998</v>
      </c>
      <c r="U135">
        <f>VLOOKUP($A135&amp;U$1,Data!$A$2:$D$3723,4,FALSE)</f>
        <v>6.4320000000000002E-2</v>
      </c>
      <c r="V135">
        <f>VLOOKUP($A135&amp;V$1,Data!$A$2:$D$3723,4,FALSE)</f>
        <v>0.5</v>
      </c>
      <c r="W135">
        <f>VLOOKUP($A135&amp;W$1,Data!$A$2:$D$3723,4,FALSE)</f>
        <v>0.5</v>
      </c>
      <c r="X135">
        <f>VLOOKUP($A135&amp;X$1,Data!$A$2:$D$3723,4,FALSE)</f>
        <v>2.4500000000000002</v>
      </c>
      <c r="Y135">
        <f>VLOOKUP($A135&amp;Y$1,Data!$A$2:$D$3723,4,FALSE)</f>
        <v>8.8999999999999996E-2</v>
      </c>
      <c r="Z135">
        <f>VLOOKUP($A135&amp;Z$1,Data!$A$2:$D$3723,4,FALSE)</f>
        <v>-0.27</v>
      </c>
      <c r="AA135">
        <f>VLOOKUP($A135&amp;AA$1,Data!$A$2:$D$3723,4,FALSE)</f>
        <v>7.5999999999999998E-2</v>
      </c>
      <c r="AB135">
        <f>VLOOKUP($A135&amp;AB$1,Data!$A$2:$D$3723,4,FALSE)</f>
        <v>6.0000000000000001E-3</v>
      </c>
      <c r="AC135">
        <f>VLOOKUP($A135&amp;AC$1,Data!$A$2:$D$3723,4,FALSE)</f>
        <v>7.4999999999999997E-2</v>
      </c>
      <c r="AD135">
        <f>VLOOKUP($A135&amp;AD$1,Data!$A$2:$D$3723,4,FALSE)</f>
        <v>0.112</v>
      </c>
      <c r="AE135">
        <f>VLOOKUP($A135&amp;AE$1,Data!$A$2:$D$3723,4,FALSE)</f>
        <v>-0.26700000000000002</v>
      </c>
      <c r="AF135">
        <f>VLOOKUP($A135&amp;AF$1,Data!$A$2:$D$3723,4,FALSE)</f>
        <v>0</v>
      </c>
      <c r="AG135">
        <f>VLOOKUP($A135&amp;AG$1,Data!$A$2:$D$3723,4,FALSE)</f>
        <v>120000000</v>
      </c>
    </row>
    <row r="136" spans="1:33" hidden="1" x14ac:dyDescent="0.35">
      <c r="A136" s="13">
        <f t="shared" si="8"/>
        <v>135</v>
      </c>
      <c r="B136" t="s">
        <v>19</v>
      </c>
      <c r="C136" t="s">
        <v>22</v>
      </c>
      <c r="D136">
        <v>5000</v>
      </c>
      <c r="E136" t="s">
        <v>17</v>
      </c>
      <c r="F136" s="5">
        <v>43831</v>
      </c>
      <c r="G136" s="5">
        <v>44562</v>
      </c>
      <c r="H136">
        <v>14</v>
      </c>
      <c r="I136">
        <v>9</v>
      </c>
      <c r="J136">
        <f t="shared" si="9"/>
        <v>28</v>
      </c>
      <c r="K136">
        <f t="shared" si="10"/>
        <v>72</v>
      </c>
      <c r="L136">
        <v>1000000</v>
      </c>
      <c r="M136">
        <f>VLOOKUP($A136&amp;M$1,Data!$A$2:$D$3723,4,FALSE)</f>
        <v>0.51597999999999999</v>
      </c>
      <c r="N136">
        <f>VLOOKUP($A136&amp;N$1,Data!$A$2:$D$3723,4,FALSE)</f>
        <v>1.236</v>
      </c>
      <c r="O136">
        <f>VLOOKUP($A136&amp;O$1,Data!$A$2:$D$3723,4,FALSE)</f>
        <v>194</v>
      </c>
      <c r="P136">
        <f>VLOOKUP($A136&amp;P$1,Data!$A$2:$D$3723,4,FALSE)</f>
        <v>0.16889999999999999</v>
      </c>
      <c r="Q136">
        <f>VLOOKUP($A136&amp;Q$1,Data!$A$2:$D$3723,4,FALSE)</f>
        <v>-5.79E-2</v>
      </c>
      <c r="R136">
        <f>VLOOKUP($A136&amp;R$1,Data!$A$2:$D$3723,4,FALSE)</f>
        <v>0.53927000000000003</v>
      </c>
      <c r="S136">
        <f>VLOOKUP($A136&amp;S$1,Data!$A$2:$D$3723,4,FALSE)</f>
        <v>0.182</v>
      </c>
      <c r="T136">
        <f>VLOOKUP($A136&amp;T$1,Data!$A$2:$D$3723,4,FALSE)</f>
        <v>0.96</v>
      </c>
      <c r="U136">
        <f>VLOOKUP($A136&amp;U$1,Data!$A$2:$D$3723,4,FALSE)</f>
        <v>0.32157999999999998</v>
      </c>
      <c r="V136">
        <f>VLOOKUP($A136&amp;V$1,Data!$A$2:$D$3723,4,FALSE)</f>
        <v>0.5</v>
      </c>
      <c r="W136">
        <f>VLOOKUP($A136&amp;W$1,Data!$A$2:$D$3723,4,FALSE)</f>
        <v>0.5</v>
      </c>
      <c r="X136">
        <f>VLOOKUP($A136&amp;X$1,Data!$A$2:$D$3723,4,FALSE)</f>
        <v>2.92</v>
      </c>
      <c r="Y136">
        <f>VLOOKUP($A136&amp;Y$1,Data!$A$2:$D$3723,4,FALSE)</f>
        <v>0.499</v>
      </c>
      <c r="Z136">
        <f>VLOOKUP($A136&amp;Z$1,Data!$A$2:$D$3723,4,FALSE)</f>
        <v>-1.222</v>
      </c>
      <c r="AA136">
        <f>VLOOKUP($A136&amp;AA$1,Data!$A$2:$D$3723,4,FALSE)</f>
        <v>0.34100000000000003</v>
      </c>
      <c r="AB136">
        <f>VLOOKUP($A136&amp;AB$1,Data!$A$2:$D$3723,4,FALSE)</f>
        <v>0.11600000000000001</v>
      </c>
      <c r="AC136">
        <f>VLOOKUP($A136&amp;AC$1,Data!$A$2:$D$3723,4,FALSE)</f>
        <v>0.98599999999999999</v>
      </c>
      <c r="AD136">
        <f>VLOOKUP($A136&amp;AD$1,Data!$A$2:$D$3723,4,FALSE)</f>
        <v>0.36299999999999999</v>
      </c>
      <c r="AE136">
        <f>VLOOKUP($A136&amp;AE$1,Data!$A$2:$D$3723,4,FALSE)</f>
        <v>-0.34399999999999997</v>
      </c>
      <c r="AF136">
        <f>VLOOKUP($A136&amp;AF$1,Data!$A$2:$D$3723,4,FALSE)</f>
        <v>0</v>
      </c>
      <c r="AG136">
        <f>VLOOKUP($A136&amp;AG$1,Data!$A$2:$D$3723,4,FALSE)</f>
        <v>30000000</v>
      </c>
    </row>
    <row r="137" spans="1:33" hidden="1" x14ac:dyDescent="0.35">
      <c r="A137" s="13">
        <f t="shared" si="8"/>
        <v>136</v>
      </c>
      <c r="B137" t="s">
        <v>20</v>
      </c>
      <c r="C137" t="s">
        <v>3</v>
      </c>
      <c r="D137">
        <v>100</v>
      </c>
      <c r="E137" t="s">
        <v>17</v>
      </c>
      <c r="F137" s="5">
        <v>43831</v>
      </c>
      <c r="G137" s="5">
        <v>44562</v>
      </c>
      <c r="H137">
        <v>14</v>
      </c>
      <c r="I137">
        <v>9</v>
      </c>
      <c r="J137">
        <f t="shared" si="9"/>
        <v>30</v>
      </c>
      <c r="K137">
        <f t="shared" si="10"/>
        <v>70</v>
      </c>
      <c r="L137">
        <v>1000000</v>
      </c>
      <c r="M137">
        <f>VLOOKUP($A137&amp;M$1,Data!$A$2:$D$3723,4,FALSE)</f>
        <v>1.9040000000000001E-2</v>
      </c>
      <c r="N137">
        <f>VLOOKUP($A137&amp;N$1,Data!$A$2:$D$3723,4,FALSE)</f>
        <v>-1.2030000000000001</v>
      </c>
      <c r="O137">
        <f>VLOOKUP($A137&amp;O$1,Data!$A$2:$D$3723,4,FALSE)</f>
        <v>366</v>
      </c>
      <c r="P137">
        <f>VLOOKUP($A137&amp;P$1,Data!$A$2:$D$3723,4,FALSE)</f>
        <v>1.6000000000000001E-3</v>
      </c>
      <c r="Q137">
        <f>VLOOKUP($A137&amp;Q$1,Data!$A$2:$D$3723,4,FALSE)</f>
        <v>-3.8999999999999998E-3</v>
      </c>
      <c r="R137">
        <f>VLOOKUP($A137&amp;R$1,Data!$A$2:$D$3723,4,FALSE)</f>
        <v>-3.099E-2</v>
      </c>
      <c r="S137">
        <f>VLOOKUP($A137&amp;S$1,Data!$A$2:$D$3723,4,FALSE)</f>
        <v>2.5000000000000001E-2</v>
      </c>
      <c r="T137">
        <f>VLOOKUP($A137&amp;T$1,Data!$A$2:$D$3723,4,FALSE)</f>
        <v>-0.41699999999999998</v>
      </c>
      <c r="U137">
        <f>VLOOKUP($A137&amp;U$1,Data!$A$2:$D$3723,4,FALSE)</f>
        <v>-2.0140000000000002E-2</v>
      </c>
      <c r="V137">
        <f>VLOOKUP($A137&amp;V$1,Data!$A$2:$D$3723,4,FALSE)</f>
        <v>0.57999999999999996</v>
      </c>
      <c r="W137">
        <f>VLOOKUP($A137&amp;W$1,Data!$A$2:$D$3723,4,FALSE)</f>
        <v>0.42</v>
      </c>
      <c r="X137">
        <f>VLOOKUP($A137&amp;X$1,Data!$A$2:$D$3723,4,FALSE)</f>
        <v>0.4</v>
      </c>
      <c r="Y137">
        <f>VLOOKUP($A137&amp;Y$1,Data!$A$2:$D$3723,4,FALSE)</f>
        <v>-1.2E-2</v>
      </c>
      <c r="Z137">
        <f>VLOOKUP($A137&amp;Z$1,Data!$A$2:$D$3723,4,FALSE)</f>
        <v>-0.14399999999999999</v>
      </c>
      <c r="AA137">
        <f>VLOOKUP($A137&amp;AA$1,Data!$A$2:$D$3723,4,FALSE)</f>
        <v>1.7999999999999999E-2</v>
      </c>
      <c r="AB137">
        <f>VLOOKUP($A137&amp;AB$1,Data!$A$2:$D$3723,4,FALSE)</f>
        <v>0</v>
      </c>
      <c r="AC137">
        <f>VLOOKUP($A137&amp;AC$1,Data!$A$2:$D$3723,4,FALSE)</f>
        <v>-1.0940000000000001</v>
      </c>
      <c r="AD137">
        <f>VLOOKUP($A137&amp;AD$1,Data!$A$2:$D$3723,4,FALSE)</f>
        <v>7.8E-2</v>
      </c>
      <c r="AE137">
        <f>VLOOKUP($A137&amp;AE$1,Data!$A$2:$D$3723,4,FALSE)</f>
        <v>0.14899999999999999</v>
      </c>
      <c r="AF137">
        <f>VLOOKUP($A137&amp;AF$1,Data!$A$2:$D$3723,4,FALSE)</f>
        <v>0</v>
      </c>
      <c r="AG137">
        <f>VLOOKUP($A137&amp;AG$1,Data!$A$2:$D$3723,4,FALSE)</f>
        <v>4200000000</v>
      </c>
    </row>
    <row r="138" spans="1:33" hidden="1" x14ac:dyDescent="0.35">
      <c r="A138" s="13">
        <f>A137+1</f>
        <v>137</v>
      </c>
      <c r="B138" t="s">
        <v>20</v>
      </c>
      <c r="C138" t="s">
        <v>3</v>
      </c>
      <c r="D138">
        <v>1000</v>
      </c>
      <c r="E138" t="s">
        <v>17</v>
      </c>
      <c r="F138" s="5">
        <v>43831</v>
      </c>
      <c r="G138" s="5">
        <v>44562</v>
      </c>
      <c r="H138">
        <v>14</v>
      </c>
      <c r="I138">
        <v>9</v>
      </c>
      <c r="J138">
        <f t="shared" si="9"/>
        <v>30</v>
      </c>
      <c r="K138">
        <f t="shared" si="10"/>
        <v>70</v>
      </c>
      <c r="L138">
        <v>1000000</v>
      </c>
      <c r="M138">
        <f>VLOOKUP($A138&amp;M$1,Data!$A$2:$D$3723,4,FALSE)</f>
        <v>3.5409999999999997E-2</v>
      </c>
      <c r="N138">
        <f>VLOOKUP($A138&amp;N$1,Data!$A$2:$D$3723,4,FALSE)</f>
        <v>-0.47499999999999998</v>
      </c>
      <c r="O138">
        <f>VLOOKUP($A138&amp;O$1,Data!$A$2:$D$3723,4,FALSE)</f>
        <v>349</v>
      </c>
      <c r="P138">
        <f>VLOOKUP($A138&amp;P$1,Data!$A$2:$D$3723,4,FALSE)</f>
        <v>0.11799999999999999</v>
      </c>
      <c r="Q138">
        <f>VLOOKUP($A138&amp;Q$1,Data!$A$2:$D$3723,4,FALSE)</f>
        <v>-0.109</v>
      </c>
      <c r="R138">
        <f>VLOOKUP($A138&amp;R$1,Data!$A$2:$D$3723,4,FALSE)</f>
        <v>-0.98458999999999997</v>
      </c>
      <c r="S138">
        <f>VLOOKUP($A138&amp;S$1,Data!$A$2:$D$3723,4,FALSE)</f>
        <v>0.95399999999999996</v>
      </c>
      <c r="T138">
        <f>VLOOKUP($A138&amp;T$1,Data!$A$2:$D$3723,4,FALSE)</f>
        <v>-0.69199999999999995</v>
      </c>
      <c r="U138">
        <f>VLOOKUP($A138&amp;U$1,Data!$A$2:$D$3723,4,FALSE)</f>
        <v>-0.93262999999999996</v>
      </c>
      <c r="V138">
        <f>VLOOKUP($A138&amp;V$1,Data!$A$2:$D$3723,4,FALSE)</f>
        <v>0.85</v>
      </c>
      <c r="W138">
        <f>VLOOKUP($A138&amp;W$1,Data!$A$2:$D$3723,4,FALSE)</f>
        <v>0.15</v>
      </c>
      <c r="X138">
        <f>VLOOKUP($A138&amp;X$1,Data!$A$2:$D$3723,4,FALSE)</f>
        <v>1.08</v>
      </c>
      <c r="Y138">
        <f>VLOOKUP($A138&amp;Y$1,Data!$A$2:$D$3723,4,FALSE)</f>
        <v>0.13100000000000001</v>
      </c>
      <c r="Z138">
        <f>VLOOKUP($A138&amp;Z$1,Data!$A$2:$D$3723,4,FALSE)</f>
        <v>-14.295</v>
      </c>
      <c r="AA138">
        <f>VLOOKUP($A138&amp;AA$1,Data!$A$2:$D$3723,4,FALSE)</f>
        <v>1.64</v>
      </c>
      <c r="AB138">
        <f>VLOOKUP($A138&amp;AB$1,Data!$A$2:$D$3723,4,FALSE)</f>
        <v>2.69</v>
      </c>
      <c r="AC138">
        <f>VLOOKUP($A138&amp;AC$1,Data!$A$2:$D$3723,4,FALSE)</f>
        <v>-0.502</v>
      </c>
      <c r="AD138">
        <f>VLOOKUP($A138&amp;AD$1,Data!$A$2:$D$3723,4,FALSE)</f>
        <v>1.68</v>
      </c>
      <c r="AE138">
        <f>VLOOKUP($A138&amp;AE$1,Data!$A$2:$D$3723,4,FALSE)</f>
        <v>5.5E-2</v>
      </c>
      <c r="AF138">
        <f>VLOOKUP($A138&amp;AF$1,Data!$A$2:$D$3723,4,FALSE)</f>
        <v>0</v>
      </c>
      <c r="AG138">
        <f>VLOOKUP($A138&amp;AG$1,Data!$A$2:$D$3723,4,FALSE)</f>
        <v>7500000</v>
      </c>
    </row>
    <row r="139" spans="1:33" hidden="1" x14ac:dyDescent="0.35">
      <c r="A139" s="13">
        <f t="shared" si="8"/>
        <v>138</v>
      </c>
      <c r="B139" t="s">
        <v>20</v>
      </c>
      <c r="C139" t="s">
        <v>3</v>
      </c>
      <c r="D139">
        <v>5000</v>
      </c>
      <c r="E139" t="s">
        <v>17</v>
      </c>
      <c r="F139" s="5">
        <v>43831</v>
      </c>
      <c r="G139" s="5">
        <v>44562</v>
      </c>
      <c r="H139">
        <v>14</v>
      </c>
      <c r="I139">
        <v>9</v>
      </c>
      <c r="J139">
        <f t="shared" si="9"/>
        <v>30</v>
      </c>
      <c r="K139">
        <f t="shared" si="10"/>
        <v>70</v>
      </c>
      <c r="L139">
        <v>1000000</v>
      </c>
      <c r="M139">
        <f>VLOOKUP($A139&amp;M$1,Data!$A$2:$D$3723,4,FALSE)</f>
        <v>9.3880000000000005E-2</v>
      </c>
      <c r="N139">
        <f>VLOOKUP($A139&amp;N$1,Data!$A$2:$D$3723,4,FALSE)</f>
        <v>-0.36699999999999999</v>
      </c>
      <c r="O139">
        <f>VLOOKUP($A139&amp;O$1,Data!$A$2:$D$3723,4,FALSE)</f>
        <v>459</v>
      </c>
      <c r="P139">
        <f>VLOOKUP($A139&amp;P$1,Data!$A$2:$D$3723,4,FALSE)</f>
        <v>4.1099999999999998E-2</v>
      </c>
      <c r="Q139">
        <f>VLOOKUP($A139&amp;Q$1,Data!$A$2:$D$3723,4,FALSE)</f>
        <v>-7.9299999999999995E-2</v>
      </c>
      <c r="R139">
        <f>VLOOKUP($A139&amp;R$1,Data!$A$2:$D$3723,4,FALSE)</f>
        <v>-0.46013999999999999</v>
      </c>
      <c r="S139">
        <f>VLOOKUP($A139&amp;S$1,Data!$A$2:$D$3723,4,FALSE)</f>
        <v>0.59299999999999997</v>
      </c>
      <c r="T139">
        <f>VLOOKUP($A139&amp;T$1,Data!$A$2:$D$3723,4,FALSE)</f>
        <v>-0.29099999999999998</v>
      </c>
      <c r="U139">
        <f>VLOOKUP($A139&amp;U$1,Data!$A$2:$D$3723,4,FALSE)</f>
        <v>-0.32754</v>
      </c>
      <c r="V139">
        <f>VLOOKUP($A139&amp;V$1,Data!$A$2:$D$3723,4,FALSE)</f>
        <v>0.53</v>
      </c>
      <c r="W139">
        <f>VLOOKUP($A139&amp;W$1,Data!$A$2:$D$3723,4,FALSE)</f>
        <v>0.47</v>
      </c>
      <c r="X139">
        <f>VLOOKUP($A139&amp;X$1,Data!$A$2:$D$3723,4,FALSE)</f>
        <v>0.52</v>
      </c>
      <c r="Y139">
        <f>VLOOKUP($A139&amp;Y$1,Data!$A$2:$D$3723,4,FALSE)</f>
        <v>-0.36</v>
      </c>
      <c r="Z139">
        <f>VLOOKUP($A139&amp;Z$1,Data!$A$2:$D$3723,4,FALSE)</f>
        <v>2.1549999999999998</v>
      </c>
      <c r="AA139">
        <f>VLOOKUP($A139&amp;AA$1,Data!$A$2:$D$3723,4,FALSE)</f>
        <v>0.60599999999999998</v>
      </c>
      <c r="AB139">
        <f>VLOOKUP($A139&amp;AB$1,Data!$A$2:$D$3723,4,FALSE)</f>
        <v>0.36699999999999999</v>
      </c>
      <c r="AC139">
        <f>VLOOKUP($A139&amp;AC$1,Data!$A$2:$D$3723,4,FALSE)</f>
        <v>-0.48199999999999998</v>
      </c>
      <c r="AD139">
        <f>VLOOKUP($A139&amp;AD$1,Data!$A$2:$D$3723,4,FALSE)</f>
        <v>0.59299999999999997</v>
      </c>
      <c r="AE139">
        <f>VLOOKUP($A139&amp;AE$1,Data!$A$2:$D$3723,4,FALSE)</f>
        <v>-0.10299999999999999</v>
      </c>
      <c r="AF139">
        <f>VLOOKUP($A139&amp;AF$1,Data!$A$2:$D$3723,4,FALSE)</f>
        <v>0</v>
      </c>
      <c r="AG139">
        <f>VLOOKUP($A139&amp;AG$1,Data!$A$2:$D$3723,4,FALSE)</f>
        <v>19000000</v>
      </c>
    </row>
    <row r="140" spans="1:33" hidden="1" x14ac:dyDescent="0.35">
      <c r="A140" s="13">
        <f t="shared" si="8"/>
        <v>139</v>
      </c>
      <c r="B140" t="s">
        <v>20</v>
      </c>
      <c r="C140" t="s">
        <v>2</v>
      </c>
      <c r="D140">
        <v>100</v>
      </c>
      <c r="E140" t="s">
        <v>17</v>
      </c>
      <c r="F140" s="5">
        <v>43831</v>
      </c>
      <c r="G140" s="5">
        <v>44562</v>
      </c>
      <c r="H140">
        <v>14</v>
      </c>
      <c r="I140">
        <v>9</v>
      </c>
      <c r="J140">
        <f t="shared" si="9"/>
        <v>30</v>
      </c>
      <c r="K140">
        <f t="shared" si="10"/>
        <v>70</v>
      </c>
      <c r="L140">
        <v>1000000</v>
      </c>
      <c r="M140">
        <f>VLOOKUP($A140&amp;M$1,Data!$A$2:$D$3723,4,FALSE)</f>
        <v>2.9389999999999999E-2</v>
      </c>
      <c r="N140">
        <f>VLOOKUP($A140&amp;N$1,Data!$A$2:$D$3723,4,FALSE)</f>
        <v>-1.014</v>
      </c>
      <c r="O140">
        <f>VLOOKUP($A140&amp;O$1,Data!$A$2:$D$3723,4,FALSE)</f>
        <v>222</v>
      </c>
      <c r="P140">
        <f>VLOOKUP($A140&amp;P$1,Data!$A$2:$D$3723,4,FALSE)</f>
        <v>2.5000000000000001E-3</v>
      </c>
      <c r="Q140">
        <f>VLOOKUP($A140&amp;Q$1,Data!$A$2:$D$3723,4,FALSE)</f>
        <v>-3.5000000000000001E-3</v>
      </c>
      <c r="R140">
        <f>VLOOKUP($A140&amp;R$1,Data!$A$2:$D$3723,4,FALSE)</f>
        <v>-1.9630000000000002E-2</v>
      </c>
      <c r="S140">
        <f>VLOOKUP($A140&amp;S$1,Data!$A$2:$D$3723,4,FALSE)</f>
        <v>1.7999999999999999E-2</v>
      </c>
      <c r="T140">
        <f>VLOOKUP($A140&amp;T$1,Data!$A$2:$D$3723,4,FALSE)</f>
        <v>-0.50700000000000001</v>
      </c>
      <c r="U140">
        <f>VLOOKUP($A140&amp;U$1,Data!$A$2:$D$3723,4,FALSE)</f>
        <v>-1.273E-2</v>
      </c>
      <c r="V140">
        <f>VLOOKUP($A140&amp;V$1,Data!$A$2:$D$3723,4,FALSE)</f>
        <v>0.71</v>
      </c>
      <c r="W140">
        <f>VLOOKUP($A140&amp;W$1,Data!$A$2:$D$3723,4,FALSE)</f>
        <v>0.28999999999999998</v>
      </c>
      <c r="X140">
        <f>VLOOKUP($A140&amp;X$1,Data!$A$2:$D$3723,4,FALSE)</f>
        <v>0.73</v>
      </c>
      <c r="Y140">
        <f>VLOOKUP($A140&amp;Y$1,Data!$A$2:$D$3723,4,FALSE)</f>
        <v>-7.0000000000000001E-3</v>
      </c>
      <c r="Z140">
        <f>VLOOKUP($A140&amp;Z$1,Data!$A$2:$D$3723,4,FALSE)</f>
        <v>-9.7000000000000003E-2</v>
      </c>
      <c r="AA140">
        <f>VLOOKUP($A140&amp;AA$1,Data!$A$2:$D$3723,4,FALSE)</f>
        <v>1.2999999999999999E-2</v>
      </c>
      <c r="AB140">
        <f>VLOOKUP($A140&amp;AB$1,Data!$A$2:$D$3723,4,FALSE)</f>
        <v>0</v>
      </c>
      <c r="AC140">
        <f>VLOOKUP($A140&amp;AC$1,Data!$A$2:$D$3723,4,FALSE)</f>
        <v>-1.042</v>
      </c>
      <c r="AD140">
        <f>VLOOKUP($A140&amp;AD$1,Data!$A$2:$D$3723,4,FALSE)</f>
        <v>7.3999999999999996E-2</v>
      </c>
      <c r="AE140">
        <f>VLOOKUP($A140&amp;AE$1,Data!$A$2:$D$3723,4,FALSE)</f>
        <v>0.14000000000000001</v>
      </c>
      <c r="AF140">
        <f>VLOOKUP($A140&amp;AF$1,Data!$A$2:$D$3723,4,FALSE)</f>
        <v>0</v>
      </c>
      <c r="AG140">
        <f>VLOOKUP($A140&amp;AG$1,Data!$A$2:$D$3723,4,FALSE)</f>
        <v>680000000</v>
      </c>
    </row>
    <row r="141" spans="1:33" hidden="1" x14ac:dyDescent="0.35">
      <c r="A141" s="13">
        <f t="shared" si="8"/>
        <v>140</v>
      </c>
      <c r="B141" t="s">
        <v>20</v>
      </c>
      <c r="C141" t="s">
        <v>2</v>
      </c>
      <c r="D141">
        <v>1000</v>
      </c>
      <c r="E141" t="s">
        <v>17</v>
      </c>
      <c r="F141" s="5">
        <v>43831</v>
      </c>
      <c r="G141" s="5">
        <v>44562</v>
      </c>
      <c r="H141">
        <v>14</v>
      </c>
      <c r="I141">
        <v>9</v>
      </c>
      <c r="J141">
        <f t="shared" si="9"/>
        <v>30</v>
      </c>
      <c r="K141">
        <f t="shared" si="10"/>
        <v>70</v>
      </c>
      <c r="L141">
        <v>1000000</v>
      </c>
      <c r="M141">
        <f>VLOOKUP($A141&amp;M$1,Data!$A$2:$D$3723,4,FALSE)</f>
        <v>3.4819999999999997E-2</v>
      </c>
      <c r="N141">
        <f>VLOOKUP($A141&amp;N$1,Data!$A$2:$D$3723,4,FALSE)</f>
        <v>-0.873</v>
      </c>
      <c r="O141">
        <f>VLOOKUP($A141&amp;O$1,Data!$A$2:$D$3723,4,FALSE)</f>
        <v>222</v>
      </c>
      <c r="P141">
        <f>VLOOKUP($A141&amp;P$1,Data!$A$2:$D$3723,4,FALSE)</f>
        <v>2.69E-2</v>
      </c>
      <c r="Q141">
        <f>VLOOKUP($A141&amp;Q$1,Data!$A$2:$D$3723,4,FALSE)</f>
        <v>-3.49E-2</v>
      </c>
      <c r="R141">
        <f>VLOOKUP($A141&amp;R$1,Data!$A$2:$D$3723,4,FALSE)</f>
        <v>-0.18998999999999999</v>
      </c>
      <c r="S141">
        <f>VLOOKUP($A141&amp;S$1,Data!$A$2:$D$3723,4,FALSE)</f>
        <v>0.17599999999999999</v>
      </c>
      <c r="T141">
        <f>VLOOKUP($A141&amp;T$1,Data!$A$2:$D$3723,4,FALSE)</f>
        <v>-0.49399999999999999</v>
      </c>
      <c r="U141">
        <f>VLOOKUP($A141&amp;U$1,Data!$A$2:$D$3723,4,FALSE)</f>
        <v>-0.12734000000000001</v>
      </c>
      <c r="V141">
        <f>VLOOKUP($A141&amp;V$1,Data!$A$2:$D$3723,4,FALSE)</f>
        <v>0.71</v>
      </c>
      <c r="W141">
        <f>VLOOKUP($A141&amp;W$1,Data!$A$2:$D$3723,4,FALSE)</f>
        <v>0.28999999999999998</v>
      </c>
      <c r="X141">
        <f>VLOOKUP($A141&amp;X$1,Data!$A$2:$D$3723,4,FALSE)</f>
        <v>0.77</v>
      </c>
      <c r="Y141">
        <f>VLOOKUP($A141&amp;Y$1,Data!$A$2:$D$3723,4,FALSE)</f>
        <v>-0.06</v>
      </c>
      <c r="Z141">
        <f>VLOOKUP($A141&amp;Z$1,Data!$A$2:$D$3723,4,FALSE)</f>
        <v>-1.0509999999999999</v>
      </c>
      <c r="AA141">
        <f>VLOOKUP($A141&amp;AA$1,Data!$A$2:$D$3723,4,FALSE)</f>
        <v>0.14499999999999999</v>
      </c>
      <c r="AB141">
        <f>VLOOKUP($A141&amp;AB$1,Data!$A$2:$D$3723,4,FALSE)</f>
        <v>2.1000000000000001E-2</v>
      </c>
      <c r="AC141">
        <f>VLOOKUP($A141&amp;AC$1,Data!$A$2:$D$3723,4,FALSE)</f>
        <v>-1.02</v>
      </c>
      <c r="AD141">
        <f>VLOOKUP($A141&amp;AD$1,Data!$A$2:$D$3723,4,FALSE)</f>
        <v>0.187</v>
      </c>
      <c r="AE141">
        <f>VLOOKUP($A141&amp;AE$1,Data!$A$2:$D$3723,4,FALSE)</f>
        <v>0.121</v>
      </c>
      <c r="AF141">
        <f>VLOOKUP($A141&amp;AF$1,Data!$A$2:$D$3723,4,FALSE)</f>
        <v>0</v>
      </c>
      <c r="AG141">
        <f>VLOOKUP($A141&amp;AG$1,Data!$A$2:$D$3723,4,FALSE)</f>
        <v>62000000</v>
      </c>
    </row>
    <row r="142" spans="1:33" hidden="1" x14ac:dyDescent="0.35">
      <c r="A142" s="13">
        <f t="shared" si="8"/>
        <v>141</v>
      </c>
      <c r="B142" t="s">
        <v>20</v>
      </c>
      <c r="C142" t="s">
        <v>2</v>
      </c>
      <c r="D142">
        <v>5000</v>
      </c>
      <c r="E142" t="s">
        <v>17</v>
      </c>
      <c r="F142" s="5">
        <v>43831</v>
      </c>
      <c r="G142" s="5">
        <v>44562</v>
      </c>
      <c r="H142">
        <v>14</v>
      </c>
      <c r="I142">
        <v>9</v>
      </c>
      <c r="J142">
        <f t="shared" si="9"/>
        <v>30</v>
      </c>
      <c r="K142">
        <f t="shared" si="10"/>
        <v>70</v>
      </c>
      <c r="L142">
        <v>1000000</v>
      </c>
      <c r="M142">
        <f>VLOOKUP($A142&amp;M$1,Data!$A$2:$D$3723,4,FALSE)</f>
        <v>7.8109999999999999E-2</v>
      </c>
      <c r="N142">
        <f>VLOOKUP($A142&amp;N$1,Data!$A$2:$D$3723,4,FALSE)</f>
        <v>-0.36299999999999999</v>
      </c>
      <c r="O142">
        <f>VLOOKUP($A142&amp;O$1,Data!$A$2:$D$3723,4,FALSE)</f>
        <v>215</v>
      </c>
      <c r="P142">
        <f>VLOOKUP($A142&amp;P$1,Data!$A$2:$D$3723,4,FALSE)</f>
        <v>0.13170000000000001</v>
      </c>
      <c r="Q142">
        <f>VLOOKUP($A142&amp;Q$1,Data!$A$2:$D$3723,4,FALSE)</f>
        <v>-0.1108</v>
      </c>
      <c r="R142">
        <f>VLOOKUP($A142&amp;R$1,Data!$A$2:$D$3723,4,FALSE)</f>
        <v>-0.87075999999999998</v>
      </c>
      <c r="S142">
        <f>VLOOKUP($A142&amp;S$1,Data!$A$2:$D$3723,4,FALSE)</f>
        <v>0.83699999999999997</v>
      </c>
      <c r="T142">
        <f>VLOOKUP($A142&amp;T$1,Data!$A$2:$D$3723,4,FALSE)</f>
        <v>-0.66300000000000003</v>
      </c>
      <c r="U142">
        <f>VLOOKUP($A142&amp;U$1,Data!$A$2:$D$3723,4,FALSE)</f>
        <v>-0.73358000000000001</v>
      </c>
      <c r="V142">
        <f>VLOOKUP($A142&amp;V$1,Data!$A$2:$D$3723,4,FALSE)</f>
        <v>0.85</v>
      </c>
      <c r="W142">
        <f>VLOOKUP($A142&amp;W$1,Data!$A$2:$D$3723,4,FALSE)</f>
        <v>0.15</v>
      </c>
      <c r="X142">
        <f>VLOOKUP($A142&amp;X$1,Data!$A$2:$D$3723,4,FALSE)</f>
        <v>1.19</v>
      </c>
      <c r="Y142">
        <f>VLOOKUP($A142&amp;Y$1,Data!$A$2:$D$3723,4,FALSE)</f>
        <v>0.15</v>
      </c>
      <c r="Z142">
        <f>VLOOKUP($A142&amp;Z$1,Data!$A$2:$D$3723,4,FALSE)</f>
        <v>-9.5239999999999991</v>
      </c>
      <c r="AA142">
        <f>VLOOKUP($A142&amp;AA$1,Data!$A$2:$D$3723,4,FALSE)</f>
        <v>1.258</v>
      </c>
      <c r="AB142">
        <f>VLOOKUP($A142&amp;AB$1,Data!$A$2:$D$3723,4,FALSE)</f>
        <v>1.5820000000000001</v>
      </c>
      <c r="AC142">
        <f>VLOOKUP($A142&amp;AC$1,Data!$A$2:$D$3723,4,FALSE)</f>
        <v>-0.40200000000000002</v>
      </c>
      <c r="AD142">
        <f>VLOOKUP($A142&amp;AD$1,Data!$A$2:$D$3723,4,FALSE)</f>
        <v>1.2929999999999999</v>
      </c>
      <c r="AE142">
        <f>VLOOKUP($A142&amp;AE$1,Data!$A$2:$D$3723,4,FALSE)</f>
        <v>4.8000000000000001E-2</v>
      </c>
      <c r="AF142">
        <f>VLOOKUP($A142&amp;AF$1,Data!$A$2:$D$3723,4,FALSE)</f>
        <v>0</v>
      </c>
      <c r="AG142">
        <f>VLOOKUP($A142&amp;AG$1,Data!$A$2:$D$3723,4,FALSE)</f>
        <v>4800000</v>
      </c>
    </row>
    <row r="143" spans="1:33" hidden="1" x14ac:dyDescent="0.35">
      <c r="A143" s="13">
        <f t="shared" si="8"/>
        <v>142</v>
      </c>
      <c r="B143" t="s">
        <v>20</v>
      </c>
      <c r="C143" t="s">
        <v>22</v>
      </c>
      <c r="D143">
        <v>100</v>
      </c>
      <c r="E143" t="s">
        <v>17</v>
      </c>
      <c r="F143" s="5">
        <v>43831</v>
      </c>
      <c r="G143" s="5">
        <v>44562</v>
      </c>
      <c r="H143">
        <v>14</v>
      </c>
      <c r="I143">
        <v>9</v>
      </c>
      <c r="J143">
        <f t="shared" si="9"/>
        <v>30</v>
      </c>
      <c r="K143">
        <f t="shared" si="10"/>
        <v>70</v>
      </c>
      <c r="L143">
        <v>1000000</v>
      </c>
      <c r="M143">
        <f>VLOOKUP($A143&amp;M$1,Data!$A$2:$D$3723,4,FALSE)</f>
        <v>8.1240000000000007E-2</v>
      </c>
      <c r="N143">
        <f>VLOOKUP($A143&amp;N$1,Data!$A$2:$D$3723,4,FALSE)</f>
        <v>-0.42</v>
      </c>
      <c r="O143">
        <f>VLOOKUP($A143&amp;O$1,Data!$A$2:$D$3723,4,FALSE)</f>
        <v>165</v>
      </c>
      <c r="P143">
        <f>VLOOKUP($A143&amp;P$1,Data!$A$2:$D$3723,4,FALSE)</f>
        <v>1.2999999999999999E-3</v>
      </c>
      <c r="Q143">
        <f>VLOOKUP($A143&amp;Q$1,Data!$A$2:$D$3723,4,FALSE)</f>
        <v>-1.9E-3</v>
      </c>
      <c r="R143">
        <f>VLOOKUP($A143&amp;R$1,Data!$A$2:$D$3723,4,FALSE)</f>
        <v>-5.4999999999999997E-3</v>
      </c>
      <c r="S143">
        <f>VLOOKUP($A143&amp;S$1,Data!$A$2:$D$3723,4,FALSE)</f>
        <v>8.0000000000000002E-3</v>
      </c>
      <c r="T143">
        <f>VLOOKUP($A143&amp;T$1,Data!$A$2:$D$3723,4,FALSE)</f>
        <v>-0.32500000000000001</v>
      </c>
      <c r="U143">
        <f>VLOOKUP($A143&amp;U$1,Data!$A$2:$D$3723,4,FALSE)</f>
        <v>-3.5599999999999998E-3</v>
      </c>
      <c r="V143">
        <f>VLOOKUP($A143&amp;V$1,Data!$A$2:$D$3723,4,FALSE)</f>
        <v>0.6</v>
      </c>
      <c r="W143">
        <f>VLOOKUP($A143&amp;W$1,Data!$A$2:$D$3723,4,FALSE)</f>
        <v>0.4</v>
      </c>
      <c r="X143">
        <f>VLOOKUP($A143&amp;X$1,Data!$A$2:$D$3723,4,FALSE)</f>
        <v>0.69</v>
      </c>
      <c r="Y143">
        <f>VLOOKUP($A143&amp;Y$1,Data!$A$2:$D$3723,4,FALSE)</f>
        <v>0</v>
      </c>
      <c r="Z143">
        <f>VLOOKUP($A143&amp;Z$1,Data!$A$2:$D$3723,4,FALSE)</f>
        <v>-5.3999999999999999E-2</v>
      </c>
      <c r="AA143">
        <f>VLOOKUP($A143&amp;AA$1,Data!$A$2:$D$3723,4,FALSE)</f>
        <v>8.9999999999999993E-3</v>
      </c>
      <c r="AB143">
        <f>VLOOKUP($A143&amp;AB$1,Data!$A$2:$D$3723,4,FALSE)</f>
        <v>0</v>
      </c>
      <c r="AC143">
        <f>VLOOKUP($A143&amp;AC$1,Data!$A$2:$D$3723,4,FALSE)</f>
        <v>-0.95299999999999996</v>
      </c>
      <c r="AD143">
        <f>VLOOKUP($A143&amp;AD$1,Data!$A$2:$D$3723,4,FALSE)</f>
        <v>7.0999999999999994E-2</v>
      </c>
      <c r="AE143">
        <f>VLOOKUP($A143&amp;AE$1,Data!$A$2:$D$3723,4,FALSE)</f>
        <v>7.0000000000000007E-2</v>
      </c>
      <c r="AF143">
        <f>VLOOKUP($A143&amp;AF$1,Data!$A$2:$D$3723,4,FALSE)</f>
        <v>0</v>
      </c>
      <c r="AG143">
        <f>VLOOKUP($A143&amp;AG$1,Data!$A$2:$D$3723,4,FALSE)</f>
        <v>270000000</v>
      </c>
    </row>
    <row r="144" spans="1:33" hidden="1" x14ac:dyDescent="0.35">
      <c r="A144" s="13">
        <f t="shared" si="8"/>
        <v>143</v>
      </c>
      <c r="B144" t="s">
        <v>20</v>
      </c>
      <c r="C144" t="s">
        <v>22</v>
      </c>
      <c r="D144">
        <v>1000</v>
      </c>
      <c r="E144" t="s">
        <v>17</v>
      </c>
      <c r="F144" s="5">
        <v>43831</v>
      </c>
      <c r="G144" s="5">
        <v>44562</v>
      </c>
      <c r="H144">
        <v>14</v>
      </c>
      <c r="I144">
        <v>9</v>
      </c>
      <c r="J144">
        <f t="shared" si="9"/>
        <v>30</v>
      </c>
      <c r="K144">
        <f t="shared" si="10"/>
        <v>70</v>
      </c>
      <c r="L144">
        <v>1000000</v>
      </c>
      <c r="M144">
        <f>VLOOKUP($A144&amp;M$1,Data!$A$2:$D$3723,4,FALSE)</f>
        <v>8.8220000000000007E-2</v>
      </c>
      <c r="N144">
        <f>VLOOKUP($A144&amp;N$1,Data!$A$2:$D$3723,4,FALSE)</f>
        <v>-0.376</v>
      </c>
      <c r="O144">
        <f>VLOOKUP($A144&amp;O$1,Data!$A$2:$D$3723,4,FALSE)</f>
        <v>165</v>
      </c>
      <c r="P144">
        <f>VLOOKUP($A144&amp;P$1,Data!$A$2:$D$3723,4,FALSE)</f>
        <v>1.3299999999999999E-2</v>
      </c>
      <c r="Q144">
        <f>VLOOKUP($A144&amp;Q$1,Data!$A$2:$D$3723,4,FALSE)</f>
        <v>-1.89E-2</v>
      </c>
      <c r="R144">
        <f>VLOOKUP($A144&amp;R$1,Data!$A$2:$D$3723,4,FALSE)</f>
        <v>-5.4539999999999998E-2</v>
      </c>
      <c r="S144">
        <f>VLOOKUP($A144&amp;S$1,Data!$A$2:$D$3723,4,FALSE)</f>
        <v>8.1000000000000003E-2</v>
      </c>
      <c r="T144">
        <f>VLOOKUP($A144&amp;T$1,Data!$A$2:$D$3723,4,FALSE)</f>
        <v>-0.318</v>
      </c>
      <c r="U144">
        <f>VLOOKUP($A144&amp;U$1,Data!$A$2:$D$3723,4,FALSE)</f>
        <v>-3.5610000000000003E-2</v>
      </c>
      <c r="V144">
        <f>VLOOKUP($A144&amp;V$1,Data!$A$2:$D$3723,4,FALSE)</f>
        <v>0.6</v>
      </c>
      <c r="W144">
        <f>VLOOKUP($A144&amp;W$1,Data!$A$2:$D$3723,4,FALSE)</f>
        <v>0.4</v>
      </c>
      <c r="X144">
        <f>VLOOKUP($A144&amp;X$1,Data!$A$2:$D$3723,4,FALSE)</f>
        <v>0.71</v>
      </c>
      <c r="Y144">
        <f>VLOOKUP($A144&amp;Y$1,Data!$A$2:$D$3723,4,FALSE)</f>
        <v>1E-3</v>
      </c>
      <c r="Z144">
        <f>VLOOKUP($A144&amp;Z$1,Data!$A$2:$D$3723,4,FALSE)</f>
        <v>-0.55500000000000005</v>
      </c>
      <c r="AA144">
        <f>VLOOKUP($A144&amp;AA$1,Data!$A$2:$D$3723,4,FALSE)</f>
        <v>9.0999999999999998E-2</v>
      </c>
      <c r="AB144">
        <f>VLOOKUP($A144&amp;AB$1,Data!$A$2:$D$3723,4,FALSE)</f>
        <v>8.0000000000000002E-3</v>
      </c>
      <c r="AC144">
        <f>VLOOKUP($A144&amp;AC$1,Data!$A$2:$D$3723,4,FALSE)</f>
        <v>-0.73599999999999999</v>
      </c>
      <c r="AD144">
        <f>VLOOKUP($A144&amp;AD$1,Data!$A$2:$D$3723,4,FALSE)</f>
        <v>0.13300000000000001</v>
      </c>
      <c r="AE144">
        <f>VLOOKUP($A144&amp;AE$1,Data!$A$2:$D$3723,4,FALSE)</f>
        <v>6.2E-2</v>
      </c>
      <c r="AF144">
        <f>VLOOKUP($A144&amp;AF$1,Data!$A$2:$D$3723,4,FALSE)</f>
        <v>0</v>
      </c>
      <c r="AG144">
        <f>VLOOKUP($A144&amp;AG$1,Data!$A$2:$D$3723,4,FALSE)</f>
        <v>28000000</v>
      </c>
    </row>
    <row r="145" spans="1:33" hidden="1" x14ac:dyDescent="0.35">
      <c r="A145" s="13">
        <f t="shared" si="8"/>
        <v>144</v>
      </c>
      <c r="B145" t="s">
        <v>20</v>
      </c>
      <c r="C145" t="s">
        <v>22</v>
      </c>
      <c r="D145">
        <v>5000</v>
      </c>
      <c r="E145" t="s">
        <v>17</v>
      </c>
      <c r="F145" s="5">
        <v>43831</v>
      </c>
      <c r="G145" s="5">
        <v>44562</v>
      </c>
      <c r="H145">
        <v>14</v>
      </c>
      <c r="I145">
        <v>9</v>
      </c>
      <c r="J145">
        <f t="shared" si="9"/>
        <v>30</v>
      </c>
      <c r="K145">
        <f t="shared" si="10"/>
        <v>70</v>
      </c>
      <c r="L145">
        <v>1000000</v>
      </c>
      <c r="M145">
        <f>VLOOKUP($A145&amp;M$1,Data!$A$2:$D$3723,4,FALSE)</f>
        <v>0.12673999999999999</v>
      </c>
      <c r="N145">
        <f>VLOOKUP($A145&amp;N$1,Data!$A$2:$D$3723,4,FALSE)</f>
        <v>-0.17599999999999999</v>
      </c>
      <c r="O145">
        <f>VLOOKUP($A145&amp;O$1,Data!$A$2:$D$3723,4,FALSE)</f>
        <v>165</v>
      </c>
      <c r="P145">
        <f>VLOOKUP($A145&amp;P$1,Data!$A$2:$D$3723,4,FALSE)</f>
        <v>7.8700000000000006E-2</v>
      </c>
      <c r="Q145">
        <f>VLOOKUP($A145&amp;Q$1,Data!$A$2:$D$3723,4,FALSE)</f>
        <v>-9.69E-2</v>
      </c>
      <c r="R145">
        <f>VLOOKUP($A145&amp;R$1,Data!$A$2:$D$3723,4,FALSE)</f>
        <v>-0.2616</v>
      </c>
      <c r="S145">
        <f>VLOOKUP($A145&amp;S$1,Data!$A$2:$D$3723,4,FALSE)</f>
        <v>0.375</v>
      </c>
      <c r="T145">
        <f>VLOOKUP($A145&amp;T$1,Data!$A$2:$D$3723,4,FALSE)</f>
        <v>-0.27500000000000002</v>
      </c>
      <c r="U145">
        <f>VLOOKUP($A145&amp;U$1,Data!$A$2:$D$3723,4,FALSE)</f>
        <v>-0.17802999999999999</v>
      </c>
      <c r="V145">
        <f>VLOOKUP($A145&amp;V$1,Data!$A$2:$D$3723,4,FALSE)</f>
        <v>0.6</v>
      </c>
      <c r="W145">
        <f>VLOOKUP($A145&amp;W$1,Data!$A$2:$D$3723,4,FALSE)</f>
        <v>0.4</v>
      </c>
      <c r="X145">
        <f>VLOOKUP($A145&amp;X$1,Data!$A$2:$D$3723,4,FALSE)</f>
        <v>0.81</v>
      </c>
      <c r="Y145">
        <f>VLOOKUP($A145&amp;Y$1,Data!$A$2:$D$3723,4,FALSE)</f>
        <v>0.115</v>
      </c>
      <c r="Z145">
        <f>VLOOKUP($A145&amp;Z$1,Data!$A$2:$D$3723,4,FALSE)</f>
        <v>-3.1469999999999998</v>
      </c>
      <c r="AA145">
        <f>VLOOKUP($A145&amp;AA$1,Data!$A$2:$D$3723,4,FALSE)</f>
        <v>0.48699999999999999</v>
      </c>
      <c r="AB145">
        <f>VLOOKUP($A145&amp;AB$1,Data!$A$2:$D$3723,4,FALSE)</f>
        <v>0.23799999999999999</v>
      </c>
      <c r="AC145">
        <f>VLOOKUP($A145&amp;AC$1,Data!$A$2:$D$3723,4,FALSE)</f>
        <v>-0.28799999999999998</v>
      </c>
      <c r="AD145">
        <f>VLOOKUP($A145&amp;AD$1,Data!$A$2:$D$3723,4,FALSE)</f>
        <v>0.52</v>
      </c>
      <c r="AE145">
        <f>VLOOKUP($A145&amp;AE$1,Data!$A$2:$D$3723,4,FALSE)</f>
        <v>2.7E-2</v>
      </c>
      <c r="AF145">
        <f>VLOOKUP($A145&amp;AF$1,Data!$A$2:$D$3723,4,FALSE)</f>
        <v>0</v>
      </c>
      <c r="AG145">
        <f>VLOOKUP($A145&amp;AG$1,Data!$A$2:$D$3723,4,FALSE)</f>
        <v>5700000</v>
      </c>
    </row>
    <row r="146" spans="1:33" hidden="1" x14ac:dyDescent="0.35">
      <c r="A146" s="13">
        <f t="shared" si="8"/>
        <v>145</v>
      </c>
      <c r="B146" t="s">
        <v>20</v>
      </c>
      <c r="C146" t="s">
        <v>3</v>
      </c>
      <c r="D146">
        <v>100</v>
      </c>
      <c r="E146" t="s">
        <v>17</v>
      </c>
      <c r="F146" s="5">
        <v>43831</v>
      </c>
      <c r="G146" s="5">
        <v>44562</v>
      </c>
      <c r="H146">
        <v>14</v>
      </c>
      <c r="I146">
        <v>9</v>
      </c>
      <c r="J146">
        <f t="shared" si="9"/>
        <v>32</v>
      </c>
      <c r="K146">
        <f t="shared" si="10"/>
        <v>68</v>
      </c>
      <c r="L146">
        <v>1000000</v>
      </c>
      <c r="M146">
        <f>VLOOKUP($A146&amp;M$1,Data!$A$2:$D$3723,4,FALSE)</f>
        <v>3.3939999999999998E-2</v>
      </c>
      <c r="N146">
        <f>VLOOKUP($A146&amp;N$1,Data!$A$2:$D$3723,4,FALSE)</f>
        <v>-0.86</v>
      </c>
      <c r="O146">
        <f>VLOOKUP($A146&amp;O$1,Data!$A$2:$D$3723,4,FALSE)</f>
        <v>483</v>
      </c>
      <c r="P146">
        <f>VLOOKUP($A146&amp;P$1,Data!$A$2:$D$3723,4,FALSE)</f>
        <v>1.6000000000000001E-3</v>
      </c>
      <c r="Q146">
        <f>VLOOKUP($A146&amp;Q$1,Data!$A$2:$D$3723,4,FALSE)</f>
        <v>-2.0999999999999999E-3</v>
      </c>
      <c r="R146">
        <f>VLOOKUP($A146&amp;R$1,Data!$A$2:$D$3723,4,FALSE)</f>
        <v>-1.729E-2</v>
      </c>
      <c r="S146">
        <f>VLOOKUP($A146&amp;S$1,Data!$A$2:$D$3723,4,FALSE)</f>
        <v>1.4E-2</v>
      </c>
      <c r="T146">
        <f>VLOOKUP($A146&amp;T$1,Data!$A$2:$D$3723,4,FALSE)</f>
        <v>-0.32700000000000001</v>
      </c>
      <c r="U146">
        <f>VLOOKUP($A146&amp;U$1,Data!$A$2:$D$3723,4,FALSE)</f>
        <v>-1.1209999999999999E-2</v>
      </c>
      <c r="V146">
        <f>VLOOKUP($A146&amp;V$1,Data!$A$2:$D$3723,4,FALSE)</f>
        <v>0.62</v>
      </c>
      <c r="W146">
        <f>VLOOKUP($A146&amp;W$1,Data!$A$2:$D$3723,4,FALSE)</f>
        <v>0.38</v>
      </c>
      <c r="X146">
        <f>VLOOKUP($A146&amp;X$1,Data!$A$2:$D$3723,4,FALSE)</f>
        <v>0.79</v>
      </c>
      <c r="Y146">
        <f>VLOOKUP($A146&amp;Y$1,Data!$A$2:$D$3723,4,FALSE)</f>
        <v>-8.0000000000000002E-3</v>
      </c>
      <c r="Z146">
        <f>VLOOKUP($A146&amp;Z$1,Data!$A$2:$D$3723,4,FALSE)</f>
        <v>-6.5000000000000002E-2</v>
      </c>
      <c r="AA146">
        <f>VLOOKUP($A146&amp;AA$1,Data!$A$2:$D$3723,4,FALSE)</f>
        <v>1.4E-2</v>
      </c>
      <c r="AB146">
        <f>VLOOKUP($A146&amp;AB$1,Data!$A$2:$D$3723,4,FALSE)</f>
        <v>0</v>
      </c>
      <c r="AC146">
        <f>VLOOKUP($A146&amp;AC$1,Data!$A$2:$D$3723,4,FALSE)</f>
        <v>-1.046</v>
      </c>
      <c r="AD146">
        <f>VLOOKUP($A146&amp;AD$1,Data!$A$2:$D$3723,4,FALSE)</f>
        <v>7.1999999999999995E-2</v>
      </c>
      <c r="AE146">
        <f>VLOOKUP($A146&amp;AE$1,Data!$A$2:$D$3723,4,FALSE)</f>
        <v>0.184</v>
      </c>
      <c r="AF146">
        <f>VLOOKUP($A146&amp;AF$1,Data!$A$2:$D$3723,4,FALSE)</f>
        <v>0</v>
      </c>
      <c r="AG146">
        <f>VLOOKUP($A146&amp;AG$1,Data!$A$2:$D$3723,4,FALSE)</f>
        <v>8900000000</v>
      </c>
    </row>
    <row r="147" spans="1:33" hidden="1" x14ac:dyDescent="0.35">
      <c r="A147" s="13">
        <f t="shared" si="8"/>
        <v>146</v>
      </c>
      <c r="B147" t="s">
        <v>20</v>
      </c>
      <c r="C147" t="s">
        <v>3</v>
      </c>
      <c r="D147">
        <v>1000</v>
      </c>
      <c r="E147" t="s">
        <v>17</v>
      </c>
      <c r="F147" s="5">
        <v>43831</v>
      </c>
      <c r="G147" s="5">
        <v>44562</v>
      </c>
      <c r="H147">
        <v>14</v>
      </c>
      <c r="I147">
        <v>9</v>
      </c>
      <c r="J147">
        <f t="shared" si="9"/>
        <v>32</v>
      </c>
      <c r="K147">
        <f t="shared" si="10"/>
        <v>68</v>
      </c>
      <c r="L147">
        <v>1000000</v>
      </c>
      <c r="M147">
        <f>VLOOKUP($A147&amp;M$1,Data!$A$2:$D$3723,4,FALSE)</f>
        <v>3.916E-2</v>
      </c>
      <c r="N147">
        <f>VLOOKUP($A147&amp;N$1,Data!$A$2:$D$3723,4,FALSE)</f>
        <v>-0.76300000000000001</v>
      </c>
      <c r="O147">
        <f>VLOOKUP($A147&amp;O$1,Data!$A$2:$D$3723,4,FALSE)</f>
        <v>483</v>
      </c>
      <c r="P147">
        <f>VLOOKUP($A147&amp;P$1,Data!$A$2:$D$3723,4,FALSE)</f>
        <v>1.7500000000000002E-2</v>
      </c>
      <c r="Q147">
        <f>VLOOKUP($A147&amp;Q$1,Data!$A$2:$D$3723,4,FALSE)</f>
        <v>-2.1499999999999998E-2</v>
      </c>
      <c r="R147">
        <f>VLOOKUP($A147&amp;R$1,Data!$A$2:$D$3723,4,FALSE)</f>
        <v>-0.16803999999999999</v>
      </c>
      <c r="S147">
        <f>VLOOKUP($A147&amp;S$1,Data!$A$2:$D$3723,4,FALSE)</f>
        <v>0.13700000000000001</v>
      </c>
      <c r="T147">
        <f>VLOOKUP($A147&amp;T$1,Data!$A$2:$D$3723,4,FALSE)</f>
        <v>-0.31900000000000001</v>
      </c>
      <c r="U147">
        <f>VLOOKUP($A147&amp;U$1,Data!$A$2:$D$3723,4,FALSE)</f>
        <v>-0.11212999999999999</v>
      </c>
      <c r="V147">
        <f>VLOOKUP($A147&amp;V$1,Data!$A$2:$D$3723,4,FALSE)</f>
        <v>0.62</v>
      </c>
      <c r="W147">
        <f>VLOOKUP($A147&amp;W$1,Data!$A$2:$D$3723,4,FALSE)</f>
        <v>0.38</v>
      </c>
      <c r="X147">
        <f>VLOOKUP($A147&amp;X$1,Data!$A$2:$D$3723,4,FALSE)</f>
        <v>0.82</v>
      </c>
      <c r="Y147">
        <f>VLOOKUP($A147&amp;Y$1,Data!$A$2:$D$3723,4,FALSE)</f>
        <v>-6.7000000000000004E-2</v>
      </c>
      <c r="Z147">
        <f>VLOOKUP($A147&amp;Z$1,Data!$A$2:$D$3723,4,FALSE)</f>
        <v>-0.67600000000000005</v>
      </c>
      <c r="AA147">
        <f>VLOOKUP($A147&amp;AA$1,Data!$A$2:$D$3723,4,FALSE)</f>
        <v>0.14499999999999999</v>
      </c>
      <c r="AB147">
        <f>VLOOKUP($A147&amp;AB$1,Data!$A$2:$D$3723,4,FALSE)</f>
        <v>2.1000000000000001E-2</v>
      </c>
      <c r="AC147">
        <f>VLOOKUP($A147&amp;AC$1,Data!$A$2:$D$3723,4,FALSE)</f>
        <v>-0.98199999999999998</v>
      </c>
      <c r="AD147">
        <f>VLOOKUP($A147&amp;AD$1,Data!$A$2:$D$3723,4,FALSE)</f>
        <v>0.17699999999999999</v>
      </c>
      <c r="AE147">
        <f>VLOOKUP($A147&amp;AE$1,Data!$A$2:$D$3723,4,FALSE)</f>
        <v>0.16300000000000001</v>
      </c>
      <c r="AF147">
        <f>VLOOKUP($A147&amp;AF$1,Data!$A$2:$D$3723,4,FALSE)</f>
        <v>0</v>
      </c>
      <c r="AG147">
        <f>VLOOKUP($A147&amp;AG$1,Data!$A$2:$D$3723,4,FALSE)</f>
        <v>800000000</v>
      </c>
    </row>
    <row r="148" spans="1:33" hidden="1" x14ac:dyDescent="0.35">
      <c r="A148" s="13">
        <f t="shared" si="8"/>
        <v>147</v>
      </c>
      <c r="B148" t="s">
        <v>20</v>
      </c>
      <c r="C148" t="s">
        <v>3</v>
      </c>
      <c r="D148">
        <v>5000</v>
      </c>
      <c r="E148" t="s">
        <v>17</v>
      </c>
      <c r="F148" s="5">
        <v>43831</v>
      </c>
      <c r="G148" s="5">
        <v>44562</v>
      </c>
      <c r="H148">
        <v>14</v>
      </c>
      <c r="I148">
        <v>9</v>
      </c>
      <c r="J148">
        <f t="shared" si="9"/>
        <v>32</v>
      </c>
      <c r="K148">
        <f t="shared" si="10"/>
        <v>68</v>
      </c>
      <c r="L148">
        <v>1000000</v>
      </c>
      <c r="M148">
        <f>VLOOKUP($A148&amp;M$1,Data!$A$2:$D$3723,4,FALSE)</f>
        <v>4.5839999999999999E-2</v>
      </c>
      <c r="N148">
        <f>VLOOKUP($A148&amp;N$1,Data!$A$2:$D$3723,4,FALSE)</f>
        <v>-0.55400000000000005</v>
      </c>
      <c r="O148">
        <f>VLOOKUP($A148&amp;O$1,Data!$A$2:$D$3723,4,FALSE)</f>
        <v>474</v>
      </c>
      <c r="P148">
        <f>VLOOKUP($A148&amp;P$1,Data!$A$2:$D$3723,4,FALSE)</f>
        <v>0.11650000000000001</v>
      </c>
      <c r="Q148">
        <f>VLOOKUP($A148&amp;Q$1,Data!$A$2:$D$3723,4,FALSE)</f>
        <v>-0.1164</v>
      </c>
      <c r="R148">
        <f>VLOOKUP($A148&amp;R$1,Data!$A$2:$D$3723,4,FALSE)</f>
        <v>-0.77100000000000002</v>
      </c>
      <c r="S148">
        <f>VLOOKUP($A148&amp;S$1,Data!$A$2:$D$3723,4,FALSE)</f>
        <v>0.66800000000000004</v>
      </c>
      <c r="T148">
        <f>VLOOKUP($A148&amp;T$1,Data!$A$2:$D$3723,4,FALSE)</f>
        <v>-0.33300000000000002</v>
      </c>
      <c r="U148">
        <f>VLOOKUP($A148&amp;U$1,Data!$A$2:$D$3723,4,FALSE)</f>
        <v>-0.61438999999999999</v>
      </c>
      <c r="V148">
        <f>VLOOKUP($A148&amp;V$1,Data!$A$2:$D$3723,4,FALSE)</f>
        <v>0.67</v>
      </c>
      <c r="W148">
        <f>VLOOKUP($A148&amp;W$1,Data!$A$2:$D$3723,4,FALSE)</f>
        <v>0.33</v>
      </c>
      <c r="X148">
        <f>VLOOKUP($A148&amp;X$1,Data!$A$2:$D$3723,4,FALSE)</f>
        <v>1</v>
      </c>
      <c r="Y148">
        <f>VLOOKUP($A148&amp;Y$1,Data!$A$2:$D$3723,4,FALSE)</f>
        <v>-0.20699999999999999</v>
      </c>
      <c r="Z148">
        <f>VLOOKUP($A148&amp;Z$1,Data!$A$2:$D$3723,4,FALSE)</f>
        <v>-4.2039999999999997</v>
      </c>
      <c r="AA148">
        <f>VLOOKUP($A148&amp;AA$1,Data!$A$2:$D$3723,4,FALSE)</f>
        <v>0.85699999999999998</v>
      </c>
      <c r="AB148">
        <f>VLOOKUP($A148&amp;AB$1,Data!$A$2:$D$3723,4,FALSE)</f>
        <v>0.73399999999999999</v>
      </c>
      <c r="AC148">
        <f>VLOOKUP($A148&amp;AC$1,Data!$A$2:$D$3723,4,FALSE)</f>
        <v>-0.61099999999999999</v>
      </c>
      <c r="AD148">
        <f>VLOOKUP($A148&amp;AD$1,Data!$A$2:$D$3723,4,FALSE)</f>
        <v>0.88100000000000001</v>
      </c>
      <c r="AE148">
        <f>VLOOKUP($A148&amp;AE$1,Data!$A$2:$D$3723,4,FALSE)</f>
        <v>0.113</v>
      </c>
      <c r="AF148">
        <f>VLOOKUP($A148&amp;AF$1,Data!$A$2:$D$3723,4,FALSE)</f>
        <v>0</v>
      </c>
      <c r="AG148">
        <f>VLOOKUP($A148&amp;AG$1,Data!$A$2:$D$3723,4,FALSE)</f>
        <v>75000000</v>
      </c>
    </row>
    <row r="149" spans="1:33" hidden="1" x14ac:dyDescent="0.35">
      <c r="A149" s="13">
        <f t="shared" si="8"/>
        <v>148</v>
      </c>
      <c r="B149" t="s">
        <v>20</v>
      </c>
      <c r="C149" t="s">
        <v>2</v>
      </c>
      <c r="D149">
        <v>100</v>
      </c>
      <c r="E149" t="s">
        <v>17</v>
      </c>
      <c r="F149" s="5">
        <v>43831</v>
      </c>
      <c r="G149" s="5">
        <v>44562</v>
      </c>
      <c r="H149">
        <v>14</v>
      </c>
      <c r="I149">
        <v>9</v>
      </c>
      <c r="J149">
        <f t="shared" si="9"/>
        <v>32</v>
      </c>
      <c r="K149">
        <f t="shared" si="10"/>
        <v>68</v>
      </c>
      <c r="L149">
        <v>1000000</v>
      </c>
      <c r="M149">
        <f>VLOOKUP($A149&amp;M$1,Data!$A$2:$D$3723,4,FALSE)</f>
        <v>2.0029999999999999E-2</v>
      </c>
      <c r="N149">
        <f>VLOOKUP($A149&amp;N$1,Data!$A$2:$D$3723,4,FALSE)</f>
        <v>-1.1379999999999999</v>
      </c>
      <c r="O149">
        <f>VLOOKUP($A149&amp;O$1,Data!$A$2:$D$3723,4,FALSE)</f>
        <v>281</v>
      </c>
      <c r="P149">
        <f>VLOOKUP($A149&amp;P$1,Data!$A$2:$D$3723,4,FALSE)</f>
        <v>1.8E-3</v>
      </c>
      <c r="Q149">
        <f>VLOOKUP($A149&amp;Q$1,Data!$A$2:$D$3723,4,FALSE)</f>
        <v>-3.3999999999999998E-3</v>
      </c>
      <c r="R149">
        <f>VLOOKUP($A149&amp;R$1,Data!$A$2:$D$3723,4,FALSE)</f>
        <v>-2.3980000000000001E-2</v>
      </c>
      <c r="S149">
        <f>VLOOKUP($A149&amp;S$1,Data!$A$2:$D$3723,4,FALSE)</f>
        <v>2.3E-2</v>
      </c>
      <c r="T149">
        <f>VLOOKUP($A149&amp;T$1,Data!$A$2:$D$3723,4,FALSE)</f>
        <v>-0.49199999999999999</v>
      </c>
      <c r="U149">
        <f>VLOOKUP($A149&amp;U$1,Data!$A$2:$D$3723,4,FALSE)</f>
        <v>-1.5570000000000001E-2</v>
      </c>
      <c r="V149">
        <f>VLOOKUP($A149&amp;V$1,Data!$A$2:$D$3723,4,FALSE)</f>
        <v>0.67</v>
      </c>
      <c r="W149">
        <f>VLOOKUP($A149&amp;W$1,Data!$A$2:$D$3723,4,FALSE)</f>
        <v>0.33</v>
      </c>
      <c r="X149">
        <f>VLOOKUP($A149&amp;X$1,Data!$A$2:$D$3723,4,FALSE)</f>
        <v>0.52</v>
      </c>
      <c r="Y149">
        <f>VLOOKUP($A149&amp;Y$1,Data!$A$2:$D$3723,4,FALSE)</f>
        <v>-8.9999999999999993E-3</v>
      </c>
      <c r="Z149">
        <f>VLOOKUP($A149&amp;Z$1,Data!$A$2:$D$3723,4,FALSE)</f>
        <v>-0.121</v>
      </c>
      <c r="AA149">
        <f>VLOOKUP($A149&amp;AA$1,Data!$A$2:$D$3723,4,FALSE)</f>
        <v>1.4999999999999999E-2</v>
      </c>
      <c r="AB149">
        <f>VLOOKUP($A149&amp;AB$1,Data!$A$2:$D$3723,4,FALSE)</f>
        <v>0</v>
      </c>
      <c r="AC149">
        <f>VLOOKUP($A149&amp;AC$1,Data!$A$2:$D$3723,4,FALSE)</f>
        <v>-1.0589999999999999</v>
      </c>
      <c r="AD149">
        <f>VLOOKUP($A149&amp;AD$1,Data!$A$2:$D$3723,4,FALSE)</f>
        <v>7.5999999999999998E-2</v>
      </c>
      <c r="AE149">
        <f>VLOOKUP($A149&amp;AE$1,Data!$A$2:$D$3723,4,FALSE)</f>
        <v>0.13700000000000001</v>
      </c>
      <c r="AF149">
        <f>VLOOKUP($A149&amp;AF$1,Data!$A$2:$D$3723,4,FALSE)</f>
        <v>0</v>
      </c>
      <c r="AG149">
        <f>VLOOKUP($A149&amp;AG$1,Data!$A$2:$D$3723,4,FALSE)</f>
        <v>940000000</v>
      </c>
    </row>
    <row r="150" spans="1:33" hidden="1" x14ac:dyDescent="0.35">
      <c r="A150" s="13">
        <f t="shared" si="8"/>
        <v>149</v>
      </c>
      <c r="B150" t="s">
        <v>20</v>
      </c>
      <c r="C150" t="s">
        <v>2</v>
      </c>
      <c r="D150">
        <v>1000</v>
      </c>
      <c r="E150" t="s">
        <v>17</v>
      </c>
      <c r="F150" s="5">
        <v>43831</v>
      </c>
      <c r="G150" s="5">
        <v>44562</v>
      </c>
      <c r="H150">
        <v>14</v>
      </c>
      <c r="I150">
        <v>9</v>
      </c>
      <c r="J150">
        <f t="shared" si="9"/>
        <v>32</v>
      </c>
      <c r="K150">
        <f t="shared" si="10"/>
        <v>68</v>
      </c>
      <c r="L150">
        <v>1000000</v>
      </c>
      <c r="M150">
        <f>VLOOKUP($A150&amp;M$1,Data!$A$2:$D$3723,4,FALSE)</f>
        <v>2.6950000000000002E-2</v>
      </c>
      <c r="N150">
        <f>VLOOKUP($A150&amp;N$1,Data!$A$2:$D$3723,4,FALSE)</f>
        <v>-0.94199999999999995</v>
      </c>
      <c r="O150">
        <f>VLOOKUP($A150&amp;O$1,Data!$A$2:$D$3723,4,FALSE)</f>
        <v>281</v>
      </c>
      <c r="P150">
        <f>VLOOKUP($A150&amp;P$1,Data!$A$2:$D$3723,4,FALSE)</f>
        <v>0.02</v>
      </c>
      <c r="Q150">
        <f>VLOOKUP($A150&amp;Q$1,Data!$A$2:$D$3723,4,FALSE)</f>
        <v>-3.5000000000000003E-2</v>
      </c>
      <c r="R150">
        <f>VLOOKUP($A150&amp;R$1,Data!$A$2:$D$3723,4,FALSE)</f>
        <v>-0.23028999999999999</v>
      </c>
      <c r="S150">
        <f>VLOOKUP($A150&amp;S$1,Data!$A$2:$D$3723,4,FALSE)</f>
        <v>0.22800000000000001</v>
      </c>
      <c r="T150">
        <f>VLOOKUP($A150&amp;T$1,Data!$A$2:$D$3723,4,FALSE)</f>
        <v>-0.47599999999999998</v>
      </c>
      <c r="U150">
        <f>VLOOKUP($A150&amp;U$1,Data!$A$2:$D$3723,4,FALSE)</f>
        <v>-0.15565999999999999</v>
      </c>
      <c r="V150">
        <f>VLOOKUP($A150&amp;V$1,Data!$A$2:$D$3723,4,FALSE)</f>
        <v>0.67</v>
      </c>
      <c r="W150">
        <f>VLOOKUP($A150&amp;W$1,Data!$A$2:$D$3723,4,FALSE)</f>
        <v>0.33</v>
      </c>
      <c r="X150">
        <f>VLOOKUP($A150&amp;X$1,Data!$A$2:$D$3723,4,FALSE)</f>
        <v>0.56999999999999995</v>
      </c>
      <c r="Y150">
        <f>VLOOKUP($A150&amp;Y$1,Data!$A$2:$D$3723,4,FALSE)</f>
        <v>-6.8000000000000005E-2</v>
      </c>
      <c r="Z150">
        <f>VLOOKUP($A150&amp;Z$1,Data!$A$2:$D$3723,4,FALSE)</f>
        <v>-1.3620000000000001</v>
      </c>
      <c r="AA150">
        <f>VLOOKUP($A150&amp;AA$1,Data!$A$2:$D$3723,4,FALSE)</f>
        <v>0.16400000000000001</v>
      </c>
      <c r="AB150">
        <f>VLOOKUP($A150&amp;AB$1,Data!$A$2:$D$3723,4,FALSE)</f>
        <v>2.7E-2</v>
      </c>
      <c r="AC150">
        <f>VLOOKUP($A150&amp;AC$1,Data!$A$2:$D$3723,4,FALSE)</f>
        <v>-1.046</v>
      </c>
      <c r="AD150">
        <f>VLOOKUP($A150&amp;AD$1,Data!$A$2:$D$3723,4,FALSE)</f>
        <v>0.20899999999999999</v>
      </c>
      <c r="AE150">
        <f>VLOOKUP($A150&amp;AE$1,Data!$A$2:$D$3723,4,FALSE)</f>
        <v>0.114</v>
      </c>
      <c r="AF150">
        <f>VLOOKUP($A150&amp;AF$1,Data!$A$2:$D$3723,4,FALSE)</f>
        <v>0</v>
      </c>
      <c r="AG150">
        <f>VLOOKUP($A150&amp;AG$1,Data!$A$2:$D$3723,4,FALSE)</f>
        <v>82000000</v>
      </c>
    </row>
    <row r="151" spans="1:33" hidden="1" x14ac:dyDescent="0.35">
      <c r="A151" s="13">
        <f t="shared" si="8"/>
        <v>150</v>
      </c>
      <c r="B151" t="s">
        <v>20</v>
      </c>
      <c r="C151" t="s">
        <v>2</v>
      </c>
      <c r="D151">
        <v>5000</v>
      </c>
      <c r="E151" t="s">
        <v>17</v>
      </c>
      <c r="F151" s="5">
        <v>43831</v>
      </c>
      <c r="G151" s="5">
        <v>44562</v>
      </c>
      <c r="H151">
        <v>14</v>
      </c>
      <c r="I151">
        <v>9</v>
      </c>
      <c r="J151">
        <f t="shared" si="9"/>
        <v>32</v>
      </c>
      <c r="K151">
        <f t="shared" si="10"/>
        <v>68</v>
      </c>
      <c r="L151">
        <v>1000000</v>
      </c>
      <c r="M151">
        <f>VLOOKUP($A151&amp;M$1,Data!$A$2:$D$3723,4,FALSE)</f>
        <v>8.0699999999999994E-2</v>
      </c>
      <c r="N151">
        <f>VLOOKUP($A151&amp;N$1,Data!$A$2:$D$3723,4,FALSE)</f>
        <v>-0.32</v>
      </c>
      <c r="O151">
        <f>VLOOKUP($A151&amp;O$1,Data!$A$2:$D$3723,4,FALSE)</f>
        <v>267</v>
      </c>
      <c r="P151">
        <f>VLOOKUP($A151&amp;P$1,Data!$A$2:$D$3723,4,FALSE)</f>
        <v>0.14990000000000001</v>
      </c>
      <c r="Q151">
        <f>VLOOKUP($A151&amp;Q$1,Data!$A$2:$D$3723,4,FALSE)</f>
        <v>-0.1085</v>
      </c>
      <c r="R151">
        <f>VLOOKUP($A151&amp;R$1,Data!$A$2:$D$3723,4,FALSE)</f>
        <v>-0.96850000000000003</v>
      </c>
      <c r="S151">
        <f>VLOOKUP($A151&amp;S$1,Data!$A$2:$D$3723,4,FALSE)</f>
        <v>0.94299999999999995</v>
      </c>
      <c r="T151">
        <f>VLOOKUP($A151&amp;T$1,Data!$A$2:$D$3723,4,FALSE)</f>
        <v>-0.60299999999999998</v>
      </c>
      <c r="U151">
        <f>VLOOKUP($A151&amp;U$1,Data!$A$2:$D$3723,4,FALSE)</f>
        <v>-0.89305000000000001</v>
      </c>
      <c r="V151">
        <f>VLOOKUP($A151&amp;V$1,Data!$A$2:$D$3723,4,FALSE)</f>
        <v>0.83</v>
      </c>
      <c r="W151">
        <f>VLOOKUP($A151&amp;W$1,Data!$A$2:$D$3723,4,FALSE)</f>
        <v>0.17</v>
      </c>
      <c r="X151">
        <f>VLOOKUP($A151&amp;X$1,Data!$A$2:$D$3723,4,FALSE)</f>
        <v>1.38</v>
      </c>
      <c r="Y151">
        <f>VLOOKUP($A151&amp;Y$1,Data!$A$2:$D$3723,4,FALSE)</f>
        <v>0.39200000000000002</v>
      </c>
      <c r="Z151">
        <f>VLOOKUP($A151&amp;Z$1,Data!$A$2:$D$3723,4,FALSE)</f>
        <v>-14.928000000000001</v>
      </c>
      <c r="AA151">
        <f>VLOOKUP($A151&amp;AA$1,Data!$A$2:$D$3723,4,FALSE)</f>
        <v>1.746</v>
      </c>
      <c r="AB151">
        <f>VLOOKUP($A151&amp;AB$1,Data!$A$2:$D$3723,4,FALSE)</f>
        <v>3.048</v>
      </c>
      <c r="AC151">
        <f>VLOOKUP($A151&amp;AC$1,Data!$A$2:$D$3723,4,FALSE)</f>
        <v>-0.34899999999999998</v>
      </c>
      <c r="AD151">
        <f>VLOOKUP($A151&amp;AD$1,Data!$A$2:$D$3723,4,FALSE)</f>
        <v>1.7849999999999999</v>
      </c>
      <c r="AE151">
        <f>VLOOKUP($A151&amp;AE$1,Data!$A$2:$D$3723,4,FALSE)</f>
        <v>3.6999999999999998E-2</v>
      </c>
      <c r="AF151">
        <f>VLOOKUP($A151&amp;AF$1,Data!$A$2:$D$3723,4,FALSE)</f>
        <v>0</v>
      </c>
      <c r="AG151">
        <f>VLOOKUP($A151&amp;AG$1,Data!$A$2:$D$3723,4,FALSE)</f>
        <v>2900000</v>
      </c>
    </row>
    <row r="152" spans="1:33" hidden="1" x14ac:dyDescent="0.35">
      <c r="A152" s="13">
        <f t="shared" si="8"/>
        <v>151</v>
      </c>
      <c r="B152" t="s">
        <v>20</v>
      </c>
      <c r="C152" t="s">
        <v>22</v>
      </c>
      <c r="D152">
        <v>100</v>
      </c>
      <c r="E152" t="s">
        <v>17</v>
      </c>
      <c r="F152" s="5">
        <v>43831</v>
      </c>
      <c r="G152" s="5">
        <v>44562</v>
      </c>
      <c r="H152">
        <v>14</v>
      </c>
      <c r="I152">
        <v>9</v>
      </c>
      <c r="J152">
        <f t="shared" si="9"/>
        <v>32</v>
      </c>
      <c r="K152">
        <f t="shared" si="10"/>
        <v>68</v>
      </c>
      <c r="L152">
        <v>1000000</v>
      </c>
      <c r="M152">
        <f>VLOOKUP($A152&amp;M$1,Data!$A$2:$D$3723,4,FALSE)</f>
        <v>0.29361999999999999</v>
      </c>
      <c r="N152">
        <f>VLOOKUP($A152&amp;N$1,Data!$A$2:$D$3723,4,FALSE)</f>
        <v>0.441</v>
      </c>
      <c r="O152">
        <f>VLOOKUP($A152&amp;O$1,Data!$A$2:$D$3723,4,FALSE)</f>
        <v>199</v>
      </c>
      <c r="P152">
        <f>VLOOKUP($A152&amp;P$1,Data!$A$2:$D$3723,4,FALSE)</f>
        <v>2.7000000000000001E-3</v>
      </c>
      <c r="Q152">
        <f>VLOOKUP($A152&amp;Q$1,Data!$A$2:$D$3723,4,FALSE)</f>
        <v>-1.1000000000000001E-3</v>
      </c>
      <c r="R152">
        <f>VLOOKUP($A152&amp;R$1,Data!$A$2:$D$3723,4,FALSE)</f>
        <v>6.1599999999999997E-3</v>
      </c>
      <c r="S152">
        <f>VLOOKUP($A152&amp;S$1,Data!$A$2:$D$3723,4,FALSE)</f>
        <v>7.0000000000000001E-3</v>
      </c>
      <c r="T152">
        <f>VLOOKUP($A152&amp;T$1,Data!$A$2:$D$3723,4,FALSE)</f>
        <v>0.73799999999999999</v>
      </c>
      <c r="U152">
        <f>VLOOKUP($A152&amp;U$1,Data!$A$2:$D$3723,4,FALSE)</f>
        <v>3.98E-3</v>
      </c>
      <c r="V152">
        <f>VLOOKUP($A152&amp;V$1,Data!$A$2:$D$3723,4,FALSE)</f>
        <v>0.5</v>
      </c>
      <c r="W152">
        <f>VLOOKUP($A152&amp;W$1,Data!$A$2:$D$3723,4,FALSE)</f>
        <v>0.5</v>
      </c>
      <c r="X152">
        <f>VLOOKUP($A152&amp;X$1,Data!$A$2:$D$3723,4,FALSE)</f>
        <v>2.48</v>
      </c>
      <c r="Y152">
        <f>VLOOKUP($A152&amp;Y$1,Data!$A$2:$D$3723,4,FALSE)</f>
        <v>7.0000000000000001E-3</v>
      </c>
      <c r="Z152">
        <f>VLOOKUP($A152&amp;Z$1,Data!$A$2:$D$3723,4,FALSE)</f>
        <v>-4.8000000000000001E-2</v>
      </c>
      <c r="AA152">
        <f>VLOOKUP($A152&amp;AA$1,Data!$A$2:$D$3723,4,FALSE)</f>
        <v>0.01</v>
      </c>
      <c r="AB152">
        <f>VLOOKUP($A152&amp;AB$1,Data!$A$2:$D$3723,4,FALSE)</f>
        <v>0</v>
      </c>
      <c r="AC152">
        <f>VLOOKUP($A152&amp;AC$1,Data!$A$2:$D$3723,4,FALSE)</f>
        <v>-0.84199999999999997</v>
      </c>
      <c r="AD152">
        <f>VLOOKUP($A152&amp;AD$1,Data!$A$2:$D$3723,4,FALSE)</f>
        <v>7.0999999999999994E-2</v>
      </c>
      <c r="AE152">
        <f>VLOOKUP($A152&amp;AE$1,Data!$A$2:$D$3723,4,FALSE)</f>
        <v>-0.09</v>
      </c>
      <c r="AF152">
        <f>VLOOKUP($A152&amp;AF$1,Data!$A$2:$D$3723,4,FALSE)</f>
        <v>0</v>
      </c>
      <c r="AG152">
        <f>VLOOKUP($A152&amp;AG$1,Data!$A$2:$D$3723,4,FALSE)</f>
        <v>120000000</v>
      </c>
    </row>
    <row r="153" spans="1:33" hidden="1" x14ac:dyDescent="0.35">
      <c r="A153" s="13">
        <f t="shared" si="8"/>
        <v>152</v>
      </c>
      <c r="B153" t="s">
        <v>20</v>
      </c>
      <c r="C153" t="s">
        <v>22</v>
      </c>
      <c r="D153">
        <v>1000</v>
      </c>
      <c r="E153" t="s">
        <v>17</v>
      </c>
      <c r="F153" s="5">
        <v>43831</v>
      </c>
      <c r="G153" s="5">
        <v>44562</v>
      </c>
      <c r="H153">
        <v>14</v>
      </c>
      <c r="I153">
        <v>9</v>
      </c>
      <c r="J153">
        <f t="shared" si="9"/>
        <v>32</v>
      </c>
      <c r="K153">
        <f t="shared" si="10"/>
        <v>68</v>
      </c>
      <c r="L153">
        <v>1000000</v>
      </c>
      <c r="M153">
        <f>VLOOKUP($A153&amp;M$1,Data!$A$2:$D$3723,4,FALSE)</f>
        <v>0.30834</v>
      </c>
      <c r="N153">
        <f>VLOOKUP($A153&amp;N$1,Data!$A$2:$D$3723,4,FALSE)</f>
        <v>0.495</v>
      </c>
      <c r="O153">
        <f>VLOOKUP($A153&amp;O$1,Data!$A$2:$D$3723,4,FALSE)</f>
        <v>199</v>
      </c>
      <c r="P153">
        <f>VLOOKUP($A153&amp;P$1,Data!$A$2:$D$3723,4,FALSE)</f>
        <v>2.6599999999999999E-2</v>
      </c>
      <c r="Q153">
        <f>VLOOKUP($A153&amp;Q$1,Data!$A$2:$D$3723,4,FALSE)</f>
        <v>-1.04E-2</v>
      </c>
      <c r="R153">
        <f>VLOOKUP($A153&amp;R$1,Data!$A$2:$D$3723,4,FALSE)</f>
        <v>6.2190000000000002E-2</v>
      </c>
      <c r="S153">
        <f>VLOOKUP($A153&amp;S$1,Data!$A$2:$D$3723,4,FALSE)</f>
        <v>6.8000000000000005E-2</v>
      </c>
      <c r="T153">
        <f>VLOOKUP($A153&amp;T$1,Data!$A$2:$D$3723,4,FALSE)</f>
        <v>0.78200000000000003</v>
      </c>
      <c r="U153">
        <f>VLOOKUP($A153&amp;U$1,Data!$A$2:$D$3723,4,FALSE)</f>
        <v>3.977E-2</v>
      </c>
      <c r="V153">
        <f>VLOOKUP($A153&amp;V$1,Data!$A$2:$D$3723,4,FALSE)</f>
        <v>0.5</v>
      </c>
      <c r="W153">
        <f>VLOOKUP($A153&amp;W$1,Data!$A$2:$D$3723,4,FALSE)</f>
        <v>0.5</v>
      </c>
      <c r="X153">
        <f>VLOOKUP($A153&amp;X$1,Data!$A$2:$D$3723,4,FALSE)</f>
        <v>2.56</v>
      </c>
      <c r="Y153">
        <f>VLOOKUP($A153&amp;Y$1,Data!$A$2:$D$3723,4,FALSE)</f>
        <v>7.6999999999999999E-2</v>
      </c>
      <c r="Z153">
        <f>VLOOKUP($A153&amp;Z$1,Data!$A$2:$D$3723,4,FALSE)</f>
        <v>-0.46300000000000002</v>
      </c>
      <c r="AA153">
        <f>VLOOKUP($A153&amp;AA$1,Data!$A$2:$D$3723,4,FALSE)</f>
        <v>9.6000000000000002E-2</v>
      </c>
      <c r="AB153">
        <f>VLOOKUP($A153&amp;AB$1,Data!$A$2:$D$3723,4,FALSE)</f>
        <v>8.9999999999999993E-3</v>
      </c>
      <c r="AC153">
        <f>VLOOKUP($A153&amp;AC$1,Data!$A$2:$D$3723,4,FALSE)</f>
        <v>-0.122</v>
      </c>
      <c r="AD153">
        <f>VLOOKUP($A153&amp;AD$1,Data!$A$2:$D$3723,4,FALSE)</f>
        <v>0.13300000000000001</v>
      </c>
      <c r="AE153">
        <f>VLOOKUP($A153&amp;AE$1,Data!$A$2:$D$3723,4,FALSE)</f>
        <v>-0.10199999999999999</v>
      </c>
      <c r="AF153">
        <f>VLOOKUP($A153&amp;AF$1,Data!$A$2:$D$3723,4,FALSE)</f>
        <v>0</v>
      </c>
      <c r="AG153">
        <f>VLOOKUP($A153&amp;AG$1,Data!$A$2:$D$3723,4,FALSE)</f>
        <v>13000000</v>
      </c>
    </row>
    <row r="154" spans="1:33" hidden="1" x14ac:dyDescent="0.35">
      <c r="A154" s="13">
        <f t="shared" si="8"/>
        <v>153</v>
      </c>
      <c r="B154" t="s">
        <v>20</v>
      </c>
      <c r="C154" t="s">
        <v>22</v>
      </c>
      <c r="D154">
        <v>5000</v>
      </c>
      <c r="E154" t="s">
        <v>17</v>
      </c>
      <c r="F154" s="5">
        <v>43831</v>
      </c>
      <c r="G154" s="5">
        <v>44562</v>
      </c>
      <c r="H154">
        <v>14</v>
      </c>
      <c r="I154">
        <v>9</v>
      </c>
      <c r="J154">
        <f t="shared" si="9"/>
        <v>32</v>
      </c>
      <c r="K154">
        <f t="shared" si="10"/>
        <v>68</v>
      </c>
      <c r="L154">
        <v>1000000</v>
      </c>
      <c r="M154">
        <f>VLOOKUP($A154&amp;M$1,Data!$A$2:$D$3723,4,FALSE)</f>
        <v>0.36874000000000001</v>
      </c>
      <c r="N154">
        <f>VLOOKUP($A154&amp;N$1,Data!$A$2:$D$3723,4,FALSE)</f>
        <v>0.76200000000000001</v>
      </c>
      <c r="O154">
        <f>VLOOKUP($A154&amp;O$1,Data!$A$2:$D$3723,4,FALSE)</f>
        <v>199</v>
      </c>
      <c r="P154">
        <f>VLOOKUP($A154&amp;P$1,Data!$A$2:$D$3723,4,FALSE)</f>
        <v>0.12470000000000001</v>
      </c>
      <c r="Q154">
        <f>VLOOKUP($A154&amp;Q$1,Data!$A$2:$D$3723,4,FALSE)</f>
        <v>-4.2500000000000003E-2</v>
      </c>
      <c r="R154">
        <f>VLOOKUP($A154&amp;R$1,Data!$A$2:$D$3723,4,FALSE)</f>
        <v>0.32389000000000001</v>
      </c>
      <c r="S154">
        <f>VLOOKUP($A154&amp;S$1,Data!$A$2:$D$3723,4,FALSE)</f>
        <v>0.33300000000000002</v>
      </c>
      <c r="T154">
        <f>VLOOKUP($A154&amp;T$1,Data!$A$2:$D$3723,4,FALSE)</f>
        <v>0.96799999999999997</v>
      </c>
      <c r="U154">
        <f>VLOOKUP($A154&amp;U$1,Data!$A$2:$D$3723,4,FALSE)</f>
        <v>0.19886999999999999</v>
      </c>
      <c r="V154">
        <f>VLOOKUP($A154&amp;V$1,Data!$A$2:$D$3723,4,FALSE)</f>
        <v>0.5</v>
      </c>
      <c r="W154">
        <f>VLOOKUP($A154&amp;W$1,Data!$A$2:$D$3723,4,FALSE)</f>
        <v>0.5</v>
      </c>
      <c r="X154">
        <f>VLOOKUP($A154&amp;X$1,Data!$A$2:$D$3723,4,FALSE)</f>
        <v>2.94</v>
      </c>
      <c r="Y154">
        <f>VLOOKUP($A154&amp;Y$1,Data!$A$2:$D$3723,4,FALSE)</f>
        <v>0.47399999999999998</v>
      </c>
      <c r="Z154">
        <f>VLOOKUP($A154&amp;Z$1,Data!$A$2:$D$3723,4,FALSE)</f>
        <v>-2.0539999999999998</v>
      </c>
      <c r="AA154">
        <f>VLOOKUP($A154&amp;AA$1,Data!$A$2:$D$3723,4,FALSE)</f>
        <v>0.45100000000000001</v>
      </c>
      <c r="AB154">
        <f>VLOOKUP($A154&amp;AB$1,Data!$A$2:$D$3723,4,FALSE)</f>
        <v>0.20300000000000001</v>
      </c>
      <c r="AC154">
        <f>VLOOKUP($A154&amp;AC$1,Data!$A$2:$D$3723,4,FALSE)</f>
        <v>0.58899999999999997</v>
      </c>
      <c r="AD154">
        <f>VLOOKUP($A154&amp;AD$1,Data!$A$2:$D$3723,4,FALSE)</f>
        <v>0.47499999999999998</v>
      </c>
      <c r="AE154">
        <f>VLOOKUP($A154&amp;AE$1,Data!$A$2:$D$3723,4,FALSE)</f>
        <v>-0.16700000000000001</v>
      </c>
      <c r="AF154">
        <f>VLOOKUP($A154&amp;AF$1,Data!$A$2:$D$3723,4,FALSE)</f>
        <v>0</v>
      </c>
      <c r="AG154">
        <f>VLOOKUP($A154&amp;AG$1,Data!$A$2:$D$3723,4,FALSE)</f>
        <v>3700000</v>
      </c>
    </row>
    <row r="155" spans="1:33" hidden="1" x14ac:dyDescent="0.35">
      <c r="A155" s="13">
        <f t="shared" si="8"/>
        <v>154</v>
      </c>
      <c r="B155" t="s">
        <v>20</v>
      </c>
      <c r="C155" t="s">
        <v>3</v>
      </c>
      <c r="D155">
        <v>100</v>
      </c>
      <c r="E155" t="s">
        <v>17</v>
      </c>
      <c r="F155" s="5">
        <v>43831</v>
      </c>
      <c r="G155" s="5">
        <v>44562</v>
      </c>
      <c r="H155">
        <v>14</v>
      </c>
      <c r="I155">
        <v>9</v>
      </c>
      <c r="J155">
        <f t="shared" si="9"/>
        <v>28</v>
      </c>
      <c r="K155">
        <f t="shared" si="10"/>
        <v>72</v>
      </c>
      <c r="L155">
        <v>1000000</v>
      </c>
      <c r="M155">
        <f>VLOOKUP($A155&amp;M$1,Data!$A$2:$D$3723,4,FALSE)</f>
        <v>0.2969</v>
      </c>
      <c r="N155">
        <f>VLOOKUP($A155&amp;N$1,Data!$A$2:$D$3723,4,FALSE)</f>
        <v>0.42399999999999999</v>
      </c>
      <c r="O155">
        <f>VLOOKUP($A155&amp;O$1,Data!$A$2:$D$3723,4,FALSE)</f>
        <v>285</v>
      </c>
      <c r="P155">
        <f>VLOOKUP($A155&amp;P$1,Data!$A$2:$D$3723,4,FALSE)</f>
        <v>1.6000000000000001E-3</v>
      </c>
      <c r="Q155">
        <f>VLOOKUP($A155&amp;Q$1,Data!$A$2:$D$3723,4,FALSE)</f>
        <v>-2.0999999999999999E-3</v>
      </c>
      <c r="R155">
        <f>VLOOKUP($A155&amp;R$1,Data!$A$2:$D$3723,4,FALSE)</f>
        <v>4.9399999999999999E-3</v>
      </c>
      <c r="S155">
        <f>VLOOKUP($A155&amp;S$1,Data!$A$2:$D$3723,4,FALSE)</f>
        <v>7.0000000000000001E-3</v>
      </c>
      <c r="T155">
        <f>VLOOKUP($A155&amp;T$1,Data!$A$2:$D$3723,4,FALSE)</f>
        <v>0.19</v>
      </c>
      <c r="U155">
        <f>VLOOKUP($A155&amp;U$1,Data!$A$2:$D$3723,4,FALSE)</f>
        <v>3.1900000000000001E-3</v>
      </c>
      <c r="V155">
        <f>VLOOKUP($A155&amp;V$1,Data!$A$2:$D$3723,4,FALSE)</f>
        <v>0.33</v>
      </c>
      <c r="W155">
        <f>VLOOKUP($A155&amp;W$1,Data!$A$2:$D$3723,4,FALSE)</f>
        <v>0.67</v>
      </c>
      <c r="X155">
        <f>VLOOKUP($A155&amp;X$1,Data!$A$2:$D$3723,4,FALSE)</f>
        <v>0.79</v>
      </c>
      <c r="Y155">
        <f>VLOOKUP($A155&amp;Y$1,Data!$A$2:$D$3723,4,FALSE)</f>
        <v>5.0000000000000001E-3</v>
      </c>
      <c r="Z155">
        <f>VLOOKUP($A155&amp;Z$1,Data!$A$2:$D$3723,4,FALSE)</f>
        <v>-1.9E-2</v>
      </c>
      <c r="AA155">
        <f>VLOOKUP($A155&amp;AA$1,Data!$A$2:$D$3723,4,FALSE)</f>
        <v>8.0000000000000002E-3</v>
      </c>
      <c r="AB155">
        <f>VLOOKUP($A155&amp;AB$1,Data!$A$2:$D$3723,4,FALSE)</f>
        <v>0</v>
      </c>
      <c r="AC155">
        <f>VLOOKUP($A155&amp;AC$1,Data!$A$2:$D$3723,4,FALSE)</f>
        <v>-0.879</v>
      </c>
      <c r="AD155">
        <f>VLOOKUP($A155&amp;AD$1,Data!$A$2:$D$3723,4,FALSE)</f>
        <v>6.8000000000000005E-2</v>
      </c>
      <c r="AE155">
        <f>VLOOKUP($A155&amp;AE$1,Data!$A$2:$D$3723,4,FALSE)</f>
        <v>-0.18</v>
      </c>
      <c r="AF155">
        <f>VLOOKUP($A155&amp;AF$1,Data!$A$2:$D$3723,4,FALSE)</f>
        <v>0</v>
      </c>
      <c r="AG155">
        <f>VLOOKUP($A155&amp;AG$1,Data!$A$2:$D$3723,4,FALSE)</f>
        <v>320000000</v>
      </c>
    </row>
    <row r="156" spans="1:33" hidden="1" x14ac:dyDescent="0.35">
      <c r="A156" s="13">
        <f t="shared" si="8"/>
        <v>155</v>
      </c>
      <c r="B156" t="s">
        <v>20</v>
      </c>
      <c r="C156" t="s">
        <v>3</v>
      </c>
      <c r="D156">
        <v>1000</v>
      </c>
      <c r="E156" t="s">
        <v>17</v>
      </c>
      <c r="F156" s="5">
        <v>43831</v>
      </c>
      <c r="G156" s="5">
        <v>44562</v>
      </c>
      <c r="H156">
        <v>14</v>
      </c>
      <c r="I156">
        <v>9</v>
      </c>
      <c r="J156">
        <f t="shared" si="9"/>
        <v>28</v>
      </c>
      <c r="K156">
        <f t="shared" si="10"/>
        <v>72</v>
      </c>
      <c r="L156">
        <v>1000000</v>
      </c>
      <c r="M156">
        <f>VLOOKUP($A156&amp;M$1,Data!$A$2:$D$3723,4,FALSE)</f>
        <v>0.30656</v>
      </c>
      <c r="N156">
        <f>VLOOKUP($A156&amp;N$1,Data!$A$2:$D$3723,4,FALSE)</f>
        <v>0.46</v>
      </c>
      <c r="O156">
        <f>VLOOKUP($A156&amp;O$1,Data!$A$2:$D$3723,4,FALSE)</f>
        <v>285</v>
      </c>
      <c r="P156">
        <f>VLOOKUP($A156&amp;P$1,Data!$A$2:$D$3723,4,FALSE)</f>
        <v>1.66E-2</v>
      </c>
      <c r="Q156">
        <f>VLOOKUP($A156&amp;Q$1,Data!$A$2:$D$3723,4,FALSE)</f>
        <v>-2.1000000000000001E-2</v>
      </c>
      <c r="R156">
        <f>VLOOKUP($A156&amp;R$1,Data!$A$2:$D$3723,4,FALSE)</f>
        <v>4.9790000000000001E-2</v>
      </c>
      <c r="S156">
        <f>VLOOKUP($A156&amp;S$1,Data!$A$2:$D$3723,4,FALSE)</f>
        <v>6.5000000000000002E-2</v>
      </c>
      <c r="T156">
        <f>VLOOKUP($A156&amp;T$1,Data!$A$2:$D$3723,4,FALSE)</f>
        <v>0.19500000000000001</v>
      </c>
      <c r="U156">
        <f>VLOOKUP($A156&amp;U$1,Data!$A$2:$D$3723,4,FALSE)</f>
        <v>3.1910000000000001E-2</v>
      </c>
      <c r="V156">
        <f>VLOOKUP($A156&amp;V$1,Data!$A$2:$D$3723,4,FALSE)</f>
        <v>0.33</v>
      </c>
      <c r="W156">
        <f>VLOOKUP($A156&amp;W$1,Data!$A$2:$D$3723,4,FALSE)</f>
        <v>0.67</v>
      </c>
      <c r="X156">
        <f>VLOOKUP($A156&amp;X$1,Data!$A$2:$D$3723,4,FALSE)</f>
        <v>0.79</v>
      </c>
      <c r="Y156">
        <f>VLOOKUP($A156&amp;Y$1,Data!$A$2:$D$3723,4,FALSE)</f>
        <v>0.05</v>
      </c>
      <c r="Z156">
        <f>VLOOKUP($A156&amp;Z$1,Data!$A$2:$D$3723,4,FALSE)</f>
        <v>-0.19400000000000001</v>
      </c>
      <c r="AA156">
        <f>VLOOKUP($A156&amp;AA$1,Data!$A$2:$D$3723,4,FALSE)</f>
        <v>8.2000000000000003E-2</v>
      </c>
      <c r="AB156">
        <f>VLOOKUP($A156&amp;AB$1,Data!$A$2:$D$3723,4,FALSE)</f>
        <v>7.0000000000000001E-3</v>
      </c>
      <c r="AC156">
        <f>VLOOKUP($A156&amp;AC$1,Data!$A$2:$D$3723,4,FALSE)</f>
        <v>-0.22800000000000001</v>
      </c>
      <c r="AD156">
        <f>VLOOKUP($A156&amp;AD$1,Data!$A$2:$D$3723,4,FALSE)</f>
        <v>0.114</v>
      </c>
      <c r="AE156">
        <f>VLOOKUP($A156&amp;AE$1,Data!$A$2:$D$3723,4,FALSE)</f>
        <v>-0.19500000000000001</v>
      </c>
      <c r="AF156">
        <f>VLOOKUP($A156&amp;AF$1,Data!$A$2:$D$3723,4,FALSE)</f>
        <v>0</v>
      </c>
      <c r="AG156">
        <f>VLOOKUP($A156&amp;AG$1,Data!$A$2:$D$3723,4,FALSE)</f>
        <v>34000000</v>
      </c>
    </row>
    <row r="157" spans="1:33" hidden="1" x14ac:dyDescent="0.35">
      <c r="A157" s="13">
        <f t="shared" si="8"/>
        <v>156</v>
      </c>
      <c r="B157" t="s">
        <v>20</v>
      </c>
      <c r="C157" t="s">
        <v>3</v>
      </c>
      <c r="D157">
        <v>5000</v>
      </c>
      <c r="E157" t="s">
        <v>17</v>
      </c>
      <c r="F157" s="5">
        <v>43831</v>
      </c>
      <c r="G157" s="5">
        <v>44562</v>
      </c>
      <c r="H157">
        <v>14</v>
      </c>
      <c r="I157">
        <v>9</v>
      </c>
      <c r="J157">
        <f t="shared" si="9"/>
        <v>28</v>
      </c>
      <c r="K157">
        <f t="shared" si="10"/>
        <v>72</v>
      </c>
      <c r="L157">
        <v>1000000</v>
      </c>
      <c r="M157">
        <f>VLOOKUP($A157&amp;M$1,Data!$A$2:$D$3723,4,FALSE)</f>
        <v>0.35598999999999997</v>
      </c>
      <c r="N157">
        <f>VLOOKUP($A157&amp;N$1,Data!$A$2:$D$3723,4,FALSE)</f>
        <v>0.68</v>
      </c>
      <c r="O157">
        <f>VLOOKUP($A157&amp;O$1,Data!$A$2:$D$3723,4,FALSE)</f>
        <v>285</v>
      </c>
      <c r="P157">
        <f>VLOOKUP($A157&amp;P$1,Data!$A$2:$D$3723,4,FALSE)</f>
        <v>9.1800000000000007E-2</v>
      </c>
      <c r="Q157">
        <f>VLOOKUP($A157&amp;Q$1,Data!$A$2:$D$3723,4,FALSE)</f>
        <v>-0.1095</v>
      </c>
      <c r="R157">
        <f>VLOOKUP($A157&amp;R$1,Data!$A$2:$D$3723,4,FALSE)</f>
        <v>0.25733</v>
      </c>
      <c r="S157">
        <f>VLOOKUP($A157&amp;S$1,Data!$A$2:$D$3723,4,FALSE)</f>
        <v>0.312</v>
      </c>
      <c r="T157">
        <f>VLOOKUP($A157&amp;T$1,Data!$A$2:$D$3723,4,FALSE)</f>
        <v>0.22600000000000001</v>
      </c>
      <c r="U157">
        <f>VLOOKUP($A157&amp;U$1,Data!$A$2:$D$3723,4,FALSE)</f>
        <v>0.15955</v>
      </c>
      <c r="V157">
        <f>VLOOKUP($A157&amp;V$1,Data!$A$2:$D$3723,4,FALSE)</f>
        <v>0.33</v>
      </c>
      <c r="W157">
        <f>VLOOKUP($A157&amp;W$1,Data!$A$2:$D$3723,4,FALSE)</f>
        <v>0.67</v>
      </c>
      <c r="X157">
        <f>VLOOKUP($A157&amp;X$1,Data!$A$2:$D$3723,4,FALSE)</f>
        <v>0.84</v>
      </c>
      <c r="Y157">
        <f>VLOOKUP($A157&amp;Y$1,Data!$A$2:$D$3723,4,FALSE)</f>
        <v>0.35399999999999998</v>
      </c>
      <c r="Z157">
        <f>VLOOKUP($A157&amp;Z$1,Data!$A$2:$D$3723,4,FALSE)</f>
        <v>-1.0369999999999999</v>
      </c>
      <c r="AA157">
        <f>VLOOKUP($A157&amp;AA$1,Data!$A$2:$D$3723,4,FALSE)</f>
        <v>0.42299999999999999</v>
      </c>
      <c r="AB157">
        <f>VLOOKUP($A157&amp;AB$1,Data!$A$2:$D$3723,4,FALSE)</f>
        <v>0.17899999999999999</v>
      </c>
      <c r="AC157">
        <f>VLOOKUP($A157&amp;AC$1,Data!$A$2:$D$3723,4,FALSE)</f>
        <v>0.51</v>
      </c>
      <c r="AD157">
        <f>VLOOKUP($A157&amp;AD$1,Data!$A$2:$D$3723,4,FALSE)</f>
        <v>0.439</v>
      </c>
      <c r="AE157">
        <f>VLOOKUP($A157&amp;AE$1,Data!$A$2:$D$3723,4,FALSE)</f>
        <v>-0.27700000000000002</v>
      </c>
      <c r="AF157">
        <f>VLOOKUP($A157&amp;AF$1,Data!$A$2:$D$3723,4,FALSE)</f>
        <v>0</v>
      </c>
      <c r="AG157">
        <f>VLOOKUP($A157&amp;AG$1,Data!$A$2:$D$3723,4,FALSE)</f>
        <v>8600000</v>
      </c>
    </row>
    <row r="158" spans="1:33" hidden="1" x14ac:dyDescent="0.35">
      <c r="A158" s="13">
        <f t="shared" si="8"/>
        <v>157</v>
      </c>
      <c r="B158" t="s">
        <v>20</v>
      </c>
      <c r="C158" t="s">
        <v>2</v>
      </c>
      <c r="D158">
        <v>100</v>
      </c>
      <c r="E158" t="s">
        <v>17</v>
      </c>
      <c r="F158" s="5">
        <v>43831</v>
      </c>
      <c r="G158" s="5">
        <v>44562</v>
      </c>
      <c r="H158">
        <v>14</v>
      </c>
      <c r="I158">
        <v>9</v>
      </c>
      <c r="J158">
        <f t="shared" si="9"/>
        <v>28</v>
      </c>
      <c r="K158">
        <f t="shared" si="10"/>
        <v>72</v>
      </c>
      <c r="L158">
        <v>1000000</v>
      </c>
      <c r="M158">
        <f>VLOOKUP($A158&amp;M$1,Data!$A$2:$D$3723,4,FALSE)</f>
        <v>2.5930000000000002E-2</v>
      </c>
      <c r="N158">
        <f>VLOOKUP($A158&amp;N$1,Data!$A$2:$D$3723,4,FALSE)</f>
        <v>-0.95599999999999996</v>
      </c>
      <c r="O158">
        <f>VLOOKUP($A158&amp;O$1,Data!$A$2:$D$3723,4,FALSE)</f>
        <v>164</v>
      </c>
      <c r="P158">
        <f>VLOOKUP($A158&amp;P$1,Data!$A$2:$D$3723,4,FALSE)</f>
        <v>2.9999999999999997E-4</v>
      </c>
      <c r="Q158">
        <f>VLOOKUP($A158&amp;Q$1,Data!$A$2:$D$3723,4,FALSE)</f>
        <v>-2.3999999999999998E-3</v>
      </c>
      <c r="R158">
        <f>VLOOKUP($A158&amp;R$1,Data!$A$2:$D$3723,4,FALSE)</f>
        <v>-1.5559999999999999E-2</v>
      </c>
      <c r="S158">
        <f>VLOOKUP($A158&amp;S$1,Data!$A$2:$D$3723,4,FALSE)</f>
        <v>1.2E-2</v>
      </c>
      <c r="T158">
        <f>VLOOKUP($A158&amp;T$1,Data!$A$2:$D$3723,4,FALSE)</f>
        <v>-0.77900000000000003</v>
      </c>
      <c r="U158">
        <f>VLOOKUP($A158&amp;U$1,Data!$A$2:$D$3723,4,FALSE)</f>
        <v>-1.009E-2</v>
      </c>
      <c r="V158">
        <f>VLOOKUP($A158&amp;V$1,Data!$A$2:$D$3723,4,FALSE)</f>
        <v>0.8</v>
      </c>
      <c r="W158">
        <f>VLOOKUP($A158&amp;W$1,Data!$A$2:$D$3723,4,FALSE)</f>
        <v>0.2</v>
      </c>
      <c r="X158">
        <f>VLOOKUP($A158&amp;X$1,Data!$A$2:$D$3723,4,FALSE)</f>
        <v>0.11</v>
      </c>
      <c r="Y158">
        <f>VLOOKUP($A158&amp;Y$1,Data!$A$2:$D$3723,4,FALSE)</f>
        <v>-5.0000000000000001E-3</v>
      </c>
      <c r="Z158">
        <f>VLOOKUP($A158&amp;Z$1,Data!$A$2:$D$3723,4,FALSE)</f>
        <v>-8.8999999999999996E-2</v>
      </c>
      <c r="AA158">
        <f>VLOOKUP($A158&amp;AA$1,Data!$A$2:$D$3723,4,FALSE)</f>
        <v>1.0999999999999999E-2</v>
      </c>
      <c r="AB158">
        <f>VLOOKUP($A158&amp;AB$1,Data!$A$2:$D$3723,4,FALSE)</f>
        <v>0</v>
      </c>
      <c r="AC158">
        <f>VLOOKUP($A158&amp;AC$1,Data!$A$2:$D$3723,4,FALSE)</f>
        <v>-1.0149999999999999</v>
      </c>
      <c r="AD158">
        <f>VLOOKUP($A158&amp;AD$1,Data!$A$2:$D$3723,4,FALSE)</f>
        <v>7.2999999999999995E-2</v>
      </c>
      <c r="AE158">
        <f>VLOOKUP($A158&amp;AE$1,Data!$A$2:$D$3723,4,FALSE)</f>
        <v>0.121</v>
      </c>
      <c r="AF158">
        <f>VLOOKUP($A158&amp;AF$1,Data!$A$2:$D$3723,4,FALSE)</f>
        <v>0</v>
      </c>
      <c r="AG158">
        <f>VLOOKUP($A158&amp;AG$1,Data!$A$2:$D$3723,4,FALSE)</f>
        <v>540000000</v>
      </c>
    </row>
    <row r="159" spans="1:33" hidden="1" x14ac:dyDescent="0.35">
      <c r="A159" s="13">
        <f t="shared" si="8"/>
        <v>158</v>
      </c>
      <c r="B159" t="s">
        <v>20</v>
      </c>
      <c r="C159" t="s">
        <v>2</v>
      </c>
      <c r="D159">
        <v>1000</v>
      </c>
      <c r="E159" t="s">
        <v>17</v>
      </c>
      <c r="F159" s="5">
        <v>43831</v>
      </c>
      <c r="G159" s="5">
        <v>44562</v>
      </c>
      <c r="H159">
        <v>14</v>
      </c>
      <c r="I159">
        <v>9</v>
      </c>
      <c r="J159">
        <f t="shared" si="9"/>
        <v>28</v>
      </c>
      <c r="K159">
        <f t="shared" si="10"/>
        <v>72</v>
      </c>
      <c r="L159">
        <v>1000000</v>
      </c>
      <c r="M159">
        <f>VLOOKUP($A159&amp;M$1,Data!$A$2:$D$3723,4,FALSE)</f>
        <v>3.0179999999999998E-2</v>
      </c>
      <c r="N159">
        <f>VLOOKUP($A159&amp;N$1,Data!$A$2:$D$3723,4,FALSE)</f>
        <v>-0.85799999999999998</v>
      </c>
      <c r="O159">
        <f>VLOOKUP($A159&amp;O$1,Data!$A$2:$D$3723,4,FALSE)</f>
        <v>164</v>
      </c>
      <c r="P159">
        <f>VLOOKUP($A159&amp;P$1,Data!$A$2:$D$3723,4,FALSE)</f>
        <v>2.5999999999999999E-3</v>
      </c>
      <c r="Q159">
        <f>VLOOKUP($A159&amp;Q$1,Data!$A$2:$D$3723,4,FALSE)</f>
        <v>-2.46E-2</v>
      </c>
      <c r="R159">
        <f>VLOOKUP($A159&amp;R$1,Data!$A$2:$D$3723,4,FALSE)</f>
        <v>-0.15165999999999999</v>
      </c>
      <c r="S159">
        <f>VLOOKUP($A159&amp;S$1,Data!$A$2:$D$3723,4,FALSE)</f>
        <v>0.12</v>
      </c>
      <c r="T159">
        <f>VLOOKUP($A159&amp;T$1,Data!$A$2:$D$3723,4,FALSE)</f>
        <v>-0.77900000000000003</v>
      </c>
      <c r="U159">
        <f>VLOOKUP($A159&amp;U$1,Data!$A$2:$D$3723,4,FALSE)</f>
        <v>-0.10087</v>
      </c>
      <c r="V159">
        <f>VLOOKUP($A159&amp;V$1,Data!$A$2:$D$3723,4,FALSE)</f>
        <v>0.8</v>
      </c>
      <c r="W159">
        <f>VLOOKUP($A159&amp;W$1,Data!$A$2:$D$3723,4,FALSE)</f>
        <v>0.2</v>
      </c>
      <c r="X159">
        <f>VLOOKUP($A159&amp;X$1,Data!$A$2:$D$3723,4,FALSE)</f>
        <v>0.11</v>
      </c>
      <c r="Y159">
        <f>VLOOKUP($A159&amp;Y$1,Data!$A$2:$D$3723,4,FALSE)</f>
        <v>-4.1000000000000002E-2</v>
      </c>
      <c r="Z159">
        <f>VLOOKUP($A159&amp;Z$1,Data!$A$2:$D$3723,4,FALSE)</f>
        <v>-0.94399999999999995</v>
      </c>
      <c r="AA159">
        <f>VLOOKUP($A159&amp;AA$1,Data!$A$2:$D$3723,4,FALSE)</f>
        <v>0.11799999999999999</v>
      </c>
      <c r="AB159">
        <f>VLOOKUP($A159&amp;AB$1,Data!$A$2:$D$3723,4,FALSE)</f>
        <v>1.4E-2</v>
      </c>
      <c r="AC159">
        <f>VLOOKUP($A159&amp;AC$1,Data!$A$2:$D$3723,4,FALSE)</f>
        <v>-1.008</v>
      </c>
      <c r="AD159">
        <f>VLOOKUP($A159&amp;AD$1,Data!$A$2:$D$3723,4,FALSE)</f>
        <v>0.16400000000000001</v>
      </c>
      <c r="AE159">
        <f>VLOOKUP($A159&amp;AE$1,Data!$A$2:$D$3723,4,FALSE)</f>
        <v>0.107</v>
      </c>
      <c r="AF159">
        <f>VLOOKUP($A159&amp;AF$1,Data!$A$2:$D$3723,4,FALSE)</f>
        <v>0</v>
      </c>
      <c r="AG159">
        <f>VLOOKUP($A159&amp;AG$1,Data!$A$2:$D$3723,4,FALSE)</f>
        <v>50000000</v>
      </c>
    </row>
    <row r="160" spans="1:33" hidden="1" x14ac:dyDescent="0.35">
      <c r="A160" s="13">
        <f t="shared" si="8"/>
        <v>159</v>
      </c>
      <c r="B160" t="s">
        <v>20</v>
      </c>
      <c r="C160" t="s">
        <v>2</v>
      </c>
      <c r="D160">
        <v>5000</v>
      </c>
      <c r="E160" t="s">
        <v>17</v>
      </c>
      <c r="F160" s="5">
        <v>43831</v>
      </c>
      <c r="G160" s="5">
        <v>44562</v>
      </c>
      <c r="H160">
        <v>14</v>
      </c>
      <c r="I160">
        <v>9</v>
      </c>
      <c r="J160">
        <f t="shared" si="9"/>
        <v>28</v>
      </c>
      <c r="K160">
        <f t="shared" si="10"/>
        <v>72</v>
      </c>
      <c r="L160">
        <v>1000000</v>
      </c>
      <c r="M160">
        <f>VLOOKUP($A160&amp;M$1,Data!$A$2:$D$3723,4,FALSE)</f>
        <v>7.3630000000000001E-2</v>
      </c>
      <c r="N160">
        <f>VLOOKUP($A160&amp;N$1,Data!$A$2:$D$3723,4,FALSE)</f>
        <v>-0.41399999999999998</v>
      </c>
      <c r="O160">
        <f>VLOOKUP($A160&amp;O$1,Data!$A$2:$D$3723,4,FALSE)</f>
        <v>162</v>
      </c>
      <c r="P160">
        <f>VLOOKUP($A160&amp;P$1,Data!$A$2:$D$3723,4,FALSE)</f>
        <v>1.47E-2</v>
      </c>
      <c r="Q160">
        <f>VLOOKUP($A160&amp;Q$1,Data!$A$2:$D$3723,4,FALSE)</f>
        <v>-0.14199999999999999</v>
      </c>
      <c r="R160">
        <f>VLOOKUP($A160&amp;R$1,Data!$A$2:$D$3723,4,FALSE)</f>
        <v>-0.64961999999999998</v>
      </c>
      <c r="S160">
        <f>VLOOKUP($A160&amp;S$1,Data!$A$2:$D$3723,4,FALSE)</f>
        <v>0.57099999999999995</v>
      </c>
      <c r="T160">
        <f>VLOOKUP($A160&amp;T$1,Data!$A$2:$D$3723,4,FALSE)</f>
        <v>-0.77900000000000003</v>
      </c>
      <c r="U160">
        <f>VLOOKUP($A160&amp;U$1,Data!$A$2:$D$3723,4,FALSE)</f>
        <v>-0.49235000000000001</v>
      </c>
      <c r="V160">
        <f>VLOOKUP($A160&amp;V$1,Data!$A$2:$D$3723,4,FALSE)</f>
        <v>0.8</v>
      </c>
      <c r="W160">
        <f>VLOOKUP($A160&amp;W$1,Data!$A$2:$D$3723,4,FALSE)</f>
        <v>0.2</v>
      </c>
      <c r="X160">
        <f>VLOOKUP($A160&amp;X$1,Data!$A$2:$D$3723,4,FALSE)</f>
        <v>0.1</v>
      </c>
      <c r="Y160">
        <f>VLOOKUP($A160&amp;Y$1,Data!$A$2:$D$3723,4,FALSE)</f>
        <v>8.5000000000000006E-2</v>
      </c>
      <c r="Z160">
        <f>VLOOKUP($A160&amp;Z$1,Data!$A$2:$D$3723,4,FALSE)</f>
        <v>-6.5289999999999999</v>
      </c>
      <c r="AA160">
        <f>VLOOKUP($A160&amp;AA$1,Data!$A$2:$D$3723,4,FALSE)</f>
        <v>0.79800000000000004</v>
      </c>
      <c r="AB160">
        <f>VLOOKUP($A160&amp;AB$1,Data!$A$2:$D$3723,4,FALSE)</f>
        <v>0.63700000000000001</v>
      </c>
      <c r="AC160">
        <f>VLOOKUP($A160&amp;AC$1,Data!$A$2:$D$3723,4,FALSE)</f>
        <v>-0.47099999999999997</v>
      </c>
      <c r="AD160">
        <f>VLOOKUP($A160&amp;AD$1,Data!$A$2:$D$3723,4,FALSE)</f>
        <v>0.83699999999999997</v>
      </c>
      <c r="AE160">
        <f>VLOOKUP($A160&amp;AE$1,Data!$A$2:$D$3723,4,FALSE)</f>
        <v>5.0999999999999997E-2</v>
      </c>
      <c r="AF160">
        <f>VLOOKUP($A160&amp;AF$1,Data!$A$2:$D$3723,4,FALSE)</f>
        <v>0</v>
      </c>
      <c r="AG160">
        <f>VLOOKUP($A160&amp;AG$1,Data!$A$2:$D$3723,4,FALSE)</f>
        <v>6900000</v>
      </c>
    </row>
    <row r="161" spans="1:33" hidden="1" x14ac:dyDescent="0.35">
      <c r="A161" s="13">
        <f>A160+1</f>
        <v>160</v>
      </c>
      <c r="B161" t="s">
        <v>20</v>
      </c>
      <c r="C161" t="s">
        <v>22</v>
      </c>
      <c r="D161">
        <v>100</v>
      </c>
      <c r="E161" t="s">
        <v>17</v>
      </c>
      <c r="F161" s="5">
        <v>43831</v>
      </c>
      <c r="G161" s="5">
        <v>44562</v>
      </c>
      <c r="H161">
        <v>14</v>
      </c>
      <c r="I161">
        <v>9</v>
      </c>
      <c r="J161">
        <f t="shared" si="9"/>
        <v>28</v>
      </c>
      <c r="K161">
        <f t="shared" si="10"/>
        <v>72</v>
      </c>
      <c r="L161">
        <v>1000000</v>
      </c>
      <c r="M161">
        <f>VLOOKUP($A161&amp;M$1,Data!$A$2:$D$3723,4,FALSE)</f>
        <v>0.1074</v>
      </c>
      <c r="N161">
        <f>VLOOKUP($A161&amp;N$1,Data!$A$2:$D$3723,4,FALSE)</f>
        <v>-0.26400000000000001</v>
      </c>
      <c r="O161">
        <f>VLOOKUP($A161&amp;O$1,Data!$A$2:$D$3723,4,FALSE)</f>
        <v>127</v>
      </c>
      <c r="P161">
        <f>VLOOKUP($A161&amp;P$1,Data!$A$2:$D$3723,4,FALSE)</f>
        <v>6.9999999999999999E-4</v>
      </c>
      <c r="Q161">
        <f>VLOOKUP($A161&amp;Q$1,Data!$A$2:$D$3723,4,FALSE)</f>
        <v>-4.1000000000000003E-3</v>
      </c>
      <c r="R161">
        <f>VLOOKUP($A161&amp;R$1,Data!$A$2:$D$3723,4,FALSE)</f>
        <v>-3.65E-3</v>
      </c>
      <c r="S161">
        <f>VLOOKUP($A161&amp;S$1,Data!$A$2:$D$3723,4,FALSE)</f>
        <v>8.0000000000000002E-3</v>
      </c>
      <c r="T161">
        <f>VLOOKUP($A161&amp;T$1,Data!$A$2:$D$3723,4,FALSE)</f>
        <v>-0.129</v>
      </c>
      <c r="U161">
        <f>VLOOKUP($A161&amp;U$1,Data!$A$2:$D$3723,4,FALSE)</f>
        <v>-2.3600000000000001E-3</v>
      </c>
      <c r="V161">
        <f>VLOOKUP($A161&amp;V$1,Data!$A$2:$D$3723,4,FALSE)</f>
        <v>0.25</v>
      </c>
      <c r="W161">
        <f>VLOOKUP($A161&amp;W$1,Data!$A$2:$D$3723,4,FALSE)</f>
        <v>0.75</v>
      </c>
      <c r="X161">
        <f>VLOOKUP($A161&amp;X$1,Data!$A$2:$D$3723,4,FALSE)</f>
        <v>0.16</v>
      </c>
      <c r="Y161">
        <f>VLOOKUP($A161&amp;Y$1,Data!$A$2:$D$3723,4,FALSE)</f>
        <v>1E-3</v>
      </c>
      <c r="Z161">
        <f>VLOOKUP($A161&amp;Z$1,Data!$A$2:$D$3723,4,FALSE)</f>
        <v>-4.9000000000000002E-2</v>
      </c>
      <c r="AA161">
        <f>VLOOKUP($A161&amp;AA$1,Data!$A$2:$D$3723,4,FALSE)</f>
        <v>8.9999999999999993E-3</v>
      </c>
      <c r="AB161">
        <f>VLOOKUP($A161&amp;AB$1,Data!$A$2:$D$3723,4,FALSE)</f>
        <v>0</v>
      </c>
      <c r="AC161">
        <f>VLOOKUP($A161&amp;AC$1,Data!$A$2:$D$3723,4,FALSE)</f>
        <v>-0.93799999999999994</v>
      </c>
      <c r="AD161">
        <f>VLOOKUP($A161&amp;AD$1,Data!$A$2:$D$3723,4,FALSE)</f>
        <v>7.0999999999999994E-2</v>
      </c>
      <c r="AE161">
        <f>VLOOKUP($A161&amp;AE$1,Data!$A$2:$D$3723,4,FALSE)</f>
        <v>5.0999999999999997E-2</v>
      </c>
      <c r="AF161">
        <f>VLOOKUP($A161&amp;AF$1,Data!$A$2:$D$3723,4,FALSE)</f>
        <v>0</v>
      </c>
      <c r="AG161">
        <f>VLOOKUP($A161&amp;AG$1,Data!$A$2:$D$3723,4,FALSE)</f>
        <v>3700000000</v>
      </c>
    </row>
    <row r="162" spans="1:33" hidden="1" x14ac:dyDescent="0.35">
      <c r="A162" s="13">
        <f>A161+1</f>
        <v>161</v>
      </c>
      <c r="B162" t="s">
        <v>20</v>
      </c>
      <c r="C162" t="s">
        <v>22</v>
      </c>
      <c r="D162">
        <v>1000</v>
      </c>
      <c r="E162" t="s">
        <v>17</v>
      </c>
      <c r="F162" s="5">
        <v>43831</v>
      </c>
      <c r="G162" s="5">
        <v>44562</v>
      </c>
      <c r="H162">
        <v>14</v>
      </c>
      <c r="I162">
        <v>9</v>
      </c>
      <c r="J162">
        <f t="shared" si="9"/>
        <v>28</v>
      </c>
      <c r="K162">
        <f t="shared" si="10"/>
        <v>72</v>
      </c>
      <c r="L162">
        <v>1000000</v>
      </c>
      <c r="M162">
        <f>VLOOKUP($A162&amp;M$1,Data!$A$2:$D$3723,4,FALSE)</f>
        <v>0.11582000000000001</v>
      </c>
      <c r="N162">
        <f>VLOOKUP($A162&amp;N$1,Data!$A$2:$D$3723,4,FALSE)</f>
        <v>-0.222</v>
      </c>
      <c r="O162">
        <f>VLOOKUP($A162&amp;O$1,Data!$A$2:$D$3723,4,FALSE)</f>
        <v>127</v>
      </c>
      <c r="P162">
        <f>VLOOKUP($A162&amp;P$1,Data!$A$2:$D$3723,4,FALSE)</f>
        <v>6.7000000000000002E-3</v>
      </c>
      <c r="Q162">
        <f>VLOOKUP($A162&amp;Q$1,Data!$A$2:$D$3723,4,FALSE)</f>
        <v>-4.0599999999999997E-2</v>
      </c>
      <c r="R162">
        <f>VLOOKUP($A162&amp;R$1,Data!$A$2:$D$3723,4,FALSE)</f>
        <v>-3.6249999999999998E-2</v>
      </c>
      <c r="S162">
        <f>VLOOKUP($A162&amp;S$1,Data!$A$2:$D$3723,4,FALSE)</f>
        <v>7.8E-2</v>
      </c>
      <c r="T162">
        <f>VLOOKUP($A162&amp;T$1,Data!$A$2:$D$3723,4,FALSE)</f>
        <v>-0.126</v>
      </c>
      <c r="U162">
        <f>VLOOKUP($A162&amp;U$1,Data!$A$2:$D$3723,4,FALSE)</f>
        <v>-2.359E-2</v>
      </c>
      <c r="V162">
        <f>VLOOKUP($A162&amp;V$1,Data!$A$2:$D$3723,4,FALSE)</f>
        <v>0.25</v>
      </c>
      <c r="W162">
        <f>VLOOKUP($A162&amp;W$1,Data!$A$2:$D$3723,4,FALSE)</f>
        <v>0.75</v>
      </c>
      <c r="X162">
        <f>VLOOKUP($A162&amp;X$1,Data!$A$2:$D$3723,4,FALSE)</f>
        <v>0.17</v>
      </c>
      <c r="Y162">
        <f>VLOOKUP($A162&amp;Y$1,Data!$A$2:$D$3723,4,FALSE)</f>
        <v>1.0999999999999999E-2</v>
      </c>
      <c r="Z162">
        <f>VLOOKUP($A162&amp;Z$1,Data!$A$2:$D$3723,4,FALSE)</f>
        <v>-0.496</v>
      </c>
      <c r="AA162">
        <f>VLOOKUP($A162&amp;AA$1,Data!$A$2:$D$3723,4,FALSE)</f>
        <v>9.4E-2</v>
      </c>
      <c r="AB162">
        <f>VLOOKUP($A162&amp;AB$1,Data!$A$2:$D$3723,4,FALSE)</f>
        <v>8.9999999999999993E-3</v>
      </c>
      <c r="AC162">
        <f>VLOOKUP($A162&amp;AC$1,Data!$A$2:$D$3723,4,FALSE)</f>
        <v>-0.63500000000000001</v>
      </c>
      <c r="AD162">
        <f>VLOOKUP($A162&amp;AD$1,Data!$A$2:$D$3723,4,FALSE)</f>
        <v>0.13300000000000001</v>
      </c>
      <c r="AE162">
        <f>VLOOKUP($A162&amp;AE$1,Data!$A$2:$D$3723,4,FALSE)</f>
        <v>4.2000000000000003E-2</v>
      </c>
      <c r="AF162">
        <f>VLOOKUP($A162&amp;AF$1,Data!$A$2:$D$3723,4,FALSE)</f>
        <v>0</v>
      </c>
      <c r="AG162">
        <f>VLOOKUP($A162&amp;AG$1,Data!$A$2:$D$3723,4,FALSE)</f>
        <v>370000000</v>
      </c>
    </row>
    <row r="163" spans="1:33" hidden="1" x14ac:dyDescent="0.35">
      <c r="A163" s="13">
        <f>A162+1</f>
        <v>162</v>
      </c>
      <c r="B163" t="s">
        <v>20</v>
      </c>
      <c r="C163" t="s">
        <v>22</v>
      </c>
      <c r="D163">
        <v>5000</v>
      </c>
      <c r="E163" t="s">
        <v>17</v>
      </c>
      <c r="F163" s="5">
        <v>43831</v>
      </c>
      <c r="G163" s="5">
        <v>44562</v>
      </c>
      <c r="H163">
        <v>14</v>
      </c>
      <c r="I163">
        <v>9</v>
      </c>
      <c r="J163">
        <f>J190</f>
        <v>28</v>
      </c>
      <c r="K163">
        <f>K190</f>
        <v>72</v>
      </c>
      <c r="L163">
        <v>1000000</v>
      </c>
      <c r="M163">
        <f>VLOOKUP($A163&amp;M$1,Data!$A$2:$D$3723,4,FALSE)</f>
        <v>0.15939999999999999</v>
      </c>
      <c r="N163">
        <f>VLOOKUP($A163&amp;N$1,Data!$A$2:$D$3723,4,FALSE)</f>
        <v>-3.3000000000000002E-2</v>
      </c>
      <c r="O163">
        <f>VLOOKUP($A163&amp;O$1,Data!$A$2:$D$3723,4,FALSE)</f>
        <v>127</v>
      </c>
      <c r="P163">
        <f>VLOOKUP($A163&amp;P$1,Data!$A$2:$D$3723,4,FALSE)</f>
        <v>3.6499999999999998E-2</v>
      </c>
      <c r="Q163">
        <f>VLOOKUP($A163&amp;Q$1,Data!$A$2:$D$3723,4,FALSE)</f>
        <v>-0.19650000000000001</v>
      </c>
      <c r="R163">
        <f>VLOOKUP($A163&amp;R$1,Data!$A$2:$D$3723,4,FALSE)</f>
        <v>-0.17645</v>
      </c>
      <c r="S163">
        <f>VLOOKUP($A163&amp;S$1,Data!$A$2:$D$3723,4,FALSE)</f>
        <v>0.33800000000000002</v>
      </c>
      <c r="T163">
        <f>VLOOKUP($A163&amp;T$1,Data!$A$2:$D$3723,4,FALSE)</f>
        <v>-0.111</v>
      </c>
      <c r="U163">
        <f>VLOOKUP($A163&amp;U$1,Data!$A$2:$D$3723,4,FALSE)</f>
        <v>-0.11794</v>
      </c>
      <c r="V163">
        <f>VLOOKUP($A163&amp;V$1,Data!$A$2:$D$3723,4,FALSE)</f>
        <v>0.25</v>
      </c>
      <c r="W163">
        <f>VLOOKUP($A163&amp;W$1,Data!$A$2:$D$3723,4,FALSE)</f>
        <v>0.75</v>
      </c>
      <c r="X163">
        <f>VLOOKUP($A163&amp;X$1,Data!$A$2:$D$3723,4,FALSE)</f>
        <v>0.19</v>
      </c>
      <c r="Y163">
        <f>VLOOKUP($A163&amp;Y$1,Data!$A$2:$D$3723,4,FALSE)</f>
        <v>0.15</v>
      </c>
      <c r="Z163">
        <f>VLOOKUP($A163&amp;Z$1,Data!$A$2:$D$3723,4,FALSE)</f>
        <v>-2.5979999999999999</v>
      </c>
      <c r="AA163">
        <f>VLOOKUP($A163&amp;AA$1,Data!$A$2:$D$3723,4,FALSE)</f>
        <v>0.48</v>
      </c>
      <c r="AB163">
        <f>VLOOKUP($A163&amp;AB$1,Data!$A$2:$D$3723,4,FALSE)</f>
        <v>0.23</v>
      </c>
      <c r="AC163">
        <f>VLOOKUP($A163&amp;AC$1,Data!$A$2:$D$3723,4,FALSE)</f>
        <v>-0.157</v>
      </c>
      <c r="AD163">
        <f>VLOOKUP($A163&amp;AD$1,Data!$A$2:$D$3723,4,FALSE)</f>
        <v>0.50700000000000001</v>
      </c>
      <c r="AE163">
        <f>VLOOKUP($A163&amp;AE$1,Data!$A$2:$D$3723,4,FALSE)</f>
        <v>6.0000000000000001E-3</v>
      </c>
      <c r="AF163">
        <f>VLOOKUP($A163&amp;AF$1,Data!$A$2:$D$3723,4,FALSE)</f>
        <v>0</v>
      </c>
      <c r="AG163">
        <f>VLOOKUP($A163&amp;AG$1,Data!$A$2:$D$3723,4,FALSE)</f>
        <v>67000000</v>
      </c>
    </row>
    <row r="164" spans="1:33" hidden="1" x14ac:dyDescent="0.35">
      <c r="A164" s="13">
        <f t="shared" si="8"/>
        <v>163</v>
      </c>
      <c r="B164" t="s">
        <v>21</v>
      </c>
      <c r="C164" t="s">
        <v>3</v>
      </c>
      <c r="D164">
        <v>100</v>
      </c>
      <c r="E164" t="s">
        <v>17</v>
      </c>
      <c r="F164" s="5">
        <v>43831</v>
      </c>
      <c r="G164" s="5">
        <v>44562</v>
      </c>
      <c r="H164">
        <v>14</v>
      </c>
      <c r="I164">
        <v>9</v>
      </c>
      <c r="J164">
        <v>30</v>
      </c>
      <c r="K164">
        <v>70</v>
      </c>
      <c r="L164">
        <v>1000000</v>
      </c>
      <c r="M164">
        <f>VLOOKUP($A164&amp;M$1,Data!$A$2:$D$3723,4,FALSE)</f>
        <v>0.66979</v>
      </c>
      <c r="N164">
        <f>VLOOKUP($A164&amp;N$1,Data!$A$2:$D$3723,4,FALSE)</f>
        <v>1.4079999999999999</v>
      </c>
      <c r="O164">
        <f>VLOOKUP($A164&amp;O$1,Data!$A$2:$D$3723,4,FALSE)</f>
        <v>1016</v>
      </c>
      <c r="P164">
        <f>VLOOKUP($A164&amp;P$1,Data!$A$2:$D$3723,4,FALSE)</f>
        <v>1.6999999999999999E-3</v>
      </c>
      <c r="Q164">
        <f>VLOOKUP($A164&amp;Q$1,Data!$A$2:$D$3723,4,FALSE)</f>
        <v>-8.9999999999999998E-4</v>
      </c>
      <c r="R164">
        <f>VLOOKUP($A164&amp;R$1,Data!$A$2:$D$3723,4,FALSE)</f>
        <v>2.0559999999999998E-2</v>
      </c>
      <c r="S164">
        <f>VLOOKUP($A164&amp;S$1,Data!$A$2:$D$3723,4,FALSE)</f>
        <v>6.0000000000000001E-3</v>
      </c>
      <c r="T164">
        <f>VLOOKUP($A164&amp;T$1,Data!$A$2:$D$3723,4,FALSE)</f>
        <v>0.42</v>
      </c>
      <c r="U164">
        <f>VLOOKUP($A164&amp;U$1,Data!$A$2:$D$3723,4,FALSE)</f>
        <v>1.324E-2</v>
      </c>
      <c r="V164">
        <f>VLOOKUP($A164&amp;V$1,Data!$A$2:$D$3723,4,FALSE)</f>
        <v>0.48</v>
      </c>
      <c r="W164">
        <f>VLOOKUP($A164&amp;W$1,Data!$A$2:$D$3723,4,FALSE)</f>
        <v>0.52</v>
      </c>
      <c r="X164">
        <f>VLOOKUP($A164&amp;X$1,Data!$A$2:$D$3723,4,FALSE)</f>
        <v>1.76</v>
      </c>
      <c r="Y164">
        <f>VLOOKUP($A164&amp;Y$1,Data!$A$2:$D$3723,4,FALSE)</f>
        <v>1.6E-2</v>
      </c>
      <c r="Z164">
        <f>VLOOKUP($A164&amp;Z$1,Data!$A$2:$D$3723,4,FALSE)</f>
        <v>-0.02</v>
      </c>
      <c r="AA164">
        <f>VLOOKUP($A164&amp;AA$1,Data!$A$2:$D$3723,4,FALSE)</f>
        <v>0.01</v>
      </c>
      <c r="AB164">
        <f>VLOOKUP($A164&amp;AB$1,Data!$A$2:$D$3723,4,FALSE)</f>
        <v>0</v>
      </c>
      <c r="AC164">
        <f>VLOOKUP($A164&amp;AC$1,Data!$A$2:$D$3723,4,FALSE)</f>
        <v>-0.71799999999999997</v>
      </c>
      <c r="AD164">
        <f>VLOOKUP($A164&amp;AD$1,Data!$A$2:$D$3723,4,FALSE)</f>
        <v>6.9000000000000006E-2</v>
      </c>
      <c r="AE164">
        <f>VLOOKUP($A164&amp;AE$1,Data!$A$2:$D$3723,4,FALSE)</f>
        <v>-0.71499999999999997</v>
      </c>
      <c r="AF164">
        <f>VLOOKUP($A164&amp;AF$1,Data!$A$2:$D$3723,4,FALSE)</f>
        <v>0</v>
      </c>
      <c r="AG164">
        <f>VLOOKUP($A164&amp;AG$1,Data!$A$2:$D$3723,4,FALSE)</f>
        <v>56000000</v>
      </c>
    </row>
    <row r="165" spans="1:33" hidden="1" x14ac:dyDescent="0.35">
      <c r="A165" s="13">
        <f t="shared" si="8"/>
        <v>164</v>
      </c>
      <c r="B165" t="s">
        <v>21</v>
      </c>
      <c r="C165" t="s">
        <v>3</v>
      </c>
      <c r="D165">
        <v>1000</v>
      </c>
      <c r="E165" t="s">
        <v>17</v>
      </c>
      <c r="F165" s="5">
        <v>43831</v>
      </c>
      <c r="G165" s="5">
        <v>44562</v>
      </c>
      <c r="H165">
        <v>14</v>
      </c>
      <c r="I165">
        <v>9</v>
      </c>
      <c r="J165">
        <v>30</v>
      </c>
      <c r="K165">
        <v>70</v>
      </c>
      <c r="L165">
        <v>1000000</v>
      </c>
      <c r="M165">
        <f>VLOOKUP($A165&amp;M$1,Data!$A$2:$D$3723,4,FALSE)</f>
        <v>0.55000000000000004</v>
      </c>
      <c r="N165">
        <f>VLOOKUP($A165&amp;N$1,Data!$A$2:$D$3723,4,FALSE)</f>
        <v>1.5469999999999999</v>
      </c>
      <c r="O165">
        <f>VLOOKUP($A165&amp;O$1,Data!$A$2:$D$3723,4,FALSE)</f>
        <v>1016</v>
      </c>
      <c r="P165">
        <f>VLOOKUP($A165&amp;P$1,Data!$A$2:$D$3723,4,FALSE)</f>
        <v>1.5800000000000002E-2</v>
      </c>
      <c r="Q165">
        <f>VLOOKUP($A165&amp;Q$1,Data!$A$2:$D$3723,4,FALSE)</f>
        <v>-8.8000000000000005E-3</v>
      </c>
      <c r="R165">
        <f>VLOOKUP($A165&amp;R$1,Data!$A$2:$D$3723,4,FALSE)</f>
        <v>0.21215999999999999</v>
      </c>
      <c r="S165">
        <f>VLOOKUP($A165&amp;S$1,Data!$A$2:$D$3723,4,FALSE)</f>
        <v>5.3999999999999999E-2</v>
      </c>
      <c r="T165">
        <f>VLOOKUP($A165&amp;T$1,Data!$A$2:$D$3723,4,FALSE)</f>
        <v>0.443</v>
      </c>
      <c r="U165">
        <f>VLOOKUP($A165&amp;U$1,Data!$A$2:$D$3723,4,FALSE)</f>
        <v>0.13245000000000001</v>
      </c>
      <c r="V165">
        <f>VLOOKUP($A165&amp;V$1,Data!$A$2:$D$3723,4,FALSE)</f>
        <v>0.48</v>
      </c>
      <c r="W165">
        <f>VLOOKUP($A165&amp;W$1,Data!$A$2:$D$3723,4,FALSE)</f>
        <v>0.52</v>
      </c>
      <c r="X165">
        <f>VLOOKUP($A165&amp;X$1,Data!$A$2:$D$3723,4,FALSE)</f>
        <v>1.8</v>
      </c>
      <c r="Y165">
        <f>VLOOKUP($A165&amp;Y$1,Data!$A$2:$D$3723,4,FALSE)</f>
        <v>0.16</v>
      </c>
      <c r="Z165">
        <f>VLOOKUP($A165&amp;Z$1,Data!$A$2:$D$3723,4,FALSE)</f>
        <v>-0.184</v>
      </c>
      <c r="AA165">
        <f>VLOOKUP($A165&amp;AA$1,Data!$A$2:$D$3723,4,FALSE)</f>
        <v>9.6000000000000002E-2</v>
      </c>
      <c r="AB165">
        <f>VLOOKUP($A165&amp;AB$1,Data!$A$2:$D$3723,4,FALSE)</f>
        <v>8.9999999999999993E-3</v>
      </c>
      <c r="AC165">
        <f>VLOOKUP($A165&amp;AC$1,Data!$A$2:$D$3723,4,FALSE)</f>
        <v>0.68200000000000005</v>
      </c>
      <c r="AD165">
        <f>VLOOKUP($A165&amp;AD$1,Data!$A$2:$D$3723,4,FALSE)</f>
        <v>0.123</v>
      </c>
      <c r="AE165">
        <f>VLOOKUP($A165&amp;AE$1,Data!$A$2:$D$3723,4,FALSE)</f>
        <v>-0.80200000000000005</v>
      </c>
      <c r="AF165">
        <f>VLOOKUP($A165&amp;AF$1,Data!$A$2:$D$3723,4,FALSE)</f>
        <v>0</v>
      </c>
      <c r="AG165">
        <f>VLOOKUP($A165&amp;AG$1,Data!$A$2:$D$3723,4,FALSE)</f>
        <v>7300000</v>
      </c>
    </row>
    <row r="166" spans="1:33" x14ac:dyDescent="0.35">
      <c r="A166" s="13">
        <f t="shared" si="8"/>
        <v>165</v>
      </c>
      <c r="B166" t="s">
        <v>21</v>
      </c>
      <c r="C166" t="s">
        <v>3</v>
      </c>
      <c r="D166">
        <v>5000</v>
      </c>
      <c r="E166" t="s">
        <v>17</v>
      </c>
      <c r="F166" s="5">
        <v>43831</v>
      </c>
      <c r="G166" s="5">
        <v>44562</v>
      </c>
      <c r="H166">
        <v>14</v>
      </c>
      <c r="I166">
        <v>9</v>
      </c>
      <c r="J166">
        <v>30</v>
      </c>
      <c r="K166">
        <v>70</v>
      </c>
      <c r="L166">
        <v>1000000</v>
      </c>
      <c r="M166">
        <f>VLOOKUP($A166&amp;M$1,Data!$A$2:$D$3723,4,FALSE)</f>
        <v>0.74877000000000005</v>
      </c>
      <c r="N166">
        <f>VLOOKUP($A166&amp;N$1,Data!$A$2:$D$3723,4,FALSE)</f>
        <v>2.17</v>
      </c>
      <c r="O166">
        <f>VLOOKUP($A166&amp;O$1,Data!$A$2:$D$3723,4,FALSE)</f>
        <v>1016</v>
      </c>
      <c r="P166">
        <f>VLOOKUP($A166&amp;P$1,Data!$A$2:$D$3723,4,FALSE)</f>
        <v>6.6699999999999995E-2</v>
      </c>
      <c r="Q166">
        <f>VLOOKUP($A166&amp;Q$1,Data!$A$2:$D$3723,4,FALSE)</f>
        <v>-3.4099999999999998E-2</v>
      </c>
      <c r="R166">
        <f>VLOOKUP($A166&amp;R$1,Data!$A$2:$D$3723,4,FALSE)</f>
        <v>1.19475</v>
      </c>
      <c r="S166">
        <f>VLOOKUP($A166&amp;S$1,Data!$A$2:$D$3723,4,FALSE)</f>
        <v>0.24099999999999999</v>
      </c>
      <c r="T166">
        <f>VLOOKUP($A166&amp;T$1,Data!$A$2:$D$3723,4,FALSE)</f>
        <v>0.52400000000000002</v>
      </c>
      <c r="U166">
        <f>VLOOKUP($A166&amp;U$1,Data!$A$2:$D$3723,4,FALSE)</f>
        <v>0.66222999999999999</v>
      </c>
      <c r="V166">
        <f>VLOOKUP($A166&amp;V$1,Data!$A$2:$D$3723,4,FALSE)</f>
        <v>0.48</v>
      </c>
      <c r="W166">
        <f>VLOOKUP($A166&amp;W$1,Data!$A$2:$D$3723,4,FALSE)</f>
        <v>0.52</v>
      </c>
      <c r="X166">
        <f>VLOOKUP($A166&amp;X$1,Data!$A$2:$D$3723,4,FALSE)</f>
        <v>1.96</v>
      </c>
      <c r="Y166">
        <f>VLOOKUP($A166&amp;Y$1,Data!$A$2:$D$3723,4,FALSE)</f>
        <v>0.89800000000000002</v>
      </c>
      <c r="Z166">
        <f>VLOOKUP($A166&amp;Z$1,Data!$A$2:$D$3723,4,FALSE)</f>
        <v>-0.70199999999999996</v>
      </c>
      <c r="AA166">
        <f>VLOOKUP($A166&amp;AA$1,Data!$A$2:$D$3723,4,FALSE)</f>
        <v>0.39300000000000002</v>
      </c>
      <c r="AB166">
        <f>VLOOKUP($A166&amp;AB$1,Data!$A$2:$D$3723,4,FALSE)</f>
        <v>0.155</v>
      </c>
      <c r="AC166">
        <f>VLOOKUP($A166&amp;AC$1,Data!$A$2:$D$3723,4,FALSE)</f>
        <v>1.9419999999999999</v>
      </c>
      <c r="AD166">
        <f>VLOOKUP($A166&amp;AD$1,Data!$A$2:$D$3723,4,FALSE)</f>
        <v>0.40699999999999997</v>
      </c>
      <c r="AE166">
        <f>VLOOKUP($A166&amp;AE$1,Data!$A$2:$D$3723,4,FALSE)</f>
        <v>-1.2170000000000001</v>
      </c>
      <c r="AF166">
        <f>VLOOKUP($A166&amp;AF$1,Data!$A$2:$D$3723,4,FALSE)</f>
        <v>0</v>
      </c>
      <c r="AG166">
        <f>VLOOKUP($A166&amp;AG$1,Data!$A$2:$D$3723,4,FALSE)</f>
        <v>2500000</v>
      </c>
    </row>
    <row r="167" spans="1:33" hidden="1" x14ac:dyDescent="0.35">
      <c r="A167" s="13">
        <f t="shared" si="8"/>
        <v>166</v>
      </c>
      <c r="B167" t="s">
        <v>21</v>
      </c>
      <c r="C167" t="s">
        <v>2</v>
      </c>
      <c r="D167">
        <v>100</v>
      </c>
      <c r="E167" t="s">
        <v>17</v>
      </c>
      <c r="F167" s="5">
        <v>43831</v>
      </c>
      <c r="G167" s="5">
        <v>44562</v>
      </c>
      <c r="H167">
        <v>14</v>
      </c>
      <c r="I167">
        <v>9</v>
      </c>
      <c r="J167">
        <v>30</v>
      </c>
      <c r="K167">
        <v>70</v>
      </c>
      <c r="L167">
        <v>1000000</v>
      </c>
      <c r="M167">
        <f>VLOOKUP($A167&amp;M$1,Data!$A$2:$D$3723,4,FALSE)</f>
        <v>0.31459999999999999</v>
      </c>
      <c r="N167">
        <f>VLOOKUP($A167&amp;N$1,Data!$A$2:$D$3723,4,FALSE)</f>
        <v>0.497</v>
      </c>
      <c r="O167">
        <f>VLOOKUP($A167&amp;O$1,Data!$A$2:$D$3723,4,FALSE)</f>
        <v>514</v>
      </c>
      <c r="P167">
        <f>VLOOKUP($A167&amp;P$1,Data!$A$2:$D$3723,4,FALSE)</f>
        <v>1.9E-3</v>
      </c>
      <c r="Q167">
        <f>VLOOKUP($A167&amp;Q$1,Data!$A$2:$D$3723,4,FALSE)</f>
        <v>-2.3E-3</v>
      </c>
      <c r="R167">
        <f>VLOOKUP($A167&amp;R$1,Data!$A$2:$D$3723,4,FALSE)</f>
        <v>1.6400000000000001E-2</v>
      </c>
      <c r="S167">
        <f>VLOOKUP($A167&amp;S$1,Data!$A$2:$D$3723,4,FALSE)</f>
        <v>2.9000000000000001E-2</v>
      </c>
      <c r="T167">
        <f>VLOOKUP($A167&amp;T$1,Data!$A$2:$D$3723,4,FALSE)</f>
        <v>0.28499999999999998</v>
      </c>
      <c r="U167">
        <f>VLOOKUP($A167&amp;U$1,Data!$A$2:$D$3723,4,FALSE)</f>
        <v>1.057E-2</v>
      </c>
      <c r="V167">
        <f>VLOOKUP($A167&amp;V$1,Data!$A$2:$D$3723,4,FALSE)</f>
        <v>0.28999999999999998</v>
      </c>
      <c r="W167">
        <f>VLOOKUP($A167&amp;W$1,Data!$A$2:$D$3723,4,FALSE)</f>
        <v>0.71</v>
      </c>
      <c r="X167">
        <f>VLOOKUP($A167&amp;X$1,Data!$A$2:$D$3723,4,FALSE)</f>
        <v>0.82</v>
      </c>
      <c r="Y167">
        <f>VLOOKUP($A167&amp;Y$1,Data!$A$2:$D$3723,4,FALSE)</f>
        <v>1.7000000000000001E-2</v>
      </c>
      <c r="Z167">
        <f>VLOOKUP($A167&amp;Z$1,Data!$A$2:$D$3723,4,FALSE)</f>
        <v>-8.5999999999999993E-2</v>
      </c>
      <c r="AA167">
        <f>VLOOKUP($A167&amp;AA$1,Data!$A$2:$D$3723,4,FALSE)</f>
        <v>2.3E-2</v>
      </c>
      <c r="AB167">
        <f>VLOOKUP($A167&amp;AB$1,Data!$A$2:$D$3723,4,FALSE)</f>
        <v>1E-3</v>
      </c>
      <c r="AC167">
        <f>VLOOKUP($A167&amp;AC$1,Data!$A$2:$D$3723,4,FALSE)</f>
        <v>-0.68600000000000005</v>
      </c>
      <c r="AD167">
        <f>VLOOKUP($A167&amp;AD$1,Data!$A$2:$D$3723,4,FALSE)</f>
        <v>7.5999999999999998E-2</v>
      </c>
      <c r="AE167">
        <f>VLOOKUP($A167&amp;AE$1,Data!$A$2:$D$3723,4,FALSE)</f>
        <v>-0.13500000000000001</v>
      </c>
      <c r="AF167">
        <f>VLOOKUP($A167&amp;AF$1,Data!$A$2:$D$3723,4,FALSE)</f>
        <v>0</v>
      </c>
      <c r="AG167">
        <f>VLOOKUP($A167&amp;AG$1,Data!$A$2:$D$3723,4,FALSE)</f>
        <v>3900000000</v>
      </c>
    </row>
    <row r="168" spans="1:33" hidden="1" x14ac:dyDescent="0.35">
      <c r="A168" s="13">
        <f t="shared" si="8"/>
        <v>167</v>
      </c>
      <c r="B168" t="s">
        <v>21</v>
      </c>
      <c r="C168" t="s">
        <v>2</v>
      </c>
      <c r="D168">
        <v>1000</v>
      </c>
      <c r="E168" t="s">
        <v>17</v>
      </c>
      <c r="F168" s="5">
        <v>43831</v>
      </c>
      <c r="G168" s="5">
        <v>44562</v>
      </c>
      <c r="H168">
        <v>14</v>
      </c>
      <c r="I168">
        <v>9</v>
      </c>
      <c r="J168">
        <v>30</v>
      </c>
      <c r="K168">
        <v>70</v>
      </c>
      <c r="L168">
        <v>1000000</v>
      </c>
      <c r="M168">
        <f>VLOOKUP($A168&amp;M$1,Data!$A$2:$D$3723,4,FALSE)</f>
        <v>0.34744000000000003</v>
      </c>
      <c r="N168">
        <f>VLOOKUP($A168&amp;N$1,Data!$A$2:$D$3723,4,FALSE)</f>
        <v>0.63200000000000001</v>
      </c>
      <c r="O168">
        <f>VLOOKUP($A168&amp;O$1,Data!$A$2:$D$3723,4,FALSE)</f>
        <v>514</v>
      </c>
      <c r="P168">
        <f>VLOOKUP($A168&amp;P$1,Data!$A$2:$D$3723,4,FALSE)</f>
        <v>1.7999999999999999E-2</v>
      </c>
      <c r="Q168">
        <f>VLOOKUP($A168&amp;Q$1,Data!$A$2:$D$3723,4,FALSE)</f>
        <v>-2.0799999999999999E-2</v>
      </c>
      <c r="R168">
        <f>VLOOKUP($A168&amp;R$1,Data!$A$2:$D$3723,4,FALSE)</f>
        <v>0.16818</v>
      </c>
      <c r="S168">
        <f>VLOOKUP($A168&amp;S$1,Data!$A$2:$D$3723,4,FALSE)</f>
        <v>0.246</v>
      </c>
      <c r="T168">
        <f>VLOOKUP($A168&amp;T$1,Data!$A$2:$D$3723,4,FALSE)</f>
        <v>0.318</v>
      </c>
      <c r="U168">
        <f>VLOOKUP($A168&amp;U$1,Data!$A$2:$D$3723,4,FALSE)</f>
        <v>0.10571</v>
      </c>
      <c r="V168">
        <f>VLOOKUP($A168&amp;V$1,Data!$A$2:$D$3723,4,FALSE)</f>
        <v>0.28999999999999998</v>
      </c>
      <c r="W168">
        <f>VLOOKUP($A168&amp;W$1,Data!$A$2:$D$3723,4,FALSE)</f>
        <v>0.71</v>
      </c>
      <c r="X168">
        <f>VLOOKUP($A168&amp;X$1,Data!$A$2:$D$3723,4,FALSE)</f>
        <v>0.87</v>
      </c>
      <c r="Y168">
        <f>VLOOKUP($A168&amp;Y$1,Data!$A$2:$D$3723,4,FALSE)</f>
        <v>0.19500000000000001</v>
      </c>
      <c r="Z168">
        <f>VLOOKUP($A168&amp;Z$1,Data!$A$2:$D$3723,4,FALSE)</f>
        <v>-0.82899999999999996</v>
      </c>
      <c r="AA168">
        <f>VLOOKUP($A168&amp;AA$1,Data!$A$2:$D$3723,4,FALSE)</f>
        <v>0.22500000000000001</v>
      </c>
      <c r="AB168">
        <f>VLOOKUP($A168&amp;AB$1,Data!$A$2:$D$3723,4,FALSE)</f>
        <v>5.0999999999999997E-2</v>
      </c>
      <c r="AC168">
        <f>VLOOKUP($A168&amp;AC$1,Data!$A$2:$D$3723,4,FALSE)</f>
        <v>0.314</v>
      </c>
      <c r="AD168">
        <f>VLOOKUP($A168&amp;AD$1,Data!$A$2:$D$3723,4,FALSE)</f>
        <v>0.25</v>
      </c>
      <c r="AE168">
        <f>VLOOKUP($A168&amp;AE$1,Data!$A$2:$D$3723,4,FALSE)</f>
        <v>-0.17199999999999999</v>
      </c>
      <c r="AF168">
        <f>VLOOKUP($A168&amp;AF$1,Data!$A$2:$D$3723,4,FALSE)</f>
        <v>0</v>
      </c>
      <c r="AG168">
        <f>VLOOKUP($A168&amp;AG$1,Data!$A$2:$D$3723,4,FALSE)</f>
        <v>430000000</v>
      </c>
    </row>
    <row r="169" spans="1:33" hidden="1" x14ac:dyDescent="0.35">
      <c r="A169" s="13">
        <f t="shared" si="8"/>
        <v>168</v>
      </c>
      <c r="B169" t="s">
        <v>21</v>
      </c>
      <c r="C169" t="s">
        <v>2</v>
      </c>
      <c r="D169">
        <v>5000</v>
      </c>
      <c r="E169" t="s">
        <v>17</v>
      </c>
      <c r="F169" s="5">
        <v>43831</v>
      </c>
      <c r="G169" s="5">
        <v>44562</v>
      </c>
      <c r="H169">
        <v>14</v>
      </c>
      <c r="I169">
        <v>9</v>
      </c>
      <c r="J169">
        <v>30</v>
      </c>
      <c r="K169">
        <v>70</v>
      </c>
      <c r="L169">
        <v>1000000</v>
      </c>
      <c r="M169">
        <f>VLOOKUP($A169&amp;M$1,Data!$A$2:$D$3723,4,FALSE)</f>
        <v>0.41891</v>
      </c>
      <c r="N169">
        <f>VLOOKUP($A169&amp;N$1,Data!$A$2:$D$3723,4,FALSE)</f>
        <v>1.224</v>
      </c>
      <c r="O169">
        <f>VLOOKUP($A169&amp;O$1,Data!$A$2:$D$3723,4,FALSE)</f>
        <v>516</v>
      </c>
      <c r="P169">
        <f>VLOOKUP($A169&amp;P$1,Data!$A$2:$D$3723,4,FALSE)</f>
        <v>7.4499999999999997E-2</v>
      </c>
      <c r="Q169">
        <f>VLOOKUP($A169&amp;Q$1,Data!$A$2:$D$3723,4,FALSE)</f>
        <v>-7.4700000000000003E-2</v>
      </c>
      <c r="R169">
        <f>VLOOKUP($A169&amp;R$1,Data!$A$2:$D$3723,4,FALSE)</f>
        <v>0.51556999999999997</v>
      </c>
      <c r="S169">
        <f>VLOOKUP($A169&amp;S$1,Data!$A$2:$D$3723,4,FALSE)</f>
        <v>0.73799999999999999</v>
      </c>
      <c r="T169">
        <f>VLOOKUP($A169&amp;T$1,Data!$A$2:$D$3723,4,FALSE)</f>
        <v>0.26100000000000001</v>
      </c>
      <c r="U169">
        <f>VLOOKUP($A169&amp;U$1,Data!$A$2:$D$3723,4,FALSE)</f>
        <v>0.30837999999999999</v>
      </c>
      <c r="V169">
        <f>VLOOKUP($A169&amp;V$1,Data!$A$2:$D$3723,4,FALSE)</f>
        <v>0.37</v>
      </c>
      <c r="W169">
        <f>VLOOKUP($A169&amp;W$1,Data!$A$2:$D$3723,4,FALSE)</f>
        <v>0.63</v>
      </c>
      <c r="X169">
        <f>VLOOKUP($A169&amp;X$1,Data!$A$2:$D$3723,4,FALSE)</f>
        <v>1</v>
      </c>
      <c r="Y169">
        <f>VLOOKUP($A169&amp;Y$1,Data!$A$2:$D$3723,4,FALSE)</f>
        <v>1.5</v>
      </c>
      <c r="Z169">
        <f>VLOOKUP($A169&amp;Z$1,Data!$A$2:$D$3723,4,FALSE)</f>
        <v>-3.633</v>
      </c>
      <c r="AA169">
        <f>VLOOKUP($A169&amp;AA$1,Data!$A$2:$D$3723,4,FALSE)</f>
        <v>1.0369999999999999</v>
      </c>
      <c r="AB169">
        <f>VLOOKUP($A169&amp;AB$1,Data!$A$2:$D$3723,4,FALSE)</f>
        <v>1.0740000000000001</v>
      </c>
      <c r="AC169">
        <f>VLOOKUP($A169&amp;AC$1,Data!$A$2:$D$3723,4,FALSE)</f>
        <v>1.143</v>
      </c>
      <c r="AD169">
        <f>VLOOKUP($A169&amp;AD$1,Data!$A$2:$D$3723,4,FALSE)</f>
        <v>1.054</v>
      </c>
      <c r="AE169">
        <f>VLOOKUP($A169&amp;AE$1,Data!$A$2:$D$3723,4,FALSE)</f>
        <v>-0.34899999999999998</v>
      </c>
      <c r="AF169">
        <f>VLOOKUP($A169&amp;AF$1,Data!$A$2:$D$3723,4,FALSE)</f>
        <v>0</v>
      </c>
      <c r="AG169">
        <f>VLOOKUP($A169&amp;AG$1,Data!$A$2:$D$3723,4,FALSE)</f>
        <v>100000000</v>
      </c>
    </row>
    <row r="170" spans="1:33" x14ac:dyDescent="0.35">
      <c r="A170" s="13">
        <f t="shared" si="8"/>
        <v>169</v>
      </c>
      <c r="B170" t="s">
        <v>21</v>
      </c>
      <c r="C170" t="s">
        <v>22</v>
      </c>
      <c r="D170">
        <v>100</v>
      </c>
      <c r="E170" t="s">
        <v>17</v>
      </c>
      <c r="F170" s="5">
        <v>43831</v>
      </c>
      <c r="G170" s="5">
        <v>44562</v>
      </c>
      <c r="H170">
        <v>14</v>
      </c>
      <c r="I170">
        <v>9</v>
      </c>
      <c r="J170">
        <v>30</v>
      </c>
      <c r="K170">
        <v>70</v>
      </c>
      <c r="L170">
        <v>1000000</v>
      </c>
      <c r="M170">
        <f>VLOOKUP($A170&amp;M$1,Data!$A$2:$D$3723,4,FALSE)</f>
        <v>0.73838000000000004</v>
      </c>
      <c r="N170">
        <f>VLOOKUP($A170&amp;N$1,Data!$A$2:$D$3723,4,FALSE)</f>
        <v>1.569</v>
      </c>
      <c r="O170">
        <f>VLOOKUP($A170&amp;O$1,Data!$A$2:$D$3723,4,FALSE)</f>
        <v>368</v>
      </c>
      <c r="P170">
        <f>VLOOKUP($A170&amp;P$1,Data!$A$2:$D$3723,4,FALSE)</f>
        <v>4.4000000000000003E-3</v>
      </c>
      <c r="Q170">
        <f>VLOOKUP($A170&amp;Q$1,Data!$A$2:$D$3723,4,FALSE)</f>
        <v>-1.6000000000000001E-3</v>
      </c>
      <c r="R170">
        <f>VLOOKUP($A170&amp;R$1,Data!$A$2:$D$3723,4,FALSE)</f>
        <v>3.4750000000000003E-2</v>
      </c>
      <c r="S170">
        <f>VLOOKUP($A170&amp;S$1,Data!$A$2:$D$3723,4,FALSE)</f>
        <v>7.0000000000000001E-3</v>
      </c>
      <c r="T170">
        <f>VLOOKUP($A170&amp;T$1,Data!$A$2:$D$3723,4,FALSE)</f>
        <v>1.2190000000000001</v>
      </c>
      <c r="U170">
        <f>VLOOKUP($A170&amp;U$1,Data!$A$2:$D$3723,4,FALSE)</f>
        <v>2.2329999999999999E-2</v>
      </c>
      <c r="V170">
        <f>VLOOKUP($A170&amp;V$1,Data!$A$2:$D$3723,4,FALSE)</f>
        <v>0.42</v>
      </c>
      <c r="W170">
        <f>VLOOKUP($A170&amp;W$1,Data!$A$2:$D$3723,4,FALSE)</f>
        <v>0.57999999999999996</v>
      </c>
      <c r="X170">
        <f>VLOOKUP($A170&amp;X$1,Data!$A$2:$D$3723,4,FALSE)</f>
        <v>2.8</v>
      </c>
      <c r="Y170">
        <f>VLOOKUP($A170&amp;Y$1,Data!$A$2:$D$3723,4,FALSE)</f>
        <v>2.8000000000000001E-2</v>
      </c>
      <c r="Z170">
        <f>VLOOKUP($A170&amp;Z$1,Data!$A$2:$D$3723,4,FALSE)</f>
        <v>-6.3E-2</v>
      </c>
      <c r="AA170">
        <f>VLOOKUP($A170&amp;AA$1,Data!$A$2:$D$3723,4,FALSE)</f>
        <v>1.4999999999999999E-2</v>
      </c>
      <c r="AB170">
        <f>VLOOKUP($A170&amp;AB$1,Data!$A$2:$D$3723,4,FALSE)</f>
        <v>0</v>
      </c>
      <c r="AC170">
        <f>VLOOKUP($A170&amp;AC$1,Data!$A$2:$D$3723,4,FALSE)</f>
        <v>-0.54600000000000004</v>
      </c>
      <c r="AD170">
        <f>VLOOKUP($A170&amp;AD$1,Data!$A$2:$D$3723,4,FALSE)</f>
        <v>7.1999999999999995E-2</v>
      </c>
      <c r="AE170">
        <f>VLOOKUP($A170&amp;AE$1,Data!$A$2:$D$3723,4,FALSE)</f>
        <v>-0.38100000000000001</v>
      </c>
      <c r="AF170">
        <f>VLOOKUP($A170&amp;AF$1,Data!$A$2:$D$3723,4,FALSE)</f>
        <v>0</v>
      </c>
      <c r="AG170">
        <f>VLOOKUP($A170&amp;AG$1,Data!$A$2:$D$3723,4,FALSE)</f>
        <v>2700000000</v>
      </c>
    </row>
    <row r="171" spans="1:33" x14ac:dyDescent="0.35">
      <c r="A171" s="13">
        <f t="shared" si="8"/>
        <v>170</v>
      </c>
      <c r="B171" t="s">
        <v>21</v>
      </c>
      <c r="C171" t="s">
        <v>22</v>
      </c>
      <c r="D171">
        <v>1000</v>
      </c>
      <c r="E171" t="s">
        <v>17</v>
      </c>
      <c r="F171" s="5">
        <v>43831</v>
      </c>
      <c r="G171" s="5">
        <v>44562</v>
      </c>
      <c r="H171">
        <v>14</v>
      </c>
      <c r="I171">
        <v>9</v>
      </c>
      <c r="J171">
        <v>30</v>
      </c>
      <c r="K171">
        <v>70</v>
      </c>
      <c r="L171">
        <v>1000000</v>
      </c>
      <c r="M171">
        <f>VLOOKUP($A171&amp;M$1,Data!$A$2:$D$3723,4,FALSE)</f>
        <v>0.74775000000000003</v>
      </c>
      <c r="N171">
        <f>VLOOKUP($A171&amp;N$1,Data!$A$2:$D$3723,4,FALSE)</f>
        <v>1.7569999999999999</v>
      </c>
      <c r="O171">
        <f>VLOOKUP($A171&amp;O$1,Data!$A$2:$D$3723,4,FALSE)</f>
        <v>368</v>
      </c>
      <c r="P171">
        <f>VLOOKUP($A171&amp;P$1,Data!$A$2:$D$3723,4,FALSE)</f>
        <v>4.1000000000000002E-2</v>
      </c>
      <c r="Q171">
        <f>VLOOKUP($A171&amp;Q$1,Data!$A$2:$D$3723,4,FALSE)</f>
        <v>-1.44E-2</v>
      </c>
      <c r="R171">
        <f>VLOOKUP($A171&amp;R$1,Data!$A$2:$D$3723,4,FALSE)</f>
        <v>0.36585000000000001</v>
      </c>
      <c r="S171">
        <f>VLOOKUP($A171&amp;S$1,Data!$A$2:$D$3723,4,FALSE)</f>
        <v>5.8999999999999997E-2</v>
      </c>
      <c r="T171">
        <f>VLOOKUP($A171&amp;T$1,Data!$A$2:$D$3723,4,FALSE)</f>
        <v>1.2390000000000001</v>
      </c>
      <c r="U171">
        <f>VLOOKUP($A171&amp;U$1,Data!$A$2:$D$3723,4,FALSE)</f>
        <v>0.2233</v>
      </c>
      <c r="V171">
        <f>VLOOKUP($A171&amp;V$1,Data!$A$2:$D$3723,4,FALSE)</f>
        <v>0.42</v>
      </c>
      <c r="W171">
        <f>VLOOKUP($A171&amp;W$1,Data!$A$2:$D$3723,4,FALSE)</f>
        <v>0.57999999999999996</v>
      </c>
      <c r="X171">
        <f>VLOOKUP($A171&amp;X$1,Data!$A$2:$D$3723,4,FALSE)</f>
        <v>2.84</v>
      </c>
      <c r="Y171">
        <f>VLOOKUP($A171&amp;Y$1,Data!$A$2:$D$3723,4,FALSE)</f>
        <v>0.29199999999999998</v>
      </c>
      <c r="Z171">
        <f>VLOOKUP($A171&amp;Z$1,Data!$A$2:$D$3723,4,FALSE)</f>
        <v>-0.59399999999999997</v>
      </c>
      <c r="AA171">
        <f>VLOOKUP($A171&amp;AA$1,Data!$A$2:$D$3723,4,FALSE)</f>
        <v>0.14499999999999999</v>
      </c>
      <c r="AB171">
        <f>VLOOKUP($A171&amp;AB$1,Data!$A$2:$D$3723,4,FALSE)</f>
        <v>2.1000000000000001E-2</v>
      </c>
      <c r="AC171">
        <f>VLOOKUP($A171&amp;AC$1,Data!$A$2:$D$3723,4,FALSE)</f>
        <v>1.087</v>
      </c>
      <c r="AD171">
        <f>VLOOKUP($A171&amp;AD$1,Data!$A$2:$D$3723,4,FALSE)</f>
        <v>0.17499999999999999</v>
      </c>
      <c r="AE171">
        <f>VLOOKUP($A171&amp;AE$1,Data!$A$2:$D$3723,4,FALSE)</f>
        <v>-0.42699999999999999</v>
      </c>
      <c r="AF171">
        <f>VLOOKUP($A171&amp;AF$1,Data!$A$2:$D$3723,4,FALSE)</f>
        <v>0</v>
      </c>
      <c r="AG171">
        <f>VLOOKUP($A171&amp;AG$1,Data!$A$2:$D$3723,4,FALSE)</f>
        <v>330000000</v>
      </c>
    </row>
    <row r="172" spans="1:33" x14ac:dyDescent="0.35">
      <c r="A172" s="13">
        <f>A171+1</f>
        <v>171</v>
      </c>
      <c r="B172" t="s">
        <v>21</v>
      </c>
      <c r="C172" t="s">
        <v>22</v>
      </c>
      <c r="D172">
        <v>5000</v>
      </c>
      <c r="E172" t="s">
        <v>17</v>
      </c>
      <c r="F172" s="5">
        <v>43831</v>
      </c>
      <c r="G172" s="5">
        <v>44562</v>
      </c>
      <c r="H172">
        <v>14</v>
      </c>
      <c r="I172">
        <v>9</v>
      </c>
      <c r="J172">
        <v>30</v>
      </c>
      <c r="K172">
        <v>70</v>
      </c>
      <c r="L172">
        <v>1000000</v>
      </c>
      <c r="M172">
        <f>VLOOKUP($A172&amp;M$1,Data!$A$2:$D$5000,4,FALSE)</f>
        <v>0.77110999999999996</v>
      </c>
      <c r="N172">
        <f>VLOOKUP($A172&amp;N$1,Data!$A$2:$D$5000,4,FALSE)</f>
        <v>2.7010000000000001</v>
      </c>
      <c r="O172">
        <f>VLOOKUP($A172&amp;O$1,Data!$A$2:$D$5000,4,FALSE)</f>
        <v>368</v>
      </c>
      <c r="P172">
        <f>VLOOKUP($A172&amp;P$1,Data!$A$2:$D$5000,4,FALSE)</f>
        <v>0.17030000000000001</v>
      </c>
      <c r="Q172">
        <f>VLOOKUP($A172&amp;Q$1,Data!$A$2:$D$5000,4,FALSE)</f>
        <v>-5.7599999999999998E-2</v>
      </c>
      <c r="R172">
        <f>VLOOKUP($A172&amp;R$1,Data!$A$2:$D$5000,4,FALSE)</f>
        <v>2.1892800000000001</v>
      </c>
      <c r="S172">
        <f>VLOOKUP($A172&amp;S$1,Data!$A$2:$D$5000,4,FALSE)</f>
        <v>0.252</v>
      </c>
      <c r="T172">
        <f>VLOOKUP($A172&amp;T$1,Data!$A$2:$D$5000,4,FALSE)</f>
        <v>1.3089999999999999</v>
      </c>
      <c r="U172">
        <f>VLOOKUP($A172&amp;U$1,Data!$A$2:$D$5000,4,FALSE)</f>
        <v>1.1165</v>
      </c>
      <c r="V172">
        <f>VLOOKUP($A172&amp;V$1,Data!$A$2:$D$5000,4,FALSE)</f>
        <v>0.42</v>
      </c>
      <c r="W172">
        <f>VLOOKUP($A172&amp;W$1,Data!$A$2:$D$5000,4,FALSE)</f>
        <v>0.57999999999999996</v>
      </c>
      <c r="X172">
        <f>VLOOKUP($A172&amp;X$1,Data!$A$2:$D$5000,4,FALSE)</f>
        <v>2.96</v>
      </c>
      <c r="Y172">
        <f>VLOOKUP($A172&amp;Y$1,Data!$A$2:$D$5000,4,FALSE)</f>
        <v>1.7809999999999999</v>
      </c>
      <c r="Z172">
        <f>VLOOKUP($A172&amp;Z$1,Data!$A$2:$D$5000,4,FALSE)</f>
        <v>-2.403</v>
      </c>
      <c r="AA172">
        <f>VLOOKUP($A172&amp;AA$1,Data!$A$2:$D$5000,4,FALSE)</f>
        <v>0.60299999999999998</v>
      </c>
      <c r="AB172">
        <f>VLOOKUP($A172&amp;AB$1,Data!$A$2:$D$5000,4,FALSE)</f>
        <v>0.36399999999999999</v>
      </c>
      <c r="AC172">
        <f>VLOOKUP($A172&amp;AC$1,Data!$A$2:$D$5000,4,FALSE)</f>
        <v>2.5070000000000001</v>
      </c>
      <c r="AD172">
        <f>VLOOKUP($A172&amp;AD$1,Data!$A$2:$D$5000,4,FALSE)</f>
        <v>0.624</v>
      </c>
      <c r="AE172">
        <f>VLOOKUP($A172&amp;AE$1,Data!$A$2:$D$5000,4,FALSE)</f>
        <v>-0.67700000000000005</v>
      </c>
      <c r="AF172">
        <f>VLOOKUP($A172&amp;AF$1,Data!$A$2:$D$5000,4,FALSE)</f>
        <v>0</v>
      </c>
      <c r="AG172">
        <f>VLOOKUP($A172&amp;AG$1,Data!$A$2:$D$5000,4,FALSE)</f>
        <v>120000000</v>
      </c>
    </row>
    <row r="173" spans="1:33" hidden="1" x14ac:dyDescent="0.35">
      <c r="A173" s="13">
        <f>A172+1</f>
        <v>172</v>
      </c>
      <c r="B173" t="s">
        <v>21</v>
      </c>
      <c r="C173" t="s">
        <v>3</v>
      </c>
      <c r="D173">
        <v>100</v>
      </c>
      <c r="E173" t="s">
        <v>17</v>
      </c>
      <c r="F173" s="5">
        <v>43831</v>
      </c>
      <c r="G173" s="5">
        <v>44562</v>
      </c>
      <c r="H173">
        <v>14</v>
      </c>
      <c r="I173">
        <v>9</v>
      </c>
      <c r="J173">
        <v>32</v>
      </c>
      <c r="K173">
        <v>68</v>
      </c>
      <c r="L173">
        <v>1000000</v>
      </c>
      <c r="M173">
        <f>VLOOKUP($A173&amp;M$1,Data!$A$2:$D$3723,4,FALSE)</f>
        <v>0.10909000000000001</v>
      </c>
      <c r="N173">
        <f>VLOOKUP($A173&amp;N$1,Data!$A$2:$D$3723,4,FALSE)</f>
        <v>-0.28199999999999997</v>
      </c>
      <c r="O173">
        <f>VLOOKUP($A173&amp;O$1,Data!$A$2:$D$3723,4,FALSE)</f>
        <v>1285</v>
      </c>
      <c r="P173">
        <f>VLOOKUP($A173&amp;P$1,Data!$A$2:$D$3723,4,FALSE)</f>
        <v>8.5000000000000006E-3</v>
      </c>
      <c r="Q173">
        <f>VLOOKUP($A173&amp;Q$1,Data!$A$2:$D$3723,4,FALSE)</f>
        <v>-9.2999999999999992E-3</v>
      </c>
      <c r="R173">
        <f>VLOOKUP($A173&amp;R$1,Data!$A$2:$D$3723,4,FALSE)</f>
        <v>-4.3029999999999999E-2</v>
      </c>
      <c r="S173">
        <f>VLOOKUP($A173&amp;S$1,Data!$A$2:$D$3723,4,FALSE)</f>
        <v>0.10299999999999999</v>
      </c>
      <c r="T173">
        <f>VLOOKUP($A173&amp;T$1,Data!$A$2:$D$3723,4,FALSE)</f>
        <v>-8.8999999999999996E-2</v>
      </c>
      <c r="U173">
        <f>VLOOKUP($A173&amp;U$1,Data!$A$2:$D$3723,4,FALSE)</f>
        <v>-2.8029999999999999E-2</v>
      </c>
      <c r="V173">
        <f>VLOOKUP($A173&amp;V$1,Data!$A$2:$D$3723,4,FALSE)</f>
        <v>0.52</v>
      </c>
      <c r="W173">
        <f>VLOOKUP($A173&amp;W$1,Data!$A$2:$D$3723,4,FALSE)</f>
        <v>0.48</v>
      </c>
      <c r="X173">
        <f>VLOOKUP($A173&amp;X$1,Data!$A$2:$D$3723,4,FALSE)</f>
        <v>0.91</v>
      </c>
      <c r="Y173">
        <f>VLOOKUP($A173&amp;Y$1,Data!$A$2:$D$3723,4,FALSE)</f>
        <v>0</v>
      </c>
      <c r="Z173">
        <f>VLOOKUP($A173&amp;Z$1,Data!$A$2:$D$3723,4,FALSE)</f>
        <v>-0.41</v>
      </c>
      <c r="AA173">
        <f>VLOOKUP($A173&amp;AA$1,Data!$A$2:$D$3723,4,FALSE)</f>
        <v>9.1999999999999998E-2</v>
      </c>
      <c r="AB173">
        <f>VLOOKUP($A173&amp;AB$1,Data!$A$2:$D$3723,4,FALSE)</f>
        <v>8.0000000000000002E-3</v>
      </c>
      <c r="AC173">
        <f>VLOOKUP($A173&amp;AC$1,Data!$A$2:$D$3723,4,FALSE)</f>
        <v>-0.69599999999999995</v>
      </c>
      <c r="AD173">
        <f>VLOOKUP($A173&amp;AD$1,Data!$A$2:$D$3723,4,FALSE)</f>
        <v>0.129</v>
      </c>
      <c r="AE173">
        <f>VLOOKUP($A173&amp;AE$1,Data!$A$2:$D$3723,4,FALSE)</f>
        <v>6.3E-2</v>
      </c>
      <c r="AF173">
        <f>VLOOKUP($A173&amp;AF$1,Data!$A$2:$D$3723,4,FALSE)</f>
        <v>0</v>
      </c>
      <c r="AG173">
        <f>VLOOKUP($A173&amp;AG$1,Data!$A$2:$D$3723,4,FALSE)</f>
        <v>7900000</v>
      </c>
    </row>
    <row r="174" spans="1:33" hidden="1" x14ac:dyDescent="0.35">
      <c r="A174" s="13">
        <f t="shared" si="8"/>
        <v>173</v>
      </c>
      <c r="B174" t="s">
        <v>21</v>
      </c>
      <c r="C174" t="s">
        <v>3</v>
      </c>
      <c r="D174">
        <v>1000</v>
      </c>
      <c r="E174" t="s">
        <v>17</v>
      </c>
      <c r="F174" s="5">
        <v>43831</v>
      </c>
      <c r="G174" s="5">
        <v>44562</v>
      </c>
      <c r="H174">
        <v>14</v>
      </c>
      <c r="I174">
        <v>9</v>
      </c>
      <c r="J174">
        <v>32</v>
      </c>
      <c r="K174">
        <v>68</v>
      </c>
      <c r="L174">
        <v>1000000</v>
      </c>
      <c r="M174">
        <f>VLOOKUP($A174&amp;M$1,Data!$A$2:$D$3723,4,FALSE)</f>
        <v>0.10909000000000001</v>
      </c>
      <c r="N174">
        <f>VLOOKUP($A174&amp;N$1,Data!$A$2:$D$3723,4,FALSE)</f>
        <v>-0.28199999999999997</v>
      </c>
      <c r="O174">
        <f>VLOOKUP($A174&amp;O$1,Data!$A$2:$D$3723,4,FALSE)</f>
        <v>1285</v>
      </c>
      <c r="P174">
        <f>VLOOKUP($A174&amp;P$1,Data!$A$2:$D$3723,4,FALSE)</f>
        <v>8.5000000000000006E-3</v>
      </c>
      <c r="Q174">
        <f>VLOOKUP($A174&amp;Q$1,Data!$A$2:$D$3723,4,FALSE)</f>
        <v>-9.2999999999999992E-3</v>
      </c>
      <c r="R174">
        <f>VLOOKUP($A174&amp;R$1,Data!$A$2:$D$3723,4,FALSE)</f>
        <v>-4.3029999999999999E-2</v>
      </c>
      <c r="S174">
        <f>VLOOKUP($A174&amp;S$1,Data!$A$2:$D$3723,4,FALSE)</f>
        <v>0.10299999999999999</v>
      </c>
      <c r="T174">
        <f>VLOOKUP($A174&amp;T$1,Data!$A$2:$D$3723,4,FALSE)</f>
        <v>-8.8999999999999996E-2</v>
      </c>
      <c r="U174">
        <f>VLOOKUP($A174&amp;U$1,Data!$A$2:$D$3723,4,FALSE)</f>
        <v>-2.8029999999999999E-2</v>
      </c>
      <c r="V174">
        <f>VLOOKUP($A174&amp;V$1,Data!$A$2:$D$3723,4,FALSE)</f>
        <v>0.52</v>
      </c>
      <c r="W174">
        <f>VLOOKUP($A174&amp;W$1,Data!$A$2:$D$3723,4,FALSE)</f>
        <v>0.48</v>
      </c>
      <c r="X174">
        <f>VLOOKUP($A174&amp;X$1,Data!$A$2:$D$3723,4,FALSE)</f>
        <v>0.91</v>
      </c>
      <c r="Y174">
        <f>VLOOKUP($A174&amp;Y$1,Data!$A$2:$D$3723,4,FALSE)</f>
        <v>0</v>
      </c>
      <c r="Z174">
        <f>VLOOKUP($A174&amp;Z$1,Data!$A$2:$D$3723,4,FALSE)</f>
        <v>-0.41</v>
      </c>
      <c r="AA174">
        <f>VLOOKUP($A174&amp;AA$1,Data!$A$2:$D$3723,4,FALSE)</f>
        <v>9.1999999999999998E-2</v>
      </c>
      <c r="AB174">
        <f>VLOOKUP($A174&amp;AB$1,Data!$A$2:$D$3723,4,FALSE)</f>
        <v>8.0000000000000002E-3</v>
      </c>
      <c r="AC174">
        <f>VLOOKUP($A174&amp;AC$1,Data!$A$2:$D$3723,4,FALSE)</f>
        <v>-0.69599999999999995</v>
      </c>
      <c r="AD174">
        <f>VLOOKUP($A174&amp;AD$1,Data!$A$2:$D$3723,4,FALSE)</f>
        <v>0.129</v>
      </c>
      <c r="AE174">
        <f>VLOOKUP($A174&amp;AE$1,Data!$A$2:$D$3723,4,FALSE)</f>
        <v>6.3E-2</v>
      </c>
      <c r="AF174">
        <f>VLOOKUP($A174&amp;AF$1,Data!$A$2:$D$3723,4,FALSE)</f>
        <v>0</v>
      </c>
      <c r="AG174">
        <f>VLOOKUP($A174&amp;AG$1,Data!$A$2:$D$3723,4,FALSE)</f>
        <v>7900000</v>
      </c>
    </row>
    <row r="175" spans="1:33" hidden="1" x14ac:dyDescent="0.35">
      <c r="A175" s="13">
        <f>A174+1</f>
        <v>174</v>
      </c>
      <c r="B175" t="s">
        <v>21</v>
      </c>
      <c r="C175" t="s">
        <v>3</v>
      </c>
      <c r="D175">
        <v>5000</v>
      </c>
      <c r="E175" t="s">
        <v>17</v>
      </c>
      <c r="F175" s="5">
        <v>43831</v>
      </c>
      <c r="G175" s="5">
        <v>44562</v>
      </c>
      <c r="H175">
        <v>14</v>
      </c>
      <c r="I175">
        <v>9</v>
      </c>
      <c r="J175">
        <v>32</v>
      </c>
      <c r="K175">
        <v>68</v>
      </c>
      <c r="L175">
        <v>1000000</v>
      </c>
      <c r="M175">
        <f>VLOOKUP($A175&amp;M$1,Data!$A$2:$D$3723,4,FALSE)</f>
        <v>0.12884999999999999</v>
      </c>
      <c r="N175">
        <f>VLOOKUP($A175&amp;N$1,Data!$A$2:$D$3723,4,FALSE)</f>
        <v>-0.17100000000000001</v>
      </c>
      <c r="O175">
        <f>VLOOKUP($A175&amp;O$1,Data!$A$2:$D$3723,4,FALSE)</f>
        <v>1277</v>
      </c>
      <c r="P175">
        <f>VLOOKUP($A175&amp;P$1,Data!$A$2:$D$3723,4,FALSE)</f>
        <v>5.33E-2</v>
      </c>
      <c r="Q175">
        <f>VLOOKUP($A175&amp;Q$1,Data!$A$2:$D$3723,4,FALSE)</f>
        <v>-5.2200000000000003E-2</v>
      </c>
      <c r="R175">
        <f>VLOOKUP($A175&amp;R$1,Data!$A$2:$D$3723,4,FALSE)</f>
        <v>-0.29631000000000002</v>
      </c>
      <c r="S175">
        <f>VLOOKUP($A175&amp;S$1,Data!$A$2:$D$3723,4,FALSE)</f>
        <v>0.497</v>
      </c>
      <c r="T175">
        <f>VLOOKUP($A175&amp;T$1,Data!$A$2:$D$3723,4,FALSE)</f>
        <v>-8.5999999999999993E-2</v>
      </c>
      <c r="U175">
        <f>VLOOKUP($A175&amp;U$1,Data!$A$2:$D$3723,4,FALSE)</f>
        <v>-0.20322000000000001</v>
      </c>
      <c r="V175">
        <f>VLOOKUP($A175&amp;V$1,Data!$A$2:$D$3723,4,FALSE)</f>
        <v>0.55000000000000004</v>
      </c>
      <c r="W175">
        <f>VLOOKUP($A175&amp;W$1,Data!$A$2:$D$3723,4,FALSE)</f>
        <v>0.45</v>
      </c>
      <c r="X175">
        <f>VLOOKUP($A175&amp;X$1,Data!$A$2:$D$3723,4,FALSE)</f>
        <v>1.02</v>
      </c>
      <c r="Y175">
        <f>VLOOKUP($A175&amp;Y$1,Data!$A$2:$D$3723,4,FALSE)</f>
        <v>6.2E-2</v>
      </c>
      <c r="Z175">
        <f>VLOOKUP($A175&amp;Z$1,Data!$A$2:$D$3723,4,FALSE)</f>
        <v>-2.4380000000000002</v>
      </c>
      <c r="AA175">
        <f>VLOOKUP($A175&amp;AA$1,Data!$A$2:$D$3723,4,FALSE)</f>
        <v>0.54400000000000004</v>
      </c>
      <c r="AB175">
        <f>VLOOKUP($A175&amp;AB$1,Data!$A$2:$D$3723,4,FALSE)</f>
        <v>0.29599999999999999</v>
      </c>
      <c r="AC175">
        <f>VLOOKUP($A175&amp;AC$1,Data!$A$2:$D$3723,4,FALSE)</f>
        <v>-0.27600000000000002</v>
      </c>
      <c r="AD175">
        <f>VLOOKUP($A175&amp;AD$1,Data!$A$2:$D$3723,4,FALSE)</f>
        <v>0.56699999999999995</v>
      </c>
      <c r="AE175">
        <f>VLOOKUP($A175&amp;AE$1,Data!$A$2:$D$3723,4,FALSE)</f>
        <v>3.7999999999999999E-2</v>
      </c>
      <c r="AF175">
        <f>VLOOKUP($A175&amp;AF$1,Data!$A$2:$D$3723,4,FALSE)</f>
        <v>0</v>
      </c>
      <c r="AG175">
        <f>VLOOKUP($A175&amp;AG$1,Data!$A$2:$D$3723,4,FALSE)</f>
        <v>1700000</v>
      </c>
    </row>
    <row r="176" spans="1:33" hidden="1" x14ac:dyDescent="0.35">
      <c r="A176" s="13">
        <f t="shared" ref="A176:A239" si="11">A175+1</f>
        <v>175</v>
      </c>
      <c r="B176" t="s">
        <v>21</v>
      </c>
      <c r="C176" t="s">
        <v>2</v>
      </c>
      <c r="D176">
        <v>100</v>
      </c>
      <c r="E176" t="s">
        <v>17</v>
      </c>
      <c r="F176" s="5">
        <v>43831</v>
      </c>
      <c r="G176" s="5">
        <v>44562</v>
      </c>
      <c r="H176">
        <v>14</v>
      </c>
      <c r="I176">
        <v>9</v>
      </c>
      <c r="J176">
        <v>32</v>
      </c>
      <c r="K176">
        <v>68</v>
      </c>
      <c r="L176">
        <v>1000000</v>
      </c>
      <c r="M176">
        <f>VLOOKUP($A176&amp;M$1,Data!$A$2:$D$3723,4,FALSE)</f>
        <v>3.7479999999999999E-2</v>
      </c>
      <c r="N176">
        <f>VLOOKUP($A176&amp;N$1,Data!$A$2:$D$3723,4,FALSE)</f>
        <v>-0.746</v>
      </c>
      <c r="O176">
        <f>VLOOKUP($A176&amp;O$1,Data!$A$2:$D$3723,4,FALSE)</f>
        <v>690</v>
      </c>
      <c r="P176">
        <f>VLOOKUP($A176&amp;P$1,Data!$A$2:$D$3723,4,FALSE)</f>
        <v>2E-3</v>
      </c>
      <c r="Q176">
        <f>VLOOKUP($A176&amp;Q$1,Data!$A$2:$D$3723,4,FALSE)</f>
        <v>-1.8E-3</v>
      </c>
      <c r="R176">
        <f>VLOOKUP($A176&amp;R$1,Data!$A$2:$D$3723,4,FALSE)</f>
        <v>-1.4670000000000001E-2</v>
      </c>
      <c r="S176">
        <f>VLOOKUP($A176&amp;S$1,Data!$A$2:$D$3723,4,FALSE)</f>
        <v>1.7000000000000001E-2</v>
      </c>
      <c r="T176">
        <f>VLOOKUP($A176&amp;T$1,Data!$A$2:$D$3723,4,FALSE)</f>
        <v>-0.25800000000000001</v>
      </c>
      <c r="U176">
        <f>VLOOKUP($A176&amp;U$1,Data!$A$2:$D$3723,4,FALSE)</f>
        <v>-9.5099999999999994E-3</v>
      </c>
      <c r="V176">
        <f>VLOOKUP($A176&amp;V$1,Data!$A$2:$D$3723,4,FALSE)</f>
        <v>0.65</v>
      </c>
      <c r="W176">
        <f>VLOOKUP($A176&amp;W$1,Data!$A$2:$D$3723,4,FALSE)</f>
        <v>0.35</v>
      </c>
      <c r="X176">
        <f>VLOOKUP($A176&amp;X$1,Data!$A$2:$D$3723,4,FALSE)</f>
        <v>1.1299999999999999</v>
      </c>
      <c r="Y176">
        <f>VLOOKUP($A176&amp;Y$1,Data!$A$2:$D$3723,4,FALSE)</f>
        <v>-6.0000000000000001E-3</v>
      </c>
      <c r="Z176">
        <f>VLOOKUP($A176&amp;Z$1,Data!$A$2:$D$3723,4,FALSE)</f>
        <v>-5.8000000000000003E-2</v>
      </c>
      <c r="AA176">
        <f>VLOOKUP($A176&amp;AA$1,Data!$A$2:$D$3723,4,FALSE)</f>
        <v>1.4E-2</v>
      </c>
      <c r="AB176">
        <f>VLOOKUP($A176&amp;AB$1,Data!$A$2:$D$3723,4,FALSE)</f>
        <v>0</v>
      </c>
      <c r="AC176">
        <f>VLOOKUP($A176&amp;AC$1,Data!$A$2:$D$3723,4,FALSE)</f>
        <v>-1.028</v>
      </c>
      <c r="AD176">
        <f>VLOOKUP($A176&amp;AD$1,Data!$A$2:$D$3723,4,FALSE)</f>
        <v>7.1999999999999995E-2</v>
      </c>
      <c r="AE176">
        <f>VLOOKUP($A176&amp;AE$1,Data!$A$2:$D$3723,4,FALSE)</f>
        <v>0.17399999999999999</v>
      </c>
      <c r="AF176">
        <f>VLOOKUP($A176&amp;AF$1,Data!$A$2:$D$3723,4,FALSE)</f>
        <v>0</v>
      </c>
      <c r="AG176">
        <f>VLOOKUP($A176&amp;AG$1,Data!$A$2:$D$3723,4,FALSE)</f>
        <v>19000000</v>
      </c>
    </row>
    <row r="177" spans="1:33" hidden="1" x14ac:dyDescent="0.35">
      <c r="A177" s="13">
        <f>A176+1</f>
        <v>176</v>
      </c>
      <c r="B177" t="s">
        <v>21</v>
      </c>
      <c r="C177" t="s">
        <v>2</v>
      </c>
      <c r="D177">
        <v>1000</v>
      </c>
      <c r="E177" t="s">
        <v>17</v>
      </c>
      <c r="F177" s="5">
        <v>43831</v>
      </c>
      <c r="G177" s="5">
        <v>44562</v>
      </c>
      <c r="H177">
        <v>14</v>
      </c>
      <c r="I177">
        <v>9</v>
      </c>
      <c r="J177">
        <v>32</v>
      </c>
      <c r="K177">
        <v>68</v>
      </c>
      <c r="L177">
        <v>1000000</v>
      </c>
      <c r="M177">
        <f>VLOOKUP($A177&amp;M$1,Data!$A$2:$D$3723,4,FALSE)</f>
        <v>4.759E-2</v>
      </c>
      <c r="N177">
        <f>VLOOKUP($A177&amp;N$1,Data!$A$2:$D$3723,4,FALSE)</f>
        <v>-0.63400000000000001</v>
      </c>
      <c r="O177">
        <f>VLOOKUP($A177&amp;O$1,Data!$A$2:$D$3723,4,FALSE)</f>
        <v>690</v>
      </c>
      <c r="P177">
        <f>VLOOKUP($A177&amp;P$1,Data!$A$2:$D$3723,4,FALSE)</f>
        <v>2.23E-2</v>
      </c>
      <c r="Q177">
        <f>VLOOKUP($A177&amp;Q$1,Data!$A$2:$D$3723,4,FALSE)</f>
        <v>-1.8800000000000001E-2</v>
      </c>
      <c r="R177">
        <f>VLOOKUP($A177&amp;R$1,Data!$A$2:$D$3723,4,FALSE)</f>
        <v>-0.14321999999999999</v>
      </c>
      <c r="S177">
        <f>VLOOKUP($A177&amp;S$1,Data!$A$2:$D$3723,4,FALSE)</f>
        <v>0.17</v>
      </c>
      <c r="T177">
        <f>VLOOKUP($A177&amp;T$1,Data!$A$2:$D$3723,4,FALSE)</f>
        <v>-0.23899999999999999</v>
      </c>
      <c r="U177">
        <f>VLOOKUP($A177&amp;U$1,Data!$A$2:$D$3723,4,FALSE)</f>
        <v>-9.5089999999999994E-2</v>
      </c>
      <c r="V177">
        <f>VLOOKUP($A177&amp;V$1,Data!$A$2:$D$3723,4,FALSE)</f>
        <v>0.65</v>
      </c>
      <c r="W177">
        <f>VLOOKUP($A177&amp;W$1,Data!$A$2:$D$3723,4,FALSE)</f>
        <v>0.35</v>
      </c>
      <c r="X177">
        <f>VLOOKUP($A177&amp;X$1,Data!$A$2:$D$3723,4,FALSE)</f>
        <v>1.19</v>
      </c>
      <c r="Y177">
        <f>VLOOKUP($A177&amp;Y$1,Data!$A$2:$D$3723,4,FALSE)</f>
        <v>-5.1999999999999998E-2</v>
      </c>
      <c r="Z177">
        <f>VLOOKUP($A177&amp;Z$1,Data!$A$2:$D$3723,4,FALSE)</f>
        <v>-0.625</v>
      </c>
      <c r="AA177">
        <f>VLOOKUP($A177&amp;AA$1,Data!$A$2:$D$3723,4,FALSE)</f>
        <v>0.14499999999999999</v>
      </c>
      <c r="AB177">
        <f>VLOOKUP($A177&amp;AB$1,Data!$A$2:$D$3723,4,FALSE)</f>
        <v>2.1000000000000001E-2</v>
      </c>
      <c r="AC177">
        <f>VLOOKUP($A177&amp;AC$1,Data!$A$2:$D$3723,4,FALSE)</f>
        <v>-0.88300000000000001</v>
      </c>
      <c r="AD177">
        <f>VLOOKUP($A177&amp;AD$1,Data!$A$2:$D$3723,4,FALSE)</f>
        <v>0.17599999999999999</v>
      </c>
      <c r="AE177">
        <f>VLOOKUP($A177&amp;AE$1,Data!$A$2:$D$3723,4,FALSE)</f>
        <v>0.14699999999999999</v>
      </c>
      <c r="AF177">
        <f>VLOOKUP($A177&amp;AF$1,Data!$A$2:$D$3723,4,FALSE)</f>
        <v>0</v>
      </c>
      <c r="AG177">
        <f>VLOOKUP($A177&amp;AG$1,Data!$A$2:$D$3723,4,FALSE)</f>
        <v>5100000</v>
      </c>
    </row>
    <row r="178" spans="1:33" hidden="1" x14ac:dyDescent="0.35">
      <c r="A178" s="13">
        <f t="shared" si="11"/>
        <v>177</v>
      </c>
      <c r="B178" t="s">
        <v>21</v>
      </c>
      <c r="C178" t="s">
        <v>2</v>
      </c>
      <c r="D178">
        <v>5000</v>
      </c>
      <c r="E178" t="s">
        <v>17</v>
      </c>
      <c r="F178" s="5">
        <v>43831</v>
      </c>
      <c r="G178" s="5">
        <v>44562</v>
      </c>
      <c r="H178">
        <v>14</v>
      </c>
      <c r="I178">
        <v>9</v>
      </c>
      <c r="J178">
        <v>32</v>
      </c>
      <c r="K178">
        <v>68</v>
      </c>
      <c r="L178">
        <v>1000000</v>
      </c>
      <c r="M178">
        <f>VLOOKUP($A178&amp;M$1,Data!$A$2:$D$3723,4,FALSE)</f>
        <v>0.17058999999999999</v>
      </c>
      <c r="N178">
        <f>VLOOKUP($A178&amp;N$1,Data!$A$2:$D$3723,4,FALSE)</f>
        <v>1.2E-2</v>
      </c>
      <c r="O178">
        <f>VLOOKUP($A178&amp;O$1,Data!$A$2:$D$3723,4,FALSE)</f>
        <v>664</v>
      </c>
      <c r="P178">
        <f>VLOOKUP($A178&amp;P$1,Data!$A$2:$D$3723,4,FALSE)</f>
        <v>0.22009999999999999</v>
      </c>
      <c r="Q178">
        <f>VLOOKUP($A178&amp;Q$1,Data!$A$2:$D$3723,4,FALSE)</f>
        <v>-0.1124</v>
      </c>
      <c r="R178">
        <f>VLOOKUP($A178&amp;R$1,Data!$A$2:$D$3723,4,FALSE)</f>
        <v>-0.63017999999999996</v>
      </c>
      <c r="S178">
        <f>VLOOKUP($A178&amp;S$1,Data!$A$2:$D$3723,4,FALSE)</f>
        <v>0.77900000000000003</v>
      </c>
      <c r="T178">
        <f>VLOOKUP($A178&amp;T$1,Data!$A$2:$D$3723,4,FALSE)</f>
        <v>-0.09</v>
      </c>
      <c r="U178">
        <f>VLOOKUP($A178&amp;U$1,Data!$A$2:$D$3723,4,FALSE)</f>
        <v>-0.47432000000000002</v>
      </c>
      <c r="V178">
        <f>VLOOKUP($A178&amp;V$1,Data!$A$2:$D$3723,4,FALSE)</f>
        <v>0.69</v>
      </c>
      <c r="W178">
        <f>VLOOKUP($A178&amp;W$1,Data!$A$2:$D$3723,4,FALSE)</f>
        <v>0.31</v>
      </c>
      <c r="X178">
        <f>VLOOKUP($A178&amp;X$1,Data!$A$2:$D$3723,4,FALSE)</f>
        <v>1.96</v>
      </c>
      <c r="Y178">
        <f>VLOOKUP($A178&amp;Y$1,Data!$A$2:$D$3723,4,FALSE)</f>
        <v>0.34</v>
      </c>
      <c r="Z178">
        <f>VLOOKUP($A178&amp;Z$1,Data!$A$2:$D$3723,4,FALSE)</f>
        <v>-5.1150000000000002</v>
      </c>
      <c r="AA178">
        <f>VLOOKUP($A178&amp;AA$1,Data!$A$2:$D$3723,4,FALSE)</f>
        <v>1.165</v>
      </c>
      <c r="AB178">
        <f>VLOOKUP($A178&amp;AB$1,Data!$A$2:$D$3723,4,FALSE)</f>
        <v>1.3580000000000001</v>
      </c>
      <c r="AC178">
        <f>VLOOKUP($A178&amp;AC$1,Data!$A$2:$D$3723,4,FALSE)</f>
        <v>-4.1000000000000002E-2</v>
      </c>
      <c r="AD178">
        <f>VLOOKUP($A178&amp;AD$1,Data!$A$2:$D$3723,4,FALSE)</f>
        <v>1.1870000000000001</v>
      </c>
      <c r="AE178">
        <f>VLOOKUP($A178&amp;AE$1,Data!$A$2:$D$3723,4,FALSE)</f>
        <v>-3.0000000000000001E-3</v>
      </c>
      <c r="AF178">
        <f>VLOOKUP($A178&amp;AF$1,Data!$A$2:$D$3723,4,FALSE)</f>
        <v>0</v>
      </c>
      <c r="AG178">
        <f>VLOOKUP($A178&amp;AG$1,Data!$A$2:$D$3723,4,FALSE)</f>
        <v>3700000</v>
      </c>
    </row>
    <row r="179" spans="1:33" hidden="1" x14ac:dyDescent="0.35">
      <c r="A179" s="13">
        <f>A178+1</f>
        <v>178</v>
      </c>
      <c r="B179" t="s">
        <v>21</v>
      </c>
      <c r="C179" t="s">
        <v>22</v>
      </c>
      <c r="D179">
        <v>100</v>
      </c>
      <c r="E179" t="s">
        <v>17</v>
      </c>
      <c r="F179" s="5">
        <v>43831</v>
      </c>
      <c r="G179" s="5">
        <v>44562</v>
      </c>
      <c r="H179">
        <v>14</v>
      </c>
      <c r="I179">
        <v>9</v>
      </c>
      <c r="J179">
        <v>32</v>
      </c>
      <c r="K179">
        <v>68</v>
      </c>
      <c r="L179">
        <v>1000000</v>
      </c>
      <c r="M179">
        <f>VLOOKUP($A179&amp;M$1,Data!$A$2:$D$3723,4,FALSE)</f>
        <v>0.31640000000000001</v>
      </c>
      <c r="N179">
        <f>VLOOKUP($A179&amp;N$1,Data!$A$2:$D$3723,4,FALSE)</f>
        <v>0.53</v>
      </c>
      <c r="O179">
        <f>VLOOKUP($A179&amp;O$1,Data!$A$2:$D$3723,4,FALSE)</f>
        <v>482</v>
      </c>
      <c r="P179">
        <f>VLOOKUP($A179&amp;P$1,Data!$A$2:$D$3723,4,FALSE)</f>
        <v>2.6499999999999999E-2</v>
      </c>
      <c r="Q179">
        <f>VLOOKUP($A179&amp;Q$1,Data!$A$2:$D$3723,4,FALSE)</f>
        <v>-2.4400000000000002E-2</v>
      </c>
      <c r="R179">
        <f>VLOOKUP($A179&amp;R$1,Data!$A$2:$D$3723,4,FALSE)</f>
        <v>9.2289999999999997E-2</v>
      </c>
      <c r="S179">
        <f>VLOOKUP($A179&amp;S$1,Data!$A$2:$D$3723,4,FALSE)</f>
        <v>0.1</v>
      </c>
      <c r="T179">
        <f>VLOOKUP($A179&amp;T$1,Data!$A$2:$D$3723,4,FALSE)</f>
        <v>0.17399999999999999</v>
      </c>
      <c r="U179">
        <f>VLOOKUP($A179&amp;U$1,Data!$A$2:$D$3723,4,FALSE)</f>
        <v>5.8729999999999997E-2</v>
      </c>
      <c r="V179">
        <f>VLOOKUP($A179&amp;V$1,Data!$A$2:$D$3723,4,FALSE)</f>
        <v>0.44</v>
      </c>
      <c r="W179">
        <f>VLOOKUP($A179&amp;W$1,Data!$A$2:$D$3723,4,FALSE)</f>
        <v>0.56000000000000005</v>
      </c>
      <c r="X179">
        <f>VLOOKUP($A179&amp;X$1,Data!$A$2:$D$3723,4,FALSE)</f>
        <v>1.0900000000000001</v>
      </c>
      <c r="Y179">
        <f>VLOOKUP($A179&amp;Y$1,Data!$A$2:$D$3723,4,FALSE)</f>
        <v>9.7000000000000003E-2</v>
      </c>
      <c r="Z179">
        <f>VLOOKUP($A179&amp;Z$1,Data!$A$2:$D$3723,4,FALSE)</f>
        <v>-0.38</v>
      </c>
      <c r="AA179">
        <f>VLOOKUP($A179&amp;AA$1,Data!$A$2:$D$3723,4,FALSE)</f>
        <v>0.13800000000000001</v>
      </c>
      <c r="AB179">
        <f>VLOOKUP($A179&amp;AB$1,Data!$A$2:$D$3723,4,FALSE)</f>
        <v>1.9E-2</v>
      </c>
      <c r="AC179">
        <f>VLOOKUP($A179&amp;AC$1,Data!$A$2:$D$3723,4,FALSE)</f>
        <v>5.8000000000000003E-2</v>
      </c>
      <c r="AD179">
        <f>VLOOKUP($A179&amp;AD$1,Data!$A$2:$D$3723,4,FALSE)</f>
        <v>0.16400000000000001</v>
      </c>
      <c r="AE179">
        <f>VLOOKUP($A179&amp;AE$1,Data!$A$2:$D$3723,4,FALSE)</f>
        <v>-0.193</v>
      </c>
      <c r="AF179">
        <f>VLOOKUP($A179&amp;AF$1,Data!$A$2:$D$3723,4,FALSE)</f>
        <v>0</v>
      </c>
      <c r="AG179">
        <f>VLOOKUP($A179&amp;AG$1,Data!$A$2:$D$3723,4,FALSE)</f>
        <v>1500000000</v>
      </c>
    </row>
    <row r="180" spans="1:33" hidden="1" x14ac:dyDescent="0.35">
      <c r="A180" s="13">
        <f>A179+1</f>
        <v>179</v>
      </c>
      <c r="B180" t="s">
        <v>21</v>
      </c>
      <c r="C180" t="s">
        <v>22</v>
      </c>
      <c r="D180">
        <v>1000</v>
      </c>
      <c r="E180" t="s">
        <v>17</v>
      </c>
      <c r="F180" s="5">
        <v>43831</v>
      </c>
      <c r="G180" s="5">
        <v>44562</v>
      </c>
      <c r="H180">
        <v>14</v>
      </c>
      <c r="I180">
        <v>9</v>
      </c>
      <c r="J180">
        <v>32</v>
      </c>
      <c r="K180">
        <v>68</v>
      </c>
      <c r="L180">
        <v>1000000</v>
      </c>
      <c r="M180">
        <f>VLOOKUP($A180&amp;M$1,Data!$A$2:$D$3723,4,FALSE)</f>
        <v>0.29929</v>
      </c>
      <c r="N180">
        <f>VLOOKUP($A180&amp;N$1,Data!$A$2:$D$3723,4,FALSE)</f>
        <v>0.45900000000000002</v>
      </c>
      <c r="O180">
        <f>VLOOKUP($A180&amp;O$1,Data!$A$2:$D$3723,4,FALSE)</f>
        <v>482</v>
      </c>
      <c r="P180">
        <f>VLOOKUP($A180&amp;P$1,Data!$A$2:$D$3723,4,FALSE)</f>
        <v>2.5999999999999999E-3</v>
      </c>
      <c r="Q180">
        <f>VLOOKUP($A180&amp;Q$1,Data!$A$2:$D$3723,4,FALSE)</f>
        <v>-2.5000000000000001E-3</v>
      </c>
      <c r="R180">
        <f>VLOOKUP($A180&amp;R$1,Data!$A$2:$D$3723,4,FALSE)</f>
        <v>9.1000000000000004E-3</v>
      </c>
      <c r="S180">
        <f>VLOOKUP($A180&amp;S$1,Data!$A$2:$D$3723,4,FALSE)</f>
        <v>0.01</v>
      </c>
      <c r="T180">
        <f>VLOOKUP($A180&amp;T$1,Data!$A$2:$D$3723,4,FALSE)</f>
        <v>0.151</v>
      </c>
      <c r="U180">
        <f>VLOOKUP($A180&amp;U$1,Data!$A$2:$D$3723,4,FALSE)</f>
        <v>5.8700000000000002E-3</v>
      </c>
      <c r="V180">
        <f>VLOOKUP($A180&amp;V$1,Data!$A$2:$D$3723,4,FALSE)</f>
        <v>0.44</v>
      </c>
      <c r="W180">
        <f>VLOOKUP($A180&amp;W$1,Data!$A$2:$D$3723,4,FALSE)</f>
        <v>0.56000000000000005</v>
      </c>
      <c r="X180">
        <f>VLOOKUP($A180&amp;X$1,Data!$A$2:$D$3723,4,FALSE)</f>
        <v>1.05</v>
      </c>
      <c r="Y180">
        <f>VLOOKUP($A180&amp;Y$1,Data!$A$2:$D$3723,4,FALSE)</f>
        <v>8.9999999999999993E-3</v>
      </c>
      <c r="Z180">
        <f>VLOOKUP($A180&amp;Z$1,Data!$A$2:$D$3723,4,FALSE)</f>
        <v>-3.9E-2</v>
      </c>
      <c r="AA180">
        <f>VLOOKUP($A180&amp;AA$1,Data!$A$2:$D$3723,4,FALSE)</f>
        <v>1.4E-2</v>
      </c>
      <c r="AB180">
        <f>VLOOKUP($A180&amp;AB$1,Data!$A$2:$D$3723,4,FALSE)</f>
        <v>0</v>
      </c>
      <c r="AC180">
        <f>VLOOKUP($A180&amp;AC$1,Data!$A$2:$D$3723,4,FALSE)</f>
        <v>-0.81100000000000005</v>
      </c>
      <c r="AD180">
        <f>VLOOKUP($A180&amp;AD$1,Data!$A$2:$D$3723,4,FALSE)</f>
        <v>7.0999999999999994E-2</v>
      </c>
      <c r="AE180">
        <f>VLOOKUP($A180&amp;AE$1,Data!$A$2:$D$3723,4,FALSE)</f>
        <v>-0.16500000000000001</v>
      </c>
      <c r="AF180">
        <f>VLOOKUP($A180&amp;AF$1,Data!$A$2:$D$3723,4,FALSE)</f>
        <v>0</v>
      </c>
      <c r="AG180">
        <f>VLOOKUP($A180&amp;AG$1,Data!$A$2:$D$3723,4,FALSE)</f>
        <v>14000000000</v>
      </c>
    </row>
    <row r="181" spans="1:33" hidden="1" x14ac:dyDescent="0.35">
      <c r="A181" s="13">
        <f t="shared" si="11"/>
        <v>180</v>
      </c>
      <c r="B181" t="s">
        <v>21</v>
      </c>
      <c r="C181" t="s">
        <v>22</v>
      </c>
      <c r="D181">
        <v>5000</v>
      </c>
      <c r="E181" t="s">
        <v>17</v>
      </c>
      <c r="F181" s="5">
        <v>43831</v>
      </c>
      <c r="G181" s="5">
        <v>44562</v>
      </c>
      <c r="H181">
        <v>14</v>
      </c>
      <c r="I181">
        <v>9</v>
      </c>
      <c r="J181">
        <v>32</v>
      </c>
      <c r="K181">
        <v>68</v>
      </c>
      <c r="L181">
        <v>1000000</v>
      </c>
      <c r="M181">
        <f>VLOOKUP($A181&amp;M$1,Data!$A$2:$D$3723,4,FALSE)</f>
        <v>0.39317999999999997</v>
      </c>
      <c r="N181">
        <f>VLOOKUP($A181&amp;N$1,Data!$A$2:$D$3723,4,FALSE)</f>
        <v>0.96499999999999997</v>
      </c>
      <c r="O181">
        <f>VLOOKUP($A181&amp;O$1,Data!$A$2:$D$3723,4,FALSE)</f>
        <v>481</v>
      </c>
      <c r="P181">
        <f>VLOOKUP($A181&amp;P$1,Data!$A$2:$D$3723,4,FALSE)</f>
        <v>0.14130000000000001</v>
      </c>
      <c r="Q181">
        <f>VLOOKUP($A181&amp;Q$1,Data!$A$2:$D$3723,4,FALSE)</f>
        <v>-0.1089</v>
      </c>
      <c r="R181">
        <f>VLOOKUP($A181&amp;R$1,Data!$A$2:$D$3723,4,FALSE)</f>
        <v>0.50692000000000004</v>
      </c>
      <c r="S181">
        <f>VLOOKUP($A181&amp;S$1,Data!$A$2:$D$3723,4,FALSE)</f>
        <v>0.45800000000000002</v>
      </c>
      <c r="T181">
        <f>VLOOKUP($A181&amp;T$1,Data!$A$2:$D$3723,4,FALSE)</f>
        <v>0.29199999999999998</v>
      </c>
      <c r="U181">
        <f>VLOOKUP($A181&amp;U$1,Data!$A$2:$D$3723,4,FALSE)</f>
        <v>0.30354999999999999</v>
      </c>
      <c r="V181">
        <f>VLOOKUP($A181&amp;V$1,Data!$A$2:$D$3723,4,FALSE)</f>
        <v>0.44</v>
      </c>
      <c r="W181">
        <f>VLOOKUP($A181&amp;W$1,Data!$A$2:$D$3723,4,FALSE)</f>
        <v>0.56000000000000005</v>
      </c>
      <c r="X181">
        <f>VLOOKUP($A181&amp;X$1,Data!$A$2:$D$3723,4,FALSE)</f>
        <v>1.3</v>
      </c>
      <c r="Y181">
        <f>VLOOKUP($A181&amp;Y$1,Data!$A$2:$D$3723,4,FALSE)</f>
        <v>0.80700000000000005</v>
      </c>
      <c r="Z181">
        <f>VLOOKUP($A181&amp;Z$1,Data!$A$2:$D$3723,4,FALSE)</f>
        <v>-1.802</v>
      </c>
      <c r="AA181">
        <f>VLOOKUP($A181&amp;AA$1,Data!$A$2:$D$3723,4,FALSE)</f>
        <v>0.71699999999999997</v>
      </c>
      <c r="AB181">
        <f>VLOOKUP($A181&amp;AB$1,Data!$A$2:$D$3723,4,FALSE)</f>
        <v>0.51400000000000001</v>
      </c>
      <c r="AC181">
        <f>VLOOKUP($A181&amp;AC$1,Data!$A$2:$D$3723,4,FALSE)</f>
        <v>0.86</v>
      </c>
      <c r="AD181">
        <f>VLOOKUP($A181&amp;AD$1,Data!$A$2:$D$3723,4,FALSE)</f>
        <v>0.73099999999999998</v>
      </c>
      <c r="AE181">
        <f>VLOOKUP($A181&amp;AE$1,Data!$A$2:$D$3723,4,FALSE)</f>
        <v>-0.38400000000000001</v>
      </c>
      <c r="AF181">
        <f>VLOOKUP($A181&amp;AF$1,Data!$A$2:$D$3723,4,FALSE)</f>
        <v>0</v>
      </c>
      <c r="AG181">
        <f>VLOOKUP($A181&amp;AG$1,Data!$A$2:$D$3723,4,FALSE)</f>
        <v>380000000</v>
      </c>
    </row>
    <row r="182" spans="1:33" hidden="1" x14ac:dyDescent="0.35">
      <c r="A182" s="13">
        <f>A181+1</f>
        <v>181</v>
      </c>
      <c r="B182" t="s">
        <v>21</v>
      </c>
      <c r="C182" t="s">
        <v>3</v>
      </c>
      <c r="D182">
        <v>100</v>
      </c>
      <c r="E182" t="s">
        <v>17</v>
      </c>
      <c r="F182" s="5">
        <v>43831</v>
      </c>
      <c r="G182" s="5">
        <v>44562</v>
      </c>
      <c r="H182">
        <v>14</v>
      </c>
      <c r="I182">
        <v>9</v>
      </c>
      <c r="J182">
        <v>28</v>
      </c>
      <c r="K182">
        <v>72</v>
      </c>
      <c r="L182">
        <v>1000000</v>
      </c>
      <c r="M182">
        <f>VLOOKUP($A182&amp;M$1,Data!$A$2:$D$3723,4,FALSE)</f>
        <v>0.56884999999999997</v>
      </c>
      <c r="N182">
        <f>VLOOKUP($A182&amp;N$1,Data!$A$2:$D$3723,4,FALSE)</f>
        <v>1.1830000000000001</v>
      </c>
      <c r="O182">
        <f>VLOOKUP($A182&amp;O$1,Data!$A$2:$D$3723,4,FALSE)</f>
        <v>759</v>
      </c>
      <c r="P182">
        <f>VLOOKUP($A182&amp;P$1,Data!$A$2:$D$3723,4,FALSE)</f>
        <v>2.2000000000000001E-3</v>
      </c>
      <c r="Q182">
        <f>VLOOKUP($A182&amp;Q$1,Data!$A$2:$D$3723,4,FALSE)</f>
        <v>-1.4E-3</v>
      </c>
      <c r="R182">
        <f>VLOOKUP($A182&amp;R$1,Data!$A$2:$D$3723,4,FALSE)</f>
        <v>2.3060000000000001E-2</v>
      </c>
      <c r="S182">
        <f>VLOOKUP($A182&amp;S$1,Data!$A$2:$D$3723,4,FALSE)</f>
        <v>6.0000000000000001E-3</v>
      </c>
      <c r="T182">
        <f>VLOOKUP($A182&amp;T$1,Data!$A$2:$D$3723,4,FALSE)</f>
        <v>0.43</v>
      </c>
      <c r="U182">
        <f>VLOOKUP($A182&amp;U$1,Data!$A$2:$D$3723,4,FALSE)</f>
        <v>1.485E-2</v>
      </c>
      <c r="V182">
        <f>VLOOKUP($A182&amp;V$1,Data!$A$2:$D$3723,4,FALSE)</f>
        <v>0.44</v>
      </c>
      <c r="W182">
        <f>VLOOKUP($A182&amp;W$1,Data!$A$2:$D$3723,4,FALSE)</f>
        <v>0.56000000000000005</v>
      </c>
      <c r="X182">
        <f>VLOOKUP($A182&amp;X$1,Data!$A$2:$D$3723,4,FALSE)</f>
        <v>1.55</v>
      </c>
      <c r="Y182">
        <f>VLOOKUP($A182&amp;Y$1,Data!$A$2:$D$3723,4,FALSE)</f>
        <v>1.7999999999999999E-2</v>
      </c>
      <c r="Z182">
        <f>VLOOKUP($A182&amp;Z$1,Data!$A$2:$D$3723,4,FALSE)</f>
        <v>-3.5999999999999997E-2</v>
      </c>
      <c r="AA182">
        <f>VLOOKUP($A182&amp;AA$1,Data!$A$2:$D$3723,4,FALSE)</f>
        <v>1.4E-2</v>
      </c>
      <c r="AB182">
        <f>VLOOKUP($A182&amp;AB$1,Data!$A$2:$D$3723,4,FALSE)</f>
        <v>0</v>
      </c>
      <c r="AC182">
        <f>VLOOKUP($A182&amp;AC$1,Data!$A$2:$D$3723,4,FALSE)</f>
        <v>-0.67700000000000005</v>
      </c>
      <c r="AD182">
        <f>VLOOKUP($A182&amp;AD$1,Data!$A$2:$D$3723,4,FALSE)</f>
        <v>7.0000000000000007E-2</v>
      </c>
      <c r="AE182">
        <f>VLOOKUP($A182&amp;AE$1,Data!$A$2:$D$3723,4,FALSE)</f>
        <v>-0.44600000000000001</v>
      </c>
      <c r="AF182">
        <f>VLOOKUP($A182&amp;AF$1,Data!$A$2:$D$3723,4,FALSE)</f>
        <v>0</v>
      </c>
      <c r="AG182">
        <f>VLOOKUP($A182&amp;AG$1,Data!$A$2:$D$3723,4,FALSE)</f>
        <v>1300000000</v>
      </c>
    </row>
    <row r="183" spans="1:33" hidden="1" x14ac:dyDescent="0.35">
      <c r="A183" s="13">
        <f t="shared" si="11"/>
        <v>182</v>
      </c>
      <c r="B183" t="s">
        <v>21</v>
      </c>
      <c r="C183" t="s">
        <v>3</v>
      </c>
      <c r="D183">
        <v>1000</v>
      </c>
      <c r="E183" t="s">
        <v>17</v>
      </c>
      <c r="F183" s="5">
        <v>43831</v>
      </c>
      <c r="G183" s="5">
        <v>44562</v>
      </c>
      <c r="H183">
        <v>14</v>
      </c>
      <c r="I183">
        <v>9</v>
      </c>
      <c r="J183">
        <v>28</v>
      </c>
      <c r="K183">
        <v>72</v>
      </c>
      <c r="L183">
        <v>1000000</v>
      </c>
      <c r="M183">
        <f>VLOOKUP($A183&amp;M$1,Data!$A$2:$D$3723,4,FALSE)</f>
        <v>0.59408000000000005</v>
      </c>
      <c r="N183">
        <f>VLOOKUP($A183&amp;N$1,Data!$A$2:$D$3723,4,FALSE)</f>
        <v>1.34</v>
      </c>
      <c r="O183">
        <f>VLOOKUP($A183&amp;O$1,Data!$A$2:$D$3723,4,FALSE)</f>
        <v>769</v>
      </c>
      <c r="P183">
        <f>VLOOKUP($A183&amp;P$1,Data!$A$2:$D$3723,4,FALSE)</f>
        <v>2.12E-2</v>
      </c>
      <c r="Q183">
        <f>VLOOKUP($A183&amp;Q$1,Data!$A$2:$D$3723,4,FALSE)</f>
        <v>-1.34E-2</v>
      </c>
      <c r="R183">
        <f>VLOOKUP($A183&amp;R$1,Data!$A$2:$D$3723,4,FALSE)</f>
        <v>0.24113999999999999</v>
      </c>
      <c r="S183">
        <f>VLOOKUP($A183&amp;S$1,Data!$A$2:$D$3723,4,FALSE)</f>
        <v>5.2999999999999999E-2</v>
      </c>
      <c r="T183">
        <f>VLOOKUP($A183&amp;T$1,Data!$A$2:$D$3723,4,FALSE)</f>
        <v>0.44700000000000001</v>
      </c>
      <c r="U183">
        <f>VLOOKUP($A183&amp;U$1,Data!$A$2:$D$3723,4,FALSE)</f>
        <v>0.14988000000000001</v>
      </c>
      <c r="V183">
        <f>VLOOKUP($A183&amp;V$1,Data!$A$2:$D$3723,4,FALSE)</f>
        <v>0.44</v>
      </c>
      <c r="W183">
        <f>VLOOKUP($A183&amp;W$1,Data!$A$2:$D$3723,4,FALSE)</f>
        <v>0.56000000000000005</v>
      </c>
      <c r="X183">
        <f>VLOOKUP($A183&amp;X$1,Data!$A$2:$D$3723,4,FALSE)</f>
        <v>1.58</v>
      </c>
      <c r="Y183">
        <f>VLOOKUP($A183&amp;Y$1,Data!$A$2:$D$3723,4,FALSE)</f>
        <v>0.192</v>
      </c>
      <c r="Z183">
        <f>VLOOKUP($A183&amp;Z$1,Data!$A$2:$D$3723,4,FALSE)</f>
        <v>-0.33400000000000002</v>
      </c>
      <c r="AA183">
        <f>VLOOKUP($A183&amp;AA$1,Data!$A$2:$D$3723,4,FALSE)</f>
        <v>0.128</v>
      </c>
      <c r="AB183">
        <f>VLOOKUP($A183&amp;AB$1,Data!$A$2:$D$3723,4,FALSE)</f>
        <v>1.6E-2</v>
      </c>
      <c r="AC183">
        <f>VLOOKUP($A183&amp;AC$1,Data!$A$2:$D$3723,4,FALSE)</f>
        <v>0.69699999999999995</v>
      </c>
      <c r="AD183">
        <f>VLOOKUP($A183&amp;AD$1,Data!$A$2:$D$3723,4,FALSE)</f>
        <v>0.154</v>
      </c>
      <c r="AE183">
        <f>VLOOKUP($A183&amp;AE$1,Data!$A$2:$D$3723,4,FALSE)</f>
        <v>-0.51200000000000001</v>
      </c>
      <c r="AF183">
        <f>VLOOKUP($A183&amp;AF$1,Data!$A$2:$D$3723,4,FALSE)</f>
        <v>0</v>
      </c>
      <c r="AG183">
        <f>VLOOKUP($A183&amp;AG$1,Data!$A$2:$D$3723,4,FALSE)</f>
        <v>50000000</v>
      </c>
    </row>
    <row r="184" spans="1:33" hidden="1" x14ac:dyDescent="0.35">
      <c r="A184" s="13">
        <f t="shared" si="11"/>
        <v>183</v>
      </c>
      <c r="B184" t="s">
        <v>21</v>
      </c>
      <c r="C184" t="s">
        <v>3</v>
      </c>
      <c r="D184">
        <v>5000</v>
      </c>
      <c r="E184" t="s">
        <v>17</v>
      </c>
      <c r="F184" s="5">
        <v>43831</v>
      </c>
      <c r="G184" s="5">
        <v>44562</v>
      </c>
      <c r="H184">
        <v>14</v>
      </c>
      <c r="I184">
        <v>9</v>
      </c>
      <c r="J184">
        <v>28</v>
      </c>
      <c r="K184">
        <v>72</v>
      </c>
      <c r="L184">
        <v>1000000</v>
      </c>
      <c r="M184">
        <f>VLOOKUP($A184&amp;M$1,Data!$A$2:$D$3723,4,FALSE)</f>
        <v>0.65119000000000005</v>
      </c>
      <c r="N184">
        <f>VLOOKUP($A184&amp;N$1,Data!$A$2:$D$3723,4,FALSE)</f>
        <v>2.032</v>
      </c>
      <c r="O184">
        <f>VLOOKUP($A184&amp;O$1,Data!$A$2:$D$3723,4,FALSE)</f>
        <v>759</v>
      </c>
      <c r="P184">
        <f>VLOOKUP($A184&amp;P$1,Data!$A$2:$D$3723,4,FALSE)</f>
        <v>9.2200000000000004E-2</v>
      </c>
      <c r="Q184">
        <f>VLOOKUP($A184&amp;Q$1,Data!$A$2:$D$3723,4,FALSE)</f>
        <v>-5.4899999999999997E-2</v>
      </c>
      <c r="R184">
        <f>VLOOKUP($A184&amp;R$1,Data!$A$2:$D$3723,4,FALSE)</f>
        <v>1.36084</v>
      </c>
      <c r="S184">
        <f>VLOOKUP($A184&amp;S$1,Data!$A$2:$D$3723,4,FALSE)</f>
        <v>0.191</v>
      </c>
      <c r="T184">
        <f>VLOOKUP($A184&amp;T$1,Data!$A$2:$D$3723,4,FALSE)</f>
        <v>0.5</v>
      </c>
      <c r="U184">
        <f>VLOOKUP($A184&amp;U$1,Data!$A$2:$D$3723,4,FALSE)</f>
        <v>0.74250000000000005</v>
      </c>
      <c r="V184">
        <f>VLOOKUP($A184&amp;V$1,Data!$A$2:$D$3723,4,FALSE)</f>
        <v>0.44</v>
      </c>
      <c r="W184">
        <f>VLOOKUP($A184&amp;W$1,Data!$A$2:$D$3723,4,FALSE)</f>
        <v>0.56000000000000005</v>
      </c>
      <c r="X184">
        <f>VLOOKUP($A184&amp;X$1,Data!$A$2:$D$3723,4,FALSE)</f>
        <v>1.68</v>
      </c>
      <c r="Y184">
        <f>VLOOKUP($A184&amp;Y$1,Data!$A$2:$D$3723,4,FALSE)</f>
        <v>1.1619999999999999</v>
      </c>
      <c r="Z184">
        <f>VLOOKUP($A184&amp;Z$1,Data!$A$2:$D$3723,4,FALSE)</f>
        <v>-1.321</v>
      </c>
      <c r="AA184">
        <f>VLOOKUP($A184&amp;AA$1,Data!$A$2:$D$3723,4,FALSE)</f>
        <v>0.53</v>
      </c>
      <c r="AB184">
        <f>VLOOKUP($A184&amp;AB$1,Data!$A$2:$D$3723,4,FALSE)</f>
        <v>0.28100000000000003</v>
      </c>
      <c r="AC184">
        <f>VLOOKUP($A184&amp;AC$1,Data!$A$2:$D$3723,4,FALSE)</f>
        <v>1.859</v>
      </c>
      <c r="AD184">
        <f>VLOOKUP($A184&amp;AD$1,Data!$A$2:$D$3723,4,FALSE)</f>
        <v>0.54600000000000004</v>
      </c>
      <c r="AE184">
        <f>VLOOKUP($A184&amp;AE$1,Data!$A$2:$D$3723,4,FALSE)</f>
        <v>-0.81599999999999995</v>
      </c>
      <c r="AF184">
        <f>VLOOKUP($A184&amp;AF$1,Data!$A$2:$D$3723,4,FALSE)</f>
        <v>0</v>
      </c>
      <c r="AG184">
        <f>VLOOKUP($A184&amp;AG$1,Data!$A$2:$D$3723,4,FALSE)</f>
        <v>44000000</v>
      </c>
    </row>
    <row r="185" spans="1:33" hidden="1" x14ac:dyDescent="0.35">
      <c r="A185" s="13">
        <f t="shared" si="11"/>
        <v>184</v>
      </c>
      <c r="B185" t="s">
        <v>21</v>
      </c>
      <c r="C185" t="s">
        <v>2</v>
      </c>
      <c r="D185">
        <v>100</v>
      </c>
      <c r="E185" t="s">
        <v>17</v>
      </c>
      <c r="F185" s="5">
        <v>43831</v>
      </c>
      <c r="G185" s="5">
        <v>44562</v>
      </c>
      <c r="H185">
        <v>14</v>
      </c>
      <c r="I185">
        <v>9</v>
      </c>
      <c r="J185">
        <v>28</v>
      </c>
      <c r="K185">
        <v>72</v>
      </c>
      <c r="L185">
        <v>1000000</v>
      </c>
      <c r="M185">
        <f>VLOOKUP($A185&amp;M$1,Data!$A$2:$D$3723,4,FALSE)</f>
        <v>0.7389</v>
      </c>
      <c r="N185">
        <f>VLOOKUP($A185&amp;N$1,Data!$A$2:$D$3723,4,FALSE)</f>
        <v>1.577</v>
      </c>
      <c r="O185">
        <f>VLOOKUP($A185&amp;O$1,Data!$A$2:$D$3723,4,FALSE)</f>
        <v>386</v>
      </c>
      <c r="P185">
        <f>VLOOKUP($A185&amp;P$1,Data!$A$2:$D$3723,4,FALSE)</f>
        <v>4.1000000000000003E-3</v>
      </c>
      <c r="Q185">
        <f>VLOOKUP($A185&amp;Q$1,Data!$A$2:$D$3723,4,FALSE)</f>
        <v>-1.6000000000000001E-3</v>
      </c>
      <c r="R185">
        <f>VLOOKUP($A185&amp;R$1,Data!$A$2:$D$3723,4,FALSE)</f>
        <v>3.6429999999999997E-2</v>
      </c>
      <c r="S185">
        <f>VLOOKUP($A185&amp;S$1,Data!$A$2:$D$3723,4,FALSE)</f>
        <v>1.2E-2</v>
      </c>
      <c r="T185">
        <f>VLOOKUP($A185&amp;T$1,Data!$A$2:$D$3723,4,FALSE)</f>
        <v>1.3420000000000001</v>
      </c>
      <c r="U185">
        <f>VLOOKUP($A185&amp;U$1,Data!$A$2:$D$3723,4,FALSE)</f>
        <v>2.3400000000000001E-2</v>
      </c>
      <c r="V185">
        <f>VLOOKUP($A185&amp;V$1,Data!$A$2:$D$3723,4,FALSE)</f>
        <v>0.33</v>
      </c>
      <c r="W185">
        <f>VLOOKUP($A185&amp;W$1,Data!$A$2:$D$3723,4,FALSE)</f>
        <v>0.67</v>
      </c>
      <c r="X185">
        <f>VLOOKUP($A185&amp;X$1,Data!$A$2:$D$3723,4,FALSE)</f>
        <v>2.5099999999999998</v>
      </c>
      <c r="Y185">
        <f>VLOOKUP($A185&amp;Y$1,Data!$A$2:$D$3723,4,FALSE)</f>
        <v>2.9000000000000001E-2</v>
      </c>
      <c r="Z185">
        <f>VLOOKUP($A185&amp;Z$1,Data!$A$2:$D$3723,4,FALSE)</f>
        <v>-6.2E-2</v>
      </c>
      <c r="AA185">
        <f>VLOOKUP($A185&amp;AA$1,Data!$A$2:$D$3723,4,FALSE)</f>
        <v>1.6E-2</v>
      </c>
      <c r="AB185">
        <f>VLOOKUP($A185&amp;AB$1,Data!$A$2:$D$3723,4,FALSE)</f>
        <v>0</v>
      </c>
      <c r="AC185">
        <f>VLOOKUP($A185&amp;AC$1,Data!$A$2:$D$3723,4,FALSE)</f>
        <v>-0.53</v>
      </c>
      <c r="AD185">
        <f>VLOOKUP($A185&amp;AD$1,Data!$A$2:$D$3723,4,FALSE)</f>
        <v>7.2999999999999995E-2</v>
      </c>
      <c r="AE185">
        <f>VLOOKUP($A185&amp;AE$1,Data!$A$2:$D$3723,4,FALSE)</f>
        <v>-0.40600000000000003</v>
      </c>
      <c r="AF185">
        <f>VLOOKUP($A185&amp;AF$1,Data!$A$2:$D$3723,4,FALSE)</f>
        <v>0</v>
      </c>
      <c r="AG185">
        <f>VLOOKUP($A185&amp;AG$1,Data!$A$2:$D$3723,4,FALSE)</f>
        <v>19000000</v>
      </c>
    </row>
    <row r="186" spans="1:33" hidden="1" x14ac:dyDescent="0.35">
      <c r="A186" s="13">
        <f>A185+1</f>
        <v>185</v>
      </c>
      <c r="B186" t="s">
        <v>21</v>
      </c>
      <c r="C186" t="s">
        <v>2</v>
      </c>
      <c r="D186">
        <v>1000</v>
      </c>
      <c r="E186" t="s">
        <v>17</v>
      </c>
      <c r="F186" s="5">
        <v>43831</v>
      </c>
      <c r="G186" s="5">
        <v>44562</v>
      </c>
      <c r="H186">
        <v>14</v>
      </c>
      <c r="I186">
        <v>9</v>
      </c>
      <c r="J186">
        <v>28</v>
      </c>
      <c r="K186">
        <v>72</v>
      </c>
      <c r="L186">
        <v>1000000</v>
      </c>
      <c r="M186">
        <f>VLOOKUP($A186&amp;M$1,Data!$A$2:$D$3723,4,FALSE)</f>
        <v>0.75388999999999995</v>
      </c>
      <c r="N186">
        <f>VLOOKUP($A186&amp;N$1,Data!$A$2:$D$3723,4,FALSE)</f>
        <v>1.7749999999999999</v>
      </c>
      <c r="O186">
        <f>VLOOKUP($A186&amp;O$1,Data!$A$2:$D$3723,4,FALSE)</f>
        <v>386</v>
      </c>
      <c r="P186">
        <f>VLOOKUP($A186&amp;P$1,Data!$A$2:$D$3723,4,FALSE)</f>
        <v>3.9100000000000003E-2</v>
      </c>
      <c r="Q186">
        <f>VLOOKUP($A186&amp;Q$1,Data!$A$2:$D$3723,4,FALSE)</f>
        <v>-1.61E-2</v>
      </c>
      <c r="R186">
        <f>VLOOKUP($A186&amp;R$1,Data!$A$2:$D$3723,4,FALSE)</f>
        <v>0.38435999999999998</v>
      </c>
      <c r="S186">
        <f>VLOOKUP($A186&amp;S$1,Data!$A$2:$D$3723,4,FALSE)</f>
        <v>9.9000000000000005E-2</v>
      </c>
      <c r="T186">
        <f>VLOOKUP($A186&amp;T$1,Data!$A$2:$D$3723,4,FALSE)</f>
        <v>1.2829999999999999</v>
      </c>
      <c r="U186">
        <f>VLOOKUP($A186&amp;U$1,Data!$A$2:$D$3723,4,FALSE)</f>
        <v>0.23399</v>
      </c>
      <c r="V186">
        <f>VLOOKUP($A186&amp;V$1,Data!$A$2:$D$3723,4,FALSE)</f>
        <v>0.33</v>
      </c>
      <c r="W186">
        <f>VLOOKUP($A186&amp;W$1,Data!$A$2:$D$3723,4,FALSE)</f>
        <v>0.67</v>
      </c>
      <c r="X186">
        <f>VLOOKUP($A186&amp;X$1,Data!$A$2:$D$3723,4,FALSE)</f>
        <v>2.42</v>
      </c>
      <c r="Y186">
        <f>VLOOKUP($A186&amp;Y$1,Data!$A$2:$D$3723,4,FALSE)</f>
        <v>0.30299999999999999</v>
      </c>
      <c r="Z186">
        <f>VLOOKUP($A186&amp;Z$1,Data!$A$2:$D$3723,4,FALSE)</f>
        <v>-0.57299999999999995</v>
      </c>
      <c r="AA186">
        <f>VLOOKUP($A186&amp;AA$1,Data!$A$2:$D$3723,4,FALSE)</f>
        <v>0.15</v>
      </c>
      <c r="AB186">
        <f>VLOOKUP($A186&amp;AB$1,Data!$A$2:$D$3723,4,FALSE)</f>
        <v>2.3E-2</v>
      </c>
      <c r="AC186">
        <f>VLOOKUP($A186&amp;AC$1,Data!$A$2:$D$3723,4,FALSE)</f>
        <v>1.133</v>
      </c>
      <c r="AD186">
        <f>VLOOKUP($A186&amp;AD$1,Data!$A$2:$D$3723,4,FALSE)</f>
        <v>0.17899999999999999</v>
      </c>
      <c r="AE186">
        <f>VLOOKUP($A186&amp;AE$1,Data!$A$2:$D$3723,4,FALSE)</f>
        <v>-0.46600000000000003</v>
      </c>
      <c r="AF186">
        <f>VLOOKUP($A186&amp;AF$1,Data!$A$2:$D$3723,4,FALSE)</f>
        <v>0</v>
      </c>
      <c r="AG186">
        <f>VLOOKUP($A186&amp;AG$1,Data!$A$2:$D$3723,4,FALSE)</f>
        <v>3300000</v>
      </c>
    </row>
    <row r="187" spans="1:33" hidden="1" x14ac:dyDescent="0.35">
      <c r="A187" s="13">
        <f t="shared" si="11"/>
        <v>186</v>
      </c>
      <c r="B187" t="s">
        <v>21</v>
      </c>
      <c r="C187" t="s">
        <v>2</v>
      </c>
      <c r="D187">
        <v>5000</v>
      </c>
      <c r="E187" t="s">
        <v>17</v>
      </c>
      <c r="F187" s="5">
        <v>43831</v>
      </c>
      <c r="G187" s="5">
        <v>44562</v>
      </c>
      <c r="H187">
        <v>14</v>
      </c>
      <c r="I187">
        <v>9</v>
      </c>
      <c r="J187">
        <v>28</v>
      </c>
      <c r="K187">
        <v>72</v>
      </c>
      <c r="L187">
        <v>1000000</v>
      </c>
      <c r="M187">
        <f>VLOOKUP($A187&amp;M$1,Data!$A$2:$D$3723,4,FALSE)</f>
        <v>0.77017000000000002</v>
      </c>
      <c r="N187">
        <f>VLOOKUP($A187&amp;N$1,Data!$A$2:$D$3723,4,FALSE)</f>
        <v>2.6789999999999998</v>
      </c>
      <c r="O187">
        <f>VLOOKUP($A187&amp;O$1,Data!$A$2:$D$3723,4,FALSE)</f>
        <v>386</v>
      </c>
      <c r="P187">
        <f>VLOOKUP($A187&amp;P$1,Data!$A$2:$D$3723,4,FALSE)</f>
        <v>0.17280000000000001</v>
      </c>
      <c r="Q187">
        <f>VLOOKUP($A187&amp;Q$1,Data!$A$2:$D$3723,4,FALSE)</f>
        <v>-7.6300000000000007E-2</v>
      </c>
      <c r="R187">
        <f>VLOOKUP($A187&amp;R$1,Data!$A$2:$D$3723,4,FALSE)</f>
        <v>2.3147700000000002</v>
      </c>
      <c r="S187">
        <f>VLOOKUP($A187&amp;S$1,Data!$A$2:$D$3723,4,FALSE)</f>
        <v>0.28299999999999997</v>
      </c>
      <c r="T187">
        <f>VLOOKUP($A187&amp;T$1,Data!$A$2:$D$3723,4,FALSE)</f>
        <v>1.1759999999999999</v>
      </c>
      <c r="U187">
        <f>VLOOKUP($A187&amp;U$1,Data!$A$2:$D$3723,4,FALSE)</f>
        <v>1.16997</v>
      </c>
      <c r="V187">
        <f>VLOOKUP($A187&amp;V$1,Data!$A$2:$D$3723,4,FALSE)</f>
        <v>0.33</v>
      </c>
      <c r="W187">
        <f>VLOOKUP($A187&amp;W$1,Data!$A$2:$D$3723,4,FALSE)</f>
        <v>0.67</v>
      </c>
      <c r="X187">
        <f>VLOOKUP($A187&amp;X$1,Data!$A$2:$D$3723,4,FALSE)</f>
        <v>2.2599999999999998</v>
      </c>
      <c r="Y187">
        <f>VLOOKUP($A187&amp;Y$1,Data!$A$2:$D$3723,4,FALSE)</f>
        <v>1.899</v>
      </c>
      <c r="Z187">
        <f>VLOOKUP($A187&amp;Z$1,Data!$A$2:$D$3723,4,FALSE)</f>
        <v>-2.2629999999999999</v>
      </c>
      <c r="AA187">
        <f>VLOOKUP($A187&amp;AA$1,Data!$A$2:$D$3723,4,FALSE)</f>
        <v>0.65500000000000003</v>
      </c>
      <c r="AB187">
        <f>VLOOKUP($A187&amp;AB$1,Data!$A$2:$D$3723,4,FALSE)</f>
        <v>0.42899999999999999</v>
      </c>
      <c r="AC187">
        <f>VLOOKUP($A187&amp;AC$1,Data!$A$2:$D$3723,4,FALSE)</f>
        <v>2.5099999999999998</v>
      </c>
      <c r="AD187">
        <f>VLOOKUP($A187&amp;AD$1,Data!$A$2:$D$3723,4,FALSE)</f>
        <v>0.67400000000000004</v>
      </c>
      <c r="AE187">
        <f>VLOOKUP($A187&amp;AE$1,Data!$A$2:$D$3723,4,FALSE)</f>
        <v>-0.77600000000000002</v>
      </c>
      <c r="AF187">
        <f>VLOOKUP($A187&amp;AF$1,Data!$A$2:$D$3723,4,FALSE)</f>
        <v>0</v>
      </c>
      <c r="AG187">
        <f>VLOOKUP($A187&amp;AG$1,Data!$A$2:$D$3723,4,FALSE)</f>
        <v>1700000</v>
      </c>
    </row>
    <row r="188" spans="1:33" hidden="1" x14ac:dyDescent="0.35">
      <c r="A188" s="13">
        <f t="shared" si="11"/>
        <v>187</v>
      </c>
      <c r="B188" t="s">
        <v>21</v>
      </c>
      <c r="C188" t="s">
        <v>22</v>
      </c>
      <c r="D188">
        <v>100</v>
      </c>
      <c r="E188" t="s">
        <v>17</v>
      </c>
      <c r="F188" s="5">
        <v>43831</v>
      </c>
      <c r="G188" s="5">
        <v>44562</v>
      </c>
      <c r="H188">
        <v>14</v>
      </c>
      <c r="I188">
        <v>9</v>
      </c>
      <c r="J188">
        <v>28</v>
      </c>
      <c r="K188">
        <v>72</v>
      </c>
      <c r="L188">
        <v>1000000</v>
      </c>
      <c r="M188">
        <f>VLOOKUP($A188&amp;M$1,Data!$A$2:$D$3723,4,FALSE)</f>
        <v>0.28816000000000003</v>
      </c>
      <c r="N188">
        <f>VLOOKUP($A188&amp;N$1,Data!$A$2:$D$3723,4,FALSE)</f>
        <v>0.42299999999999999</v>
      </c>
      <c r="O188">
        <f>VLOOKUP($A188&amp;O$1,Data!$A$2:$D$3723,4,FALSE)</f>
        <v>268</v>
      </c>
      <c r="P188">
        <f>VLOOKUP($A188&amp;P$1,Data!$A$2:$D$3723,4,FALSE)</f>
        <v>4.1999999999999997E-3</v>
      </c>
      <c r="Q188">
        <f>VLOOKUP($A188&amp;Q$1,Data!$A$2:$D$3723,4,FALSE)</f>
        <v>-2.5000000000000001E-3</v>
      </c>
      <c r="R188">
        <f>VLOOKUP($A188&amp;R$1,Data!$A$2:$D$3723,4,FALSE)</f>
        <v>1.1010000000000001E-2</v>
      </c>
      <c r="S188">
        <f>VLOOKUP($A188&amp;S$1,Data!$A$2:$D$3723,4,FALSE)</f>
        <v>2.4E-2</v>
      </c>
      <c r="T188">
        <f>VLOOKUP($A188&amp;T$1,Data!$A$2:$D$3723,4,FALSE)</f>
        <v>0.65800000000000003</v>
      </c>
      <c r="U188">
        <f>VLOOKUP($A188&amp;U$1,Data!$A$2:$D$3723,4,FALSE)</f>
        <v>7.11E-3</v>
      </c>
      <c r="V188">
        <f>VLOOKUP($A188&amp;V$1,Data!$A$2:$D$3723,4,FALSE)</f>
        <v>0.38</v>
      </c>
      <c r="W188">
        <f>VLOOKUP($A188&amp;W$1,Data!$A$2:$D$3723,4,FALSE)</f>
        <v>0.62</v>
      </c>
      <c r="X188">
        <f>VLOOKUP($A188&amp;X$1,Data!$A$2:$D$3723,4,FALSE)</f>
        <v>1.65</v>
      </c>
      <c r="Y188">
        <f>VLOOKUP($A188&amp;Y$1,Data!$A$2:$D$3723,4,FALSE)</f>
        <v>1.2999999999999999E-2</v>
      </c>
      <c r="Z188">
        <f>VLOOKUP($A188&amp;Z$1,Data!$A$2:$D$3723,4,FALSE)</f>
        <v>-8.5999999999999993E-2</v>
      </c>
      <c r="AA188">
        <f>VLOOKUP($A188&amp;AA$1,Data!$A$2:$D$3723,4,FALSE)</f>
        <v>1.7999999999999999E-2</v>
      </c>
      <c r="AB188">
        <f>VLOOKUP($A188&amp;AB$1,Data!$A$2:$D$3723,4,FALSE)</f>
        <v>0</v>
      </c>
      <c r="AC188">
        <f>VLOOKUP($A188&amp;AC$1,Data!$A$2:$D$3723,4,FALSE)</f>
        <v>-0.75</v>
      </c>
      <c r="AD188">
        <f>VLOOKUP($A188&amp;AD$1,Data!$A$2:$D$3723,4,FALSE)</f>
        <v>7.4999999999999997E-2</v>
      </c>
      <c r="AE188">
        <f>VLOOKUP($A188&amp;AE$1,Data!$A$2:$D$3723,4,FALSE)</f>
        <v>-0.09</v>
      </c>
      <c r="AF188">
        <f>VLOOKUP($A188&amp;AF$1,Data!$A$2:$D$3723,4,FALSE)</f>
        <v>0</v>
      </c>
      <c r="AG188">
        <f>VLOOKUP($A188&amp;AG$1,Data!$A$2:$D$3723,4,FALSE)</f>
        <v>88000000</v>
      </c>
    </row>
    <row r="189" spans="1:33" hidden="1" x14ac:dyDescent="0.35">
      <c r="A189" s="13">
        <f>A188+1</f>
        <v>188</v>
      </c>
      <c r="B189" t="s">
        <v>21</v>
      </c>
      <c r="C189" t="s">
        <v>22</v>
      </c>
      <c r="D189">
        <v>1000</v>
      </c>
      <c r="E189" t="s">
        <v>17</v>
      </c>
      <c r="F189" s="5">
        <v>43831</v>
      </c>
      <c r="G189" s="5">
        <v>44562</v>
      </c>
      <c r="H189">
        <v>14</v>
      </c>
      <c r="I189">
        <v>9</v>
      </c>
      <c r="J189">
        <v>28</v>
      </c>
      <c r="K189">
        <v>72</v>
      </c>
      <c r="L189">
        <v>1000000</v>
      </c>
      <c r="M189">
        <f>VLOOKUP($A189&amp;M$1,Data!$A$2:$D$3723,4,FALSE)</f>
        <v>0.31263000000000002</v>
      </c>
      <c r="N189">
        <f>VLOOKUP($A189&amp;N$1,Data!$A$2:$D$3723,4,FALSE)</f>
        <v>0.52100000000000002</v>
      </c>
      <c r="O189">
        <f>VLOOKUP($A189&amp;O$1,Data!$A$2:$D$3723,4,FALSE)</f>
        <v>268</v>
      </c>
      <c r="P189">
        <f>VLOOKUP($A189&amp;P$1,Data!$A$2:$D$3723,4,FALSE)</f>
        <v>4.0599999999999997E-2</v>
      </c>
      <c r="Q189">
        <f>VLOOKUP($A189&amp;Q$1,Data!$A$2:$D$3723,4,FALSE)</f>
        <v>-2.3400000000000001E-2</v>
      </c>
      <c r="R189">
        <f>VLOOKUP($A189&amp;R$1,Data!$A$2:$D$3723,4,FALSE)</f>
        <v>0.11203</v>
      </c>
      <c r="S189">
        <f>VLOOKUP($A189&amp;S$1,Data!$A$2:$D$3723,4,FALSE)</f>
        <v>0.20899999999999999</v>
      </c>
      <c r="T189">
        <f>VLOOKUP($A189&amp;T$1,Data!$A$2:$D$3723,4,FALSE)</f>
        <v>0.71</v>
      </c>
      <c r="U189">
        <f>VLOOKUP($A189&amp;U$1,Data!$A$2:$D$3723,4,FALSE)</f>
        <v>7.1059999999999998E-2</v>
      </c>
      <c r="V189">
        <f>VLOOKUP($A189&amp;V$1,Data!$A$2:$D$3723,4,FALSE)</f>
        <v>0.38</v>
      </c>
      <c r="W189">
        <f>VLOOKUP($A189&amp;W$1,Data!$A$2:$D$3723,4,FALSE)</f>
        <v>0.62</v>
      </c>
      <c r="X189">
        <f>VLOOKUP($A189&amp;X$1,Data!$A$2:$D$3723,4,FALSE)</f>
        <v>1.74</v>
      </c>
      <c r="Y189">
        <f>VLOOKUP($A189&amp;Y$1,Data!$A$2:$D$3723,4,FALSE)</f>
        <v>0.14799999999999999</v>
      </c>
      <c r="Z189">
        <f>VLOOKUP($A189&amp;Z$1,Data!$A$2:$D$3723,4,FALSE)</f>
        <v>-0.84599999999999997</v>
      </c>
      <c r="AA189">
        <f>VLOOKUP($A189&amp;AA$1,Data!$A$2:$D$3723,4,FALSE)</f>
        <v>0.18</v>
      </c>
      <c r="AB189">
        <f>VLOOKUP($A189&amp;AB$1,Data!$A$2:$D$3723,4,FALSE)</f>
        <v>3.2000000000000001E-2</v>
      </c>
      <c r="AC189">
        <f>VLOOKUP($A189&amp;AC$1,Data!$A$2:$D$3723,4,FALSE)</f>
        <v>0.14299999999999999</v>
      </c>
      <c r="AD189">
        <f>VLOOKUP($A189&amp;AD$1,Data!$A$2:$D$3723,4,FALSE)</f>
        <v>0.21099999999999999</v>
      </c>
      <c r="AE189">
        <f>VLOOKUP($A189&amp;AE$1,Data!$A$2:$D$3723,4,FALSE)</f>
        <v>-0.111</v>
      </c>
      <c r="AF189">
        <f>VLOOKUP($A189&amp;AF$1,Data!$A$2:$D$3723,4,FALSE)</f>
        <v>0</v>
      </c>
      <c r="AG189">
        <f>VLOOKUP($A189&amp;AG$1,Data!$A$2:$D$3723,4,FALSE)</f>
        <v>9900000</v>
      </c>
    </row>
    <row r="190" spans="1:33" hidden="1" x14ac:dyDescent="0.35">
      <c r="A190" s="13">
        <f t="shared" si="11"/>
        <v>189</v>
      </c>
      <c r="B190" t="s">
        <v>21</v>
      </c>
      <c r="C190" t="s">
        <v>22</v>
      </c>
      <c r="D190">
        <v>5000</v>
      </c>
      <c r="E190" t="s">
        <v>17</v>
      </c>
      <c r="F190" s="5">
        <v>43831</v>
      </c>
      <c r="G190" s="5">
        <v>44562</v>
      </c>
      <c r="H190">
        <v>14</v>
      </c>
      <c r="I190">
        <v>9</v>
      </c>
      <c r="J190">
        <v>28</v>
      </c>
      <c r="K190">
        <v>72</v>
      </c>
      <c r="L190">
        <v>1000000</v>
      </c>
      <c r="M190" s="7">
        <f>VLOOKUP($A190&amp;M$1,Data!$A$2:$D$3723,4,FALSE)</f>
        <v>0.41333999999999999</v>
      </c>
      <c r="N190" s="7">
        <f>VLOOKUP($A190&amp;N$1,Data!$A$2:$D$3723,4,FALSE)</f>
        <v>1.1559999999999999</v>
      </c>
      <c r="O190" s="7">
        <f>VLOOKUP($A190&amp;O$1,Data!$A$2:$D$3723,4,FALSE)</f>
        <v>268</v>
      </c>
      <c r="P190">
        <f>VLOOKUP($A190&amp;P$1,Data!$A$2:$D$3723,4,FALSE)</f>
        <v>0.1784</v>
      </c>
      <c r="Q190">
        <f>VLOOKUP($A190&amp;Q$1,Data!$A$2:$D$3723,4,FALSE)</f>
        <v>-8.6199999999999999E-2</v>
      </c>
      <c r="R190">
        <f>VLOOKUP($A190&amp;R$1,Data!$A$2:$D$3723,4,FALSE)</f>
        <v>0.60363999999999995</v>
      </c>
      <c r="S190">
        <f>VLOOKUP($A190&amp;S$1,Data!$A$2:$D$3723,4,FALSE)</f>
        <v>0.69099999999999995</v>
      </c>
      <c r="T190">
        <f>VLOOKUP($A190&amp;T$1,Data!$A$2:$D$3723,4,FALSE)</f>
        <v>0.91900000000000004</v>
      </c>
      <c r="U190">
        <f>VLOOKUP($A190&amp;U$1,Data!$A$2:$D$3723,4,FALSE)</f>
        <v>0.35528999999999999</v>
      </c>
      <c r="V190">
        <f>VLOOKUP($A190&amp;V$1,Data!$A$2:$D$3723,4,FALSE)</f>
        <v>0.38</v>
      </c>
      <c r="W190">
        <f>VLOOKUP($A190&amp;W$1,Data!$A$2:$D$3723,4,FALSE)</f>
        <v>0.62</v>
      </c>
      <c r="X190">
        <f>VLOOKUP($A190&amp;X$1,Data!$A$2:$D$3723,4,FALSE)</f>
        <v>2.0699999999999998</v>
      </c>
      <c r="Y190">
        <f>VLOOKUP($A190&amp;Y$1,Data!$A$2:$D$3723,4,FALSE)</f>
        <v>1.34</v>
      </c>
      <c r="Z190">
        <f>VLOOKUP($A190&amp;Z$1,Data!$A$2:$D$3723,4,FALSE)</f>
        <v>-4.1079999999999997</v>
      </c>
      <c r="AA190">
        <f>VLOOKUP($A190&amp;AA$1,Data!$A$2:$D$3723,4,FALSE)</f>
        <v>0.93200000000000005</v>
      </c>
      <c r="AB190">
        <f>VLOOKUP($A190&amp;AB$1,Data!$A$2:$D$3723,4,FALSE)</f>
        <v>0.86799999999999999</v>
      </c>
      <c r="AC190">
        <f>VLOOKUP($A190&amp;AC$1,Data!$A$2:$D$3723,4,FALSE)</f>
        <v>1.0629999999999999</v>
      </c>
      <c r="AD190">
        <f>VLOOKUP($A190&amp;AD$1,Data!$A$2:$D$3723,4,FALSE)</f>
        <v>0.95399999999999996</v>
      </c>
      <c r="AE190">
        <f>VLOOKUP($A190&amp;AE$1,Data!$A$2:$D$3723,4,FALSE)</f>
        <v>-0.26200000000000001</v>
      </c>
      <c r="AF190">
        <f>VLOOKUP($A190&amp;AF$1,Data!$A$2:$D$3723,4,FALSE)</f>
        <v>0</v>
      </c>
      <c r="AG190">
        <f>VLOOKUP($A190&amp;AG$1,Data!$A$2:$D$3723,4,FALSE)</f>
        <v>2800000</v>
      </c>
    </row>
    <row r="191" spans="1:33" hidden="1" x14ac:dyDescent="0.35">
      <c r="A191" s="13">
        <f t="shared" si="11"/>
        <v>190</v>
      </c>
      <c r="B191" t="s">
        <v>0</v>
      </c>
      <c r="C191" t="s">
        <v>3</v>
      </c>
      <c r="D191">
        <v>10</v>
      </c>
      <c r="E191" t="s">
        <v>17</v>
      </c>
      <c r="F191" s="5">
        <v>43831</v>
      </c>
      <c r="G191" s="5">
        <v>44562</v>
      </c>
      <c r="H191">
        <v>14</v>
      </c>
      <c r="I191">
        <v>9</v>
      </c>
      <c r="J191">
        <f t="shared" ref="J191:K206" si="12">J218</f>
        <v>30</v>
      </c>
      <c r="K191">
        <f t="shared" si="12"/>
        <v>70</v>
      </c>
      <c r="L191">
        <v>10000</v>
      </c>
      <c r="M191">
        <f>VLOOKUP($A191&amp;M$1,Data!$A$2:$D$5000,4,FALSE)</f>
        <v>0.1132</v>
      </c>
      <c r="N191">
        <f>VLOOKUP($A191&amp;N$1,Data!$A$2:$D$5000,4,FALSE)</f>
        <v>-0.24199999999999999</v>
      </c>
      <c r="O191">
        <f>VLOOKUP($A191&amp;O$1,Data!$A$2:$D$5000,4,FALSE)</f>
        <v>318</v>
      </c>
      <c r="P191">
        <f>VLOOKUP($A191&amp;P$1,Data!$A$2:$D$5000,4,FALSE)</f>
        <v>1.43E-2</v>
      </c>
      <c r="Q191">
        <f>VLOOKUP($A191&amp;Q$1,Data!$A$2:$D$5000,4,FALSE)</f>
        <v>-1.67E-2</v>
      </c>
      <c r="R191">
        <f>VLOOKUP($A191&amp;R$1,Data!$A$2:$D$5000,4,FALSE)</f>
        <v>-2.3640000000000001E-2</v>
      </c>
      <c r="S191">
        <f>VLOOKUP($A191&amp;S$1,Data!$A$2:$D$5000,4,FALSE)</f>
        <v>9.9000000000000005E-2</v>
      </c>
      <c r="T191">
        <f>VLOOKUP($A191&amp;T$1,Data!$A$2:$D$5000,4,FALSE)</f>
        <v>-7.0000000000000007E-2</v>
      </c>
      <c r="U191">
        <f>VLOOKUP($A191&amp;U$1,Data!$A$2:$D$5000,4,FALSE)</f>
        <v>-1.541E-2</v>
      </c>
      <c r="V191">
        <f>VLOOKUP($A191&amp;V$1,Data!$A$2:$D$5000,4,FALSE)</f>
        <v>0.5</v>
      </c>
      <c r="W191">
        <f>VLOOKUP($A191&amp;W$1,Data!$A$2:$D$5000,4,FALSE)</f>
        <v>0.5</v>
      </c>
      <c r="X191">
        <f>VLOOKUP($A191&amp;X$1,Data!$A$2:$D$5000,4,FALSE)</f>
        <v>0.86</v>
      </c>
      <c r="Y191">
        <f>VLOOKUP($A191&amp;Y$1,Data!$A$2:$D$5000,4,FALSE)</f>
        <v>-1.4999999999999999E-2</v>
      </c>
      <c r="Z191">
        <f>VLOOKUP($A191&amp;Z$1,Data!$A$2:$D$5000,4,FALSE)</f>
        <v>1.0999999999999999E-2</v>
      </c>
      <c r="AA191">
        <f>VLOOKUP($A191&amp;AA$1,Data!$A$2:$D$5000,4,FALSE)</f>
        <v>0.06</v>
      </c>
      <c r="AB191">
        <f>VLOOKUP($A191&amp;AB$1,Data!$A$2:$D$5000,4,FALSE)</f>
        <v>4.0000000000000001E-3</v>
      </c>
      <c r="AC191">
        <f>VLOOKUP($A191&amp;AC$1,Data!$A$2:$D$5000,4,FALSE)</f>
        <v>-0.80200000000000005</v>
      </c>
      <c r="AD191">
        <f>VLOOKUP($A191&amp;AD$1,Data!$A$2:$D$5000,4,FALSE)</f>
        <v>0.09</v>
      </c>
      <c r="AE191">
        <f>VLOOKUP($A191&amp;AE$1,Data!$A$2:$D$5000,4,FALSE)</f>
        <v>-1.284</v>
      </c>
      <c r="AF191">
        <f>VLOOKUP($A191&amp;AF$1,Data!$A$2:$D$5000,4,FALSE)</f>
        <v>0</v>
      </c>
      <c r="AG191">
        <f>VLOOKUP($A191&amp;AG$1,Data!$A$2:$D$5000,4,FALSE)</f>
        <v>13000000</v>
      </c>
    </row>
    <row r="192" spans="1:33" hidden="1" x14ac:dyDescent="0.35">
      <c r="A192" s="13">
        <f t="shared" si="11"/>
        <v>191</v>
      </c>
      <c r="B192" t="s">
        <v>0</v>
      </c>
      <c r="C192" t="s">
        <v>3</v>
      </c>
      <c r="D192">
        <v>100</v>
      </c>
      <c r="E192" t="s">
        <v>17</v>
      </c>
      <c r="F192" s="5">
        <v>43831</v>
      </c>
      <c r="G192" s="5">
        <v>44562</v>
      </c>
      <c r="H192">
        <v>14</v>
      </c>
      <c r="I192">
        <v>9</v>
      </c>
      <c r="J192">
        <f t="shared" si="12"/>
        <v>30</v>
      </c>
      <c r="K192">
        <f t="shared" si="12"/>
        <v>70</v>
      </c>
      <c r="L192">
        <v>10000</v>
      </c>
      <c r="M192">
        <f>VLOOKUP($A192&amp;M$1,Data!$A$2:$D$5000,4,FALSE)</f>
        <v>0.17876</v>
      </c>
      <c r="N192">
        <f>VLOOKUP($A192&amp;N$1,Data!$A$2:$D$5000,4,FALSE)</f>
        <v>4.9000000000000002E-2</v>
      </c>
      <c r="O192">
        <f>VLOOKUP($A192&amp;O$1,Data!$A$2:$D$5000,4,FALSE)</f>
        <v>297</v>
      </c>
      <c r="P192">
        <f>VLOOKUP($A192&amp;P$1,Data!$A$2:$D$5000,4,FALSE)</f>
        <v>0.15409999999999999</v>
      </c>
      <c r="Q192">
        <f>VLOOKUP($A192&amp;Q$1,Data!$A$2:$D$5000,4,FALSE)</f>
        <v>-0.14599999999999999</v>
      </c>
      <c r="R192">
        <f>VLOOKUP($A192&amp;R$1,Data!$A$2:$D$5000,4,FALSE)</f>
        <v>-0.18079000000000001</v>
      </c>
      <c r="S192">
        <f>VLOOKUP($A192&amp;S$1,Data!$A$2:$D$5000,4,FALSE)</f>
        <v>0.64100000000000001</v>
      </c>
      <c r="T192">
        <f>VLOOKUP($A192&amp;T$1,Data!$A$2:$D$5000,4,FALSE)</f>
        <v>2.8000000000000001E-2</v>
      </c>
      <c r="U192">
        <f>VLOOKUP($A192&amp;U$1,Data!$A$2:$D$5000,4,FALSE)</f>
        <v>-0.12143</v>
      </c>
      <c r="V192">
        <f>VLOOKUP($A192&amp;V$1,Data!$A$2:$D$5000,4,FALSE)</f>
        <v>0.5</v>
      </c>
      <c r="W192">
        <f>VLOOKUP($A192&amp;W$1,Data!$A$2:$D$5000,4,FALSE)</f>
        <v>0.5</v>
      </c>
      <c r="X192">
        <f>VLOOKUP($A192&amp;X$1,Data!$A$2:$D$5000,4,FALSE)</f>
        <v>1.06</v>
      </c>
      <c r="Y192">
        <f>VLOOKUP($A192&amp;Y$1,Data!$A$2:$D$5000,4,FALSE)</f>
        <v>0</v>
      </c>
      <c r="Z192">
        <f>VLOOKUP($A192&amp;Z$1,Data!$A$2:$D$5000,4,FALSE)</f>
        <v>0.497</v>
      </c>
      <c r="AA192">
        <f>VLOOKUP($A192&amp;AA$1,Data!$A$2:$D$5000,4,FALSE)</f>
        <v>0.57899999999999996</v>
      </c>
      <c r="AB192">
        <f>VLOOKUP($A192&amp;AB$1,Data!$A$2:$D$5000,4,FALSE)</f>
        <v>0.33500000000000002</v>
      </c>
      <c r="AC192">
        <f>VLOOKUP($A192&amp;AC$1,Data!$A$2:$D$5000,4,FALSE)</f>
        <v>-0.05</v>
      </c>
      <c r="AD192">
        <f>VLOOKUP($A192&amp;AD$1,Data!$A$2:$D$5000,4,FALSE)</f>
        <v>0.57899999999999996</v>
      </c>
      <c r="AE192">
        <f>VLOOKUP($A192&amp;AE$1,Data!$A$2:$D$5000,4,FALSE)</f>
        <v>5.7000000000000002E-2</v>
      </c>
      <c r="AF192">
        <f>VLOOKUP($A192&amp;AF$1,Data!$A$2:$D$5000,4,FALSE)</f>
        <v>0</v>
      </c>
      <c r="AG192">
        <f>VLOOKUP($A192&amp;AG$1,Data!$A$2:$D$5000,4,FALSE)</f>
        <v>3000000</v>
      </c>
    </row>
    <row r="193" spans="1:33" hidden="1" x14ac:dyDescent="0.35">
      <c r="A193" s="13">
        <f t="shared" si="11"/>
        <v>192</v>
      </c>
      <c r="B193" t="s">
        <v>0</v>
      </c>
      <c r="C193" t="s">
        <v>3</v>
      </c>
      <c r="D193">
        <v>200</v>
      </c>
      <c r="E193" t="s">
        <v>17</v>
      </c>
      <c r="F193" s="5">
        <v>43831</v>
      </c>
      <c r="G193" s="5">
        <v>44562</v>
      </c>
      <c r="H193">
        <v>14</v>
      </c>
      <c r="I193">
        <v>9</v>
      </c>
      <c r="J193">
        <f t="shared" si="12"/>
        <v>30</v>
      </c>
      <c r="K193">
        <f t="shared" si="12"/>
        <v>70</v>
      </c>
      <c r="L193">
        <v>10000</v>
      </c>
      <c r="M193">
        <f>VLOOKUP($A193&amp;M$1,Data!$A$2:$D$5000,4,FALSE)</f>
        <v>0.23416999999999999</v>
      </c>
      <c r="N193">
        <f>VLOOKUP($A193&amp;N$1,Data!$A$2:$D$5000,4,FALSE)</f>
        <v>0.28399999999999997</v>
      </c>
      <c r="O193">
        <f>VLOOKUP($A193&amp;O$1,Data!$A$2:$D$5000,4,FALSE)</f>
        <v>277</v>
      </c>
      <c r="P193">
        <f>VLOOKUP($A193&amp;P$1,Data!$A$2:$D$5000,4,FALSE)</f>
        <v>0.2379</v>
      </c>
      <c r="Q193">
        <f>VLOOKUP($A193&amp;Q$1,Data!$A$2:$D$5000,4,FALSE)</f>
        <v>-0.14530000000000001</v>
      </c>
      <c r="R193">
        <f>VLOOKUP($A193&amp;R$1,Data!$A$2:$D$5000,4,FALSE)</f>
        <v>-0.15842999999999999</v>
      </c>
      <c r="S193">
        <f>VLOOKUP($A193&amp;S$1,Data!$A$2:$D$5000,4,FALSE)</f>
        <v>0.78200000000000003</v>
      </c>
      <c r="T193">
        <f>VLOOKUP($A193&amp;T$1,Data!$A$2:$D$5000,4,FALSE)</f>
        <v>9.9000000000000005E-2</v>
      </c>
      <c r="U193">
        <f>VLOOKUP($A193&amp;U$1,Data!$A$2:$D$5000,4,FALSE)</f>
        <v>-0.10594000000000001</v>
      </c>
      <c r="V193">
        <f>VLOOKUP($A193&amp;V$1,Data!$A$2:$D$5000,4,FALSE)</f>
        <v>0.57999999999999996</v>
      </c>
      <c r="W193">
        <f>VLOOKUP($A193&amp;W$1,Data!$A$2:$D$5000,4,FALSE)</f>
        <v>0.42</v>
      </c>
      <c r="X193">
        <f>VLOOKUP($A193&amp;X$1,Data!$A$2:$D$5000,4,FALSE)</f>
        <v>1.64</v>
      </c>
      <c r="Y193">
        <f>VLOOKUP($A193&amp;Y$1,Data!$A$2:$D$5000,4,FALSE)</f>
        <v>0.16400000000000001</v>
      </c>
      <c r="Z193">
        <f>VLOOKUP($A193&amp;Z$1,Data!$A$2:$D$5000,4,FALSE)</f>
        <v>1.2210000000000001</v>
      </c>
      <c r="AA193">
        <f>VLOOKUP($A193&amp;AA$1,Data!$A$2:$D$5000,4,FALSE)</f>
        <v>0.82299999999999995</v>
      </c>
      <c r="AB193">
        <f>VLOOKUP($A193&amp;AB$1,Data!$A$2:$D$5000,4,FALSE)</f>
        <v>0.67700000000000005</v>
      </c>
      <c r="AC193">
        <f>VLOOKUP($A193&amp;AC$1,Data!$A$2:$D$5000,4,FALSE)</f>
        <v>0.216</v>
      </c>
      <c r="AD193">
        <f>VLOOKUP($A193&amp;AD$1,Data!$A$2:$D$5000,4,FALSE)</f>
        <v>0.81899999999999995</v>
      </c>
      <c r="AE193">
        <f>VLOOKUP($A193&amp;AE$1,Data!$A$2:$D$5000,4,FALSE)</f>
        <v>0.192</v>
      </c>
      <c r="AF193">
        <f>VLOOKUP($A193&amp;AF$1,Data!$A$2:$D$5000,4,FALSE)</f>
        <v>0</v>
      </c>
      <c r="AG193">
        <f>VLOOKUP($A193&amp;AG$1,Data!$A$2:$D$5000,4,FALSE)</f>
        <v>2300000</v>
      </c>
    </row>
    <row r="194" spans="1:33" hidden="1" x14ac:dyDescent="0.35">
      <c r="A194" s="13">
        <f t="shared" si="11"/>
        <v>193</v>
      </c>
      <c r="B194" t="s">
        <v>0</v>
      </c>
      <c r="C194" t="s">
        <v>2</v>
      </c>
      <c r="D194">
        <v>10</v>
      </c>
      <c r="E194" t="s">
        <v>17</v>
      </c>
      <c r="F194" s="5">
        <v>43831</v>
      </c>
      <c r="G194" s="5">
        <v>44562</v>
      </c>
      <c r="H194">
        <v>14</v>
      </c>
      <c r="I194">
        <v>9</v>
      </c>
      <c r="J194">
        <f t="shared" si="12"/>
        <v>30</v>
      </c>
      <c r="K194">
        <f t="shared" si="12"/>
        <v>70</v>
      </c>
      <c r="L194">
        <v>10000</v>
      </c>
      <c r="M194">
        <f>VLOOKUP($A194&amp;M$1,Data!$A$2:$D$5000,4,FALSE)</f>
        <v>5.7499999999999999E-3</v>
      </c>
      <c r="N194">
        <f>VLOOKUP($A194&amp;N$1,Data!$A$2:$D$5000,4,FALSE)</f>
        <v>-1.464</v>
      </c>
      <c r="O194">
        <f>VLOOKUP($A194&amp;O$1,Data!$A$2:$D$5000,4,FALSE)</f>
        <v>203</v>
      </c>
      <c r="P194">
        <f>VLOOKUP($A194&amp;P$1,Data!$A$2:$D$5000,4,FALSE)</f>
        <v>1.17E-2</v>
      </c>
      <c r="Q194">
        <f>VLOOKUP($A194&amp;Q$1,Data!$A$2:$D$5000,4,FALSE)</f>
        <v>-3.8199999999999998E-2</v>
      </c>
      <c r="R194">
        <f>VLOOKUP($A194&amp;R$1,Data!$A$2:$D$5000,4,FALSE)</f>
        <v>-0.19031999999999999</v>
      </c>
      <c r="S194">
        <f>VLOOKUP($A194&amp;S$1,Data!$A$2:$D$5000,4,FALSE)</f>
        <v>0.159</v>
      </c>
      <c r="T194">
        <f>VLOOKUP($A194&amp;T$1,Data!$A$2:$D$5000,4,FALSE)</f>
        <v>-0.56499999999999995</v>
      </c>
      <c r="U194">
        <f>VLOOKUP($A194&amp;U$1,Data!$A$2:$D$5000,4,FALSE)</f>
        <v>-0.12808</v>
      </c>
      <c r="V194">
        <f>VLOOKUP($A194&amp;V$1,Data!$A$2:$D$5000,4,FALSE)</f>
        <v>0.67</v>
      </c>
      <c r="W194">
        <f>VLOOKUP($A194&amp;W$1,Data!$A$2:$D$5000,4,FALSE)</f>
        <v>0.33</v>
      </c>
      <c r="X194">
        <f>VLOOKUP($A194&amp;X$1,Data!$A$2:$D$5000,4,FALSE)</f>
        <v>0.31</v>
      </c>
      <c r="Y194">
        <f>VLOOKUP($A194&amp;Y$1,Data!$A$2:$D$5000,4,FALSE)</f>
        <v>-0.14599999999999999</v>
      </c>
      <c r="Z194">
        <f>VLOOKUP($A194&amp;Z$1,Data!$A$2:$D$5000,4,FALSE)</f>
        <v>0.24099999999999999</v>
      </c>
      <c r="AA194">
        <f>VLOOKUP($A194&amp;AA$1,Data!$A$2:$D$5000,4,FALSE)</f>
        <v>9.0999999999999998E-2</v>
      </c>
      <c r="AB194">
        <f>VLOOKUP($A194&amp;AB$1,Data!$A$2:$D$5000,4,FALSE)</f>
        <v>8.0000000000000002E-3</v>
      </c>
      <c r="AC194">
        <f>VLOOKUP($A194&amp;AC$1,Data!$A$2:$D$5000,4,FALSE)</f>
        <v>-1.851</v>
      </c>
      <c r="AD194">
        <f>VLOOKUP($A194&amp;AD$1,Data!$A$2:$D$5000,4,FALSE)</f>
        <v>0.10299999999999999</v>
      </c>
      <c r="AE194">
        <f>VLOOKUP($A194&amp;AE$1,Data!$A$2:$D$5000,4,FALSE)</f>
        <v>-0.54900000000000004</v>
      </c>
      <c r="AF194">
        <f>VLOOKUP($A194&amp;AF$1,Data!$A$2:$D$5000,4,FALSE)</f>
        <v>0</v>
      </c>
      <c r="AG194">
        <f>VLOOKUP($A194&amp;AG$1,Data!$A$2:$D$5000,4,FALSE)</f>
        <v>6100000</v>
      </c>
    </row>
    <row r="195" spans="1:33" hidden="1" x14ac:dyDescent="0.35">
      <c r="A195" s="13">
        <f t="shared" si="11"/>
        <v>194</v>
      </c>
      <c r="B195" t="s">
        <v>0</v>
      </c>
      <c r="C195" t="s">
        <v>2</v>
      </c>
      <c r="D195">
        <v>100</v>
      </c>
      <c r="E195" t="s">
        <v>17</v>
      </c>
      <c r="F195" s="5">
        <v>43831</v>
      </c>
      <c r="G195" s="5">
        <v>44562</v>
      </c>
      <c r="H195">
        <v>14</v>
      </c>
      <c r="I195">
        <v>9</v>
      </c>
      <c r="J195">
        <f t="shared" si="12"/>
        <v>30</v>
      </c>
      <c r="K195">
        <f t="shared" si="12"/>
        <v>70</v>
      </c>
      <c r="L195">
        <v>10000</v>
      </c>
      <c r="M195">
        <f>VLOOKUP($A195&amp;M$1,Data!$A$2:$D$5000,4,FALSE)</f>
        <v>7.92E-3</v>
      </c>
      <c r="N195">
        <f>VLOOKUP($A195&amp;N$1,Data!$A$2:$D$5000,4,FALSE)</f>
        <v>-0.73199999999999998</v>
      </c>
      <c r="O195">
        <f>VLOOKUP($A195&amp;O$1,Data!$A$2:$D$5000,4,FALSE)</f>
        <v>198</v>
      </c>
      <c r="P195">
        <f>VLOOKUP($A195&amp;P$1,Data!$A$2:$D$5000,4,FALSE)</f>
        <v>0.22309999999999999</v>
      </c>
      <c r="Q195">
        <f>VLOOKUP($A195&amp;Q$1,Data!$A$2:$D$5000,4,FALSE)</f>
        <v>-7.8E-2</v>
      </c>
      <c r="R195">
        <f>VLOOKUP($A195&amp;R$1,Data!$A$2:$D$5000,4,FALSE)</f>
        <v>-0.96894000000000002</v>
      </c>
      <c r="S195">
        <f>VLOOKUP($A195&amp;S$1,Data!$A$2:$D$5000,4,FALSE)</f>
        <v>0.92900000000000005</v>
      </c>
      <c r="T195">
        <f>VLOOKUP($A195&amp;T$1,Data!$A$2:$D$5000,4,FALSE)</f>
        <v>-0.84599999999999997</v>
      </c>
      <c r="U195">
        <f>VLOOKUP($A195&amp;U$1,Data!$A$2:$D$5000,4,FALSE)</f>
        <v>-0.89500000000000002</v>
      </c>
      <c r="V195">
        <f>VLOOKUP($A195&amp;V$1,Data!$A$2:$D$5000,4,FALSE)</f>
        <v>0.96</v>
      </c>
      <c r="W195">
        <f>VLOOKUP($A195&amp;W$1,Data!$A$2:$D$5000,4,FALSE)</f>
        <v>0.04</v>
      </c>
      <c r="X195">
        <f>VLOOKUP($A195&amp;X$1,Data!$A$2:$D$5000,4,FALSE)</f>
        <v>2.86</v>
      </c>
      <c r="Y195">
        <f>VLOOKUP($A195&amp;Y$1,Data!$A$2:$D$5000,4,FALSE)</f>
        <v>-0.96</v>
      </c>
      <c r="Z195">
        <f>VLOOKUP($A195&amp;Z$1,Data!$A$2:$D$5000,4,FALSE)</f>
        <v>2.3279999999999998</v>
      </c>
      <c r="AA195">
        <f>VLOOKUP($A195&amp;AA$1,Data!$A$2:$D$5000,4,FALSE)</f>
        <v>1.1299999999999999</v>
      </c>
      <c r="AB195">
        <f>VLOOKUP($A195&amp;AB$1,Data!$A$2:$D$5000,4,FALSE)</f>
        <v>1.276</v>
      </c>
      <c r="AC195">
        <f>VLOOKUP($A195&amp;AC$1,Data!$A$2:$D$5000,4,FALSE)</f>
        <v>-0.78700000000000003</v>
      </c>
      <c r="AD195">
        <f>VLOOKUP($A195&amp;AD$1,Data!$A$2:$D$5000,4,FALSE)</f>
        <v>1.1220000000000001</v>
      </c>
      <c r="AE195">
        <f>VLOOKUP($A195&amp;AE$1,Data!$A$2:$D$5000,4,FALSE)</f>
        <v>-0.35499999999999998</v>
      </c>
      <c r="AF195">
        <f>VLOOKUP($A195&amp;AF$1,Data!$A$2:$D$5000,4,FALSE)</f>
        <v>0</v>
      </c>
      <c r="AG195">
        <f>VLOOKUP($A195&amp;AG$1,Data!$A$2:$D$5000,4,FALSE)</f>
        <v>1200000</v>
      </c>
    </row>
    <row r="196" spans="1:33" hidden="1" x14ac:dyDescent="0.35">
      <c r="A196" s="13">
        <f t="shared" si="11"/>
        <v>195</v>
      </c>
      <c r="B196" t="s">
        <v>0</v>
      </c>
      <c r="C196" t="s">
        <v>2</v>
      </c>
      <c r="D196">
        <v>200</v>
      </c>
      <c r="E196" t="s">
        <v>17</v>
      </c>
      <c r="F196" s="5">
        <v>43831</v>
      </c>
      <c r="G196" s="5">
        <v>44562</v>
      </c>
      <c r="H196">
        <v>14</v>
      </c>
      <c r="I196">
        <v>9</v>
      </c>
      <c r="J196">
        <f t="shared" si="12"/>
        <v>30</v>
      </c>
      <c r="K196">
        <f t="shared" si="12"/>
        <v>70</v>
      </c>
      <c r="L196">
        <v>10000</v>
      </c>
      <c r="M196">
        <f>VLOOKUP($A196&amp;M$1,Data!$A$2:$D$5000,4,FALSE)</f>
        <v>7.2100000000000003E-3</v>
      </c>
      <c r="N196">
        <f>VLOOKUP($A196&amp;N$1,Data!$A$2:$D$5000,4,FALSE)</f>
        <v>-0.60099999999999998</v>
      </c>
      <c r="O196">
        <f>VLOOKUP($A196&amp;O$1,Data!$A$2:$D$5000,4,FALSE)</f>
        <v>184</v>
      </c>
      <c r="P196">
        <f>VLOOKUP($A196&amp;P$1,Data!$A$2:$D$5000,4,FALSE)</f>
        <v>3.2000000000000002E-3</v>
      </c>
      <c r="Q196">
        <f>VLOOKUP($A196&amp;Q$1,Data!$A$2:$D$5000,4,FALSE)</f>
        <v>-5.7500000000000002E-2</v>
      </c>
      <c r="R196">
        <f>VLOOKUP($A196&amp;R$1,Data!$A$2:$D$5000,4,FALSE)</f>
        <v>-0.99353000000000002</v>
      </c>
      <c r="S196">
        <f>VLOOKUP($A196&amp;S$1,Data!$A$2:$D$5000,4,FALSE)</f>
        <v>0.98299999999999998</v>
      </c>
      <c r="T196">
        <f>VLOOKUP($A196&amp;T$1,Data!$A$2:$D$5000,4,FALSE)</f>
        <v>-0.95</v>
      </c>
      <c r="U196">
        <f>VLOOKUP($A196&amp;U$1,Data!$A$2:$D$5000,4,FALSE)</f>
        <v>-0.96209</v>
      </c>
      <c r="V196">
        <f>VLOOKUP($A196&amp;V$1,Data!$A$2:$D$5000,4,FALSE)</f>
        <v>0.95</v>
      </c>
      <c r="W196">
        <f>VLOOKUP($A196&amp;W$1,Data!$A$2:$D$5000,4,FALSE)</f>
        <v>0.05</v>
      </c>
      <c r="X196">
        <f>VLOOKUP($A196&amp;X$1,Data!$A$2:$D$5000,4,FALSE)</f>
        <v>0.06</v>
      </c>
      <c r="Y196">
        <f>VLOOKUP($A196&amp;Y$1,Data!$A$2:$D$5000,4,FALSE)</f>
        <v>-0.95199999999999996</v>
      </c>
      <c r="Z196">
        <f>VLOOKUP($A196&amp;Z$1,Data!$A$2:$D$5000,4,FALSE)</f>
        <v>0.88600000000000001</v>
      </c>
      <c r="AA196">
        <f>VLOOKUP($A196&amp;AA$1,Data!$A$2:$D$5000,4,FALSE)</f>
        <v>1.498</v>
      </c>
      <c r="AB196">
        <f>VLOOKUP($A196&amp;AB$1,Data!$A$2:$D$5000,4,FALSE)</f>
        <v>2.2450000000000001</v>
      </c>
      <c r="AC196">
        <f>VLOOKUP($A196&amp;AC$1,Data!$A$2:$D$5000,4,FALSE)</f>
        <v>-0.64</v>
      </c>
      <c r="AD196">
        <f>VLOOKUP($A196&amp;AD$1,Data!$A$2:$D$5000,4,FALSE)</f>
        <v>1.4970000000000001</v>
      </c>
      <c r="AE196">
        <f>VLOOKUP($A196&amp;AE$1,Data!$A$2:$D$5000,4,FALSE)</f>
        <v>-1.0169999999999999</v>
      </c>
      <c r="AF196">
        <f>VLOOKUP($A196&amp;AF$1,Data!$A$2:$D$5000,4,FALSE)</f>
        <v>0</v>
      </c>
      <c r="AG196">
        <f>VLOOKUP($A196&amp;AG$1,Data!$A$2:$D$5000,4,FALSE)</f>
        <v>560000</v>
      </c>
    </row>
    <row r="197" spans="1:33" hidden="1" x14ac:dyDescent="0.35">
      <c r="A197" s="13">
        <f t="shared" si="11"/>
        <v>196</v>
      </c>
      <c r="B197" t="s">
        <v>0</v>
      </c>
      <c r="C197" t="s">
        <v>22</v>
      </c>
      <c r="D197">
        <v>10</v>
      </c>
      <c r="E197" t="s">
        <v>17</v>
      </c>
      <c r="F197" s="5">
        <v>43831</v>
      </c>
      <c r="G197" s="5">
        <v>44562</v>
      </c>
      <c r="H197">
        <v>14</v>
      </c>
      <c r="I197">
        <v>9</v>
      </c>
      <c r="J197">
        <f t="shared" si="12"/>
        <v>30</v>
      </c>
      <c r="K197">
        <f t="shared" si="12"/>
        <v>70</v>
      </c>
      <c r="L197">
        <v>10000</v>
      </c>
      <c r="M197">
        <f>VLOOKUP($A197&amp;M$1,Data!$A$2:$D$5000,4,FALSE)</f>
        <v>0.31396000000000002</v>
      </c>
      <c r="N197">
        <f>VLOOKUP($A197&amp;N$1,Data!$A$2:$D$5000,4,FALSE)</f>
        <v>0.51700000000000002</v>
      </c>
      <c r="O197">
        <f>VLOOKUP($A197&amp;O$1,Data!$A$2:$D$5000,4,FALSE)</f>
        <v>141</v>
      </c>
      <c r="P197">
        <f>VLOOKUP($A197&amp;P$1,Data!$A$2:$D$5000,4,FALSE)</f>
        <v>4.4499999999999998E-2</v>
      </c>
      <c r="Q197">
        <f>VLOOKUP($A197&amp;Q$1,Data!$A$2:$D$5000,4,FALSE)</f>
        <v>-2.81E-2</v>
      </c>
      <c r="R197">
        <f>VLOOKUP($A197&amp;R$1,Data!$A$2:$D$5000,4,FALSE)</f>
        <v>5.3249999999999999E-2</v>
      </c>
      <c r="S197">
        <f>VLOOKUP($A197&amp;S$1,Data!$A$2:$D$5000,4,FALSE)</f>
        <v>0.06</v>
      </c>
      <c r="T197">
        <f>VLOOKUP($A197&amp;T$1,Data!$A$2:$D$5000,4,FALSE)</f>
        <v>0.29199999999999998</v>
      </c>
      <c r="U197">
        <f>VLOOKUP($A197&amp;U$1,Data!$A$2:$D$5000,4,FALSE)</f>
        <v>3.4250000000000003E-2</v>
      </c>
      <c r="V197">
        <f>VLOOKUP($A197&amp;V$1,Data!$A$2:$D$5000,4,FALSE)</f>
        <v>0.5</v>
      </c>
      <c r="W197">
        <f>VLOOKUP($A197&amp;W$1,Data!$A$2:$D$5000,4,FALSE)</f>
        <v>0.5</v>
      </c>
      <c r="X197">
        <f>VLOOKUP($A197&amp;X$1,Data!$A$2:$D$5000,4,FALSE)</f>
        <v>1.58</v>
      </c>
      <c r="Y197">
        <f>VLOOKUP($A197&amp;Y$1,Data!$A$2:$D$5000,4,FALSE)</f>
        <v>3.1E-2</v>
      </c>
      <c r="Z197">
        <f>VLOOKUP($A197&amp;Z$1,Data!$A$2:$D$5000,4,FALSE)</f>
        <v>0.14499999999999999</v>
      </c>
      <c r="AA197">
        <f>VLOOKUP($A197&amp;AA$1,Data!$A$2:$D$5000,4,FALSE)</f>
        <v>7.6999999999999999E-2</v>
      </c>
      <c r="AB197">
        <f>VLOOKUP($A197&amp;AB$1,Data!$A$2:$D$5000,4,FALSE)</f>
        <v>6.0000000000000001E-3</v>
      </c>
      <c r="AC197">
        <f>VLOOKUP($A197&amp;AC$1,Data!$A$2:$D$5000,4,FALSE)</f>
        <v>-0.184</v>
      </c>
      <c r="AD197">
        <f>VLOOKUP($A197&amp;AD$1,Data!$A$2:$D$5000,4,FALSE)</f>
        <v>9.5000000000000001E-2</v>
      </c>
      <c r="AE197">
        <f>VLOOKUP($A197&amp;AE$1,Data!$A$2:$D$5000,4,FALSE)</f>
        <v>0.27300000000000002</v>
      </c>
      <c r="AF197">
        <f>VLOOKUP($A197&amp;AF$1,Data!$A$2:$D$5000,4,FALSE)</f>
        <v>0</v>
      </c>
      <c r="AG197">
        <f>VLOOKUP($A197&amp;AG$1,Data!$A$2:$D$5000,4,FALSE)</f>
        <v>12000000</v>
      </c>
    </row>
    <row r="198" spans="1:33" hidden="1" x14ac:dyDescent="0.35">
      <c r="A198" s="13">
        <f t="shared" si="11"/>
        <v>197</v>
      </c>
      <c r="B198" t="s">
        <v>0</v>
      </c>
      <c r="C198" t="s">
        <v>22</v>
      </c>
      <c r="D198">
        <v>100</v>
      </c>
      <c r="E198" t="s">
        <v>17</v>
      </c>
      <c r="F198" s="5">
        <v>43831</v>
      </c>
      <c r="G198" s="5">
        <v>44562</v>
      </c>
      <c r="H198">
        <v>14</v>
      </c>
      <c r="I198">
        <v>9</v>
      </c>
      <c r="J198">
        <f t="shared" si="12"/>
        <v>30</v>
      </c>
      <c r="K198">
        <f t="shared" si="12"/>
        <v>70</v>
      </c>
      <c r="L198">
        <v>10000</v>
      </c>
      <c r="M198">
        <f>VLOOKUP($A198&amp;M$1,Data!$A$2:$D$5000,4,FALSE)</f>
        <v>0.43468000000000001</v>
      </c>
      <c r="N198">
        <f>VLOOKUP($A198&amp;N$1,Data!$A$2:$D$5000,4,FALSE)</f>
        <v>1.073</v>
      </c>
      <c r="O198">
        <f>VLOOKUP($A198&amp;O$1,Data!$A$2:$D$5000,4,FALSE)</f>
        <v>140</v>
      </c>
      <c r="P198">
        <f>VLOOKUP($A198&amp;P$1,Data!$A$2:$D$5000,4,FALSE)</f>
        <v>0.40960000000000002</v>
      </c>
      <c r="Q198">
        <f>VLOOKUP($A198&amp;Q$1,Data!$A$2:$D$5000,4,FALSE)</f>
        <v>-0.1704</v>
      </c>
      <c r="R198">
        <f>VLOOKUP($A198&amp;R$1,Data!$A$2:$D$5000,4,FALSE)</f>
        <v>0.59323999999999999</v>
      </c>
      <c r="S198">
        <f>VLOOKUP($A198&amp;S$1,Data!$A$2:$D$5000,4,FALSE)</f>
        <v>0.32400000000000001</v>
      </c>
      <c r="T198">
        <f>VLOOKUP($A198&amp;T$1,Data!$A$2:$D$5000,4,FALSE)</f>
        <v>0.70199999999999996</v>
      </c>
      <c r="U198">
        <f>VLOOKUP($A198&amp;U$1,Data!$A$2:$D$5000,4,FALSE)</f>
        <v>0.35306999999999999</v>
      </c>
      <c r="V198">
        <f>VLOOKUP($A198&amp;V$1,Data!$A$2:$D$5000,4,FALSE)</f>
        <v>0.5</v>
      </c>
      <c r="W198">
        <f>VLOOKUP($A198&amp;W$1,Data!$A$2:$D$5000,4,FALSE)</f>
        <v>0.5</v>
      </c>
      <c r="X198">
        <f>VLOOKUP($A198&amp;X$1,Data!$A$2:$D$5000,4,FALSE)</f>
        <v>2.4</v>
      </c>
      <c r="Y198">
        <f>VLOOKUP($A198&amp;Y$1,Data!$A$2:$D$5000,4,FALSE)</f>
        <v>0.52400000000000002</v>
      </c>
      <c r="Z198">
        <f>VLOOKUP($A198&amp;Z$1,Data!$A$2:$D$5000,4,FALSE)</f>
        <v>1.2</v>
      </c>
      <c r="AA198">
        <f>VLOOKUP($A198&amp;AA$1,Data!$A$2:$D$5000,4,FALSE)</f>
        <v>0.55300000000000005</v>
      </c>
      <c r="AB198">
        <f>VLOOKUP($A198&amp;AB$1,Data!$A$2:$D$5000,4,FALSE)</f>
        <v>0.30499999999999999</v>
      </c>
      <c r="AC198">
        <f>VLOOKUP($A198&amp;AC$1,Data!$A$2:$D$5000,4,FALSE)</f>
        <v>0.98</v>
      </c>
      <c r="AD198">
        <f>VLOOKUP($A198&amp;AD$1,Data!$A$2:$D$5000,4,FALSE)</f>
        <v>0.54700000000000004</v>
      </c>
      <c r="AE198">
        <f>VLOOKUP($A198&amp;AE$1,Data!$A$2:$D$5000,4,FALSE)</f>
        <v>0.49399999999999999</v>
      </c>
      <c r="AF198">
        <f>VLOOKUP($A198&amp;AF$1,Data!$A$2:$D$5000,4,FALSE)</f>
        <v>0</v>
      </c>
      <c r="AG198">
        <f>VLOOKUP($A198&amp;AG$1,Data!$A$2:$D$5000,4,FALSE)</f>
        <v>3700000</v>
      </c>
    </row>
    <row r="199" spans="1:33" hidden="1" x14ac:dyDescent="0.35">
      <c r="A199" s="13">
        <f t="shared" si="11"/>
        <v>198</v>
      </c>
      <c r="B199" t="s">
        <v>0</v>
      </c>
      <c r="C199" t="s">
        <v>22</v>
      </c>
      <c r="D199">
        <v>200</v>
      </c>
      <c r="E199" t="s">
        <v>17</v>
      </c>
      <c r="F199" s="5">
        <v>43831</v>
      </c>
      <c r="G199" s="5">
        <v>44562</v>
      </c>
      <c r="H199">
        <v>14</v>
      </c>
      <c r="I199">
        <v>9</v>
      </c>
      <c r="J199">
        <f t="shared" si="12"/>
        <v>30</v>
      </c>
      <c r="K199">
        <f t="shared" si="12"/>
        <v>70</v>
      </c>
      <c r="L199">
        <v>10000</v>
      </c>
      <c r="M199">
        <f>VLOOKUP($A199&amp;M$1,Data!$A$2:$D$5000,4,FALSE)</f>
        <v>0.34200999999999998</v>
      </c>
      <c r="N199">
        <f>VLOOKUP($A199&amp;N$1,Data!$A$2:$D$5000,4,FALSE)</f>
        <v>0.74</v>
      </c>
      <c r="O199">
        <f>VLOOKUP($A199&amp;O$1,Data!$A$2:$D$5000,4,FALSE)</f>
        <v>133</v>
      </c>
      <c r="P199">
        <f>VLOOKUP($A199&amp;P$1,Data!$A$2:$D$5000,4,FALSE)</f>
        <v>0.4556</v>
      </c>
      <c r="Q199">
        <f>VLOOKUP($A199&amp;Q$1,Data!$A$2:$D$5000,4,FALSE)</f>
        <v>-0.1053</v>
      </c>
      <c r="R199">
        <f>VLOOKUP($A199&amp;R$1,Data!$A$2:$D$5000,4,FALSE)</f>
        <v>0.27972000000000002</v>
      </c>
      <c r="S199">
        <f>VLOOKUP($A199&amp;S$1,Data!$A$2:$D$5000,4,FALSE)</f>
        <v>0.45800000000000002</v>
      </c>
      <c r="T199">
        <f>VLOOKUP($A199&amp;T$1,Data!$A$2:$D$5000,4,FALSE)</f>
        <v>0.52200000000000002</v>
      </c>
      <c r="U199">
        <f>VLOOKUP($A199&amp;U$1,Data!$A$2:$D$5000,4,FALSE)</f>
        <v>0.17365</v>
      </c>
      <c r="V199">
        <f>VLOOKUP($A199&amp;V$1,Data!$A$2:$D$5000,4,FALSE)</f>
        <v>0.71</v>
      </c>
      <c r="W199">
        <f>VLOOKUP($A199&amp;W$1,Data!$A$2:$D$5000,4,FALSE)</f>
        <v>0.28999999999999998</v>
      </c>
      <c r="X199">
        <f>VLOOKUP($A199&amp;X$1,Data!$A$2:$D$5000,4,FALSE)</f>
        <v>4.33</v>
      </c>
      <c r="Y199">
        <f>VLOOKUP($A199&amp;Y$1,Data!$A$2:$D$5000,4,FALSE)</f>
        <v>0.48099999999999998</v>
      </c>
      <c r="Z199">
        <f>VLOOKUP($A199&amp;Z$1,Data!$A$2:$D$5000,4,FALSE)</f>
        <v>1.2609999999999999</v>
      </c>
      <c r="AA199">
        <f>VLOOKUP($A199&amp;AA$1,Data!$A$2:$D$5000,4,FALSE)</f>
        <v>0.747</v>
      </c>
      <c r="AB199">
        <f>VLOOKUP($A199&amp;AB$1,Data!$A$2:$D$5000,4,FALSE)</f>
        <v>0.55900000000000005</v>
      </c>
      <c r="AC199">
        <f>VLOOKUP($A199&amp;AC$1,Data!$A$2:$D$5000,4,FALSE)</f>
        <v>0.66800000000000004</v>
      </c>
      <c r="AD199">
        <f>VLOOKUP($A199&amp;AD$1,Data!$A$2:$D$5000,4,FALSE)</f>
        <v>0.74299999999999999</v>
      </c>
      <c r="AE199">
        <f>VLOOKUP($A199&amp;AE$1,Data!$A$2:$D$5000,4,FALSE)</f>
        <v>0.439</v>
      </c>
      <c r="AF199">
        <f>VLOOKUP($A199&amp;AF$1,Data!$A$2:$D$5000,4,FALSE)</f>
        <v>0</v>
      </c>
      <c r="AG199">
        <f>VLOOKUP($A199&amp;AG$1,Data!$A$2:$D$5000,4,FALSE)</f>
        <v>2900000</v>
      </c>
    </row>
    <row r="200" spans="1:33" hidden="1" x14ac:dyDescent="0.35">
      <c r="A200" s="19">
        <f t="shared" si="11"/>
        <v>199</v>
      </c>
      <c r="B200" t="s">
        <v>0</v>
      </c>
      <c r="C200" t="s">
        <v>3</v>
      </c>
      <c r="D200">
        <v>10</v>
      </c>
      <c r="E200" t="s">
        <v>17</v>
      </c>
      <c r="F200" s="5">
        <v>43831</v>
      </c>
      <c r="G200" s="5">
        <v>44562</v>
      </c>
      <c r="H200">
        <v>14</v>
      </c>
      <c r="I200">
        <v>9</v>
      </c>
      <c r="J200">
        <f t="shared" si="12"/>
        <v>32</v>
      </c>
      <c r="K200">
        <f t="shared" si="12"/>
        <v>68</v>
      </c>
      <c r="L200">
        <v>10000</v>
      </c>
    </row>
    <row r="201" spans="1:33" hidden="1" x14ac:dyDescent="0.35">
      <c r="A201" s="19">
        <f t="shared" si="11"/>
        <v>200</v>
      </c>
      <c r="B201" t="s">
        <v>0</v>
      </c>
      <c r="C201" t="s">
        <v>3</v>
      </c>
      <c r="D201">
        <v>100</v>
      </c>
      <c r="E201" t="s">
        <v>17</v>
      </c>
      <c r="F201" s="5">
        <v>43831</v>
      </c>
      <c r="G201" s="5">
        <v>44562</v>
      </c>
      <c r="H201">
        <v>14</v>
      </c>
      <c r="I201">
        <v>9</v>
      </c>
      <c r="J201">
        <f t="shared" si="12"/>
        <v>32</v>
      </c>
      <c r="K201">
        <f t="shared" si="12"/>
        <v>68</v>
      </c>
      <c r="L201">
        <v>10000</v>
      </c>
    </row>
    <row r="202" spans="1:33" hidden="1" x14ac:dyDescent="0.35">
      <c r="A202" s="19">
        <f t="shared" si="11"/>
        <v>201</v>
      </c>
      <c r="B202" t="s">
        <v>0</v>
      </c>
      <c r="C202" t="s">
        <v>3</v>
      </c>
      <c r="D202">
        <v>200</v>
      </c>
      <c r="E202" t="s">
        <v>17</v>
      </c>
      <c r="F202" s="5">
        <v>43831</v>
      </c>
      <c r="G202" s="5">
        <v>44562</v>
      </c>
      <c r="H202">
        <v>14</v>
      </c>
      <c r="I202">
        <v>9</v>
      </c>
      <c r="J202">
        <f t="shared" si="12"/>
        <v>32</v>
      </c>
      <c r="K202">
        <f t="shared" si="12"/>
        <v>68</v>
      </c>
      <c r="L202">
        <v>10000</v>
      </c>
    </row>
    <row r="203" spans="1:33" hidden="1" x14ac:dyDescent="0.35">
      <c r="A203" s="19">
        <f t="shared" si="11"/>
        <v>202</v>
      </c>
      <c r="B203" t="s">
        <v>0</v>
      </c>
      <c r="C203" t="s">
        <v>2</v>
      </c>
      <c r="D203">
        <v>10</v>
      </c>
      <c r="E203" t="s">
        <v>17</v>
      </c>
      <c r="F203" s="5">
        <v>43831</v>
      </c>
      <c r="G203" s="5">
        <v>44562</v>
      </c>
      <c r="H203">
        <v>14</v>
      </c>
      <c r="I203">
        <v>9</v>
      </c>
      <c r="J203">
        <f t="shared" si="12"/>
        <v>32</v>
      </c>
      <c r="K203">
        <f t="shared" si="12"/>
        <v>68</v>
      </c>
      <c r="L203">
        <v>10000</v>
      </c>
    </row>
    <row r="204" spans="1:33" hidden="1" x14ac:dyDescent="0.35">
      <c r="A204" s="19">
        <f t="shared" si="11"/>
        <v>203</v>
      </c>
      <c r="B204" t="s">
        <v>0</v>
      </c>
      <c r="C204" t="s">
        <v>2</v>
      </c>
      <c r="D204">
        <v>100</v>
      </c>
      <c r="E204" t="s">
        <v>17</v>
      </c>
      <c r="F204" s="5">
        <v>43831</v>
      </c>
      <c r="G204" s="5">
        <v>44562</v>
      </c>
      <c r="H204">
        <v>14</v>
      </c>
      <c r="I204">
        <v>9</v>
      </c>
      <c r="J204">
        <f t="shared" si="12"/>
        <v>32</v>
      </c>
      <c r="K204">
        <f t="shared" si="12"/>
        <v>68</v>
      </c>
      <c r="L204">
        <v>10000</v>
      </c>
    </row>
    <row r="205" spans="1:33" hidden="1" x14ac:dyDescent="0.35">
      <c r="A205" s="19">
        <f t="shared" si="11"/>
        <v>204</v>
      </c>
      <c r="B205" t="s">
        <v>0</v>
      </c>
      <c r="C205" t="s">
        <v>2</v>
      </c>
      <c r="D205">
        <v>200</v>
      </c>
      <c r="E205" t="s">
        <v>17</v>
      </c>
      <c r="F205" s="5">
        <v>43831</v>
      </c>
      <c r="G205" s="5">
        <v>44562</v>
      </c>
      <c r="H205">
        <v>14</v>
      </c>
      <c r="I205">
        <v>9</v>
      </c>
      <c r="J205">
        <f t="shared" si="12"/>
        <v>32</v>
      </c>
      <c r="K205">
        <f t="shared" si="12"/>
        <v>68</v>
      </c>
      <c r="L205">
        <v>10000</v>
      </c>
    </row>
    <row r="206" spans="1:33" hidden="1" x14ac:dyDescent="0.35">
      <c r="A206" s="19">
        <f t="shared" si="11"/>
        <v>205</v>
      </c>
      <c r="B206" t="s">
        <v>0</v>
      </c>
      <c r="C206" t="s">
        <v>22</v>
      </c>
      <c r="D206">
        <v>10</v>
      </c>
      <c r="E206" t="s">
        <v>17</v>
      </c>
      <c r="F206" s="5">
        <v>43831</v>
      </c>
      <c r="G206" s="5">
        <v>44562</v>
      </c>
      <c r="H206">
        <v>14</v>
      </c>
      <c r="I206">
        <v>9</v>
      </c>
      <c r="J206">
        <f t="shared" si="12"/>
        <v>32</v>
      </c>
      <c r="K206">
        <f t="shared" si="12"/>
        <v>68</v>
      </c>
      <c r="L206">
        <v>10000</v>
      </c>
    </row>
    <row r="207" spans="1:33" hidden="1" x14ac:dyDescent="0.35">
      <c r="A207" s="19">
        <f t="shared" si="11"/>
        <v>206</v>
      </c>
      <c r="B207" t="s">
        <v>0</v>
      </c>
      <c r="C207" t="s">
        <v>22</v>
      </c>
      <c r="D207">
        <v>100</v>
      </c>
      <c r="E207" t="s">
        <v>17</v>
      </c>
      <c r="F207" s="5">
        <v>43831</v>
      </c>
      <c r="G207" s="5">
        <v>44562</v>
      </c>
      <c r="H207">
        <v>14</v>
      </c>
      <c r="I207">
        <v>9</v>
      </c>
      <c r="J207">
        <f t="shared" ref="J207:K222" si="13">J234</f>
        <v>32</v>
      </c>
      <c r="K207">
        <f t="shared" si="13"/>
        <v>68</v>
      </c>
      <c r="L207">
        <v>10000</v>
      </c>
    </row>
    <row r="208" spans="1:33" hidden="1" x14ac:dyDescent="0.35">
      <c r="A208" s="19">
        <f t="shared" si="11"/>
        <v>207</v>
      </c>
      <c r="B208" t="s">
        <v>0</v>
      </c>
      <c r="C208" t="s">
        <v>22</v>
      </c>
      <c r="D208">
        <v>200</v>
      </c>
      <c r="E208" t="s">
        <v>17</v>
      </c>
      <c r="F208" s="5">
        <v>43831</v>
      </c>
      <c r="G208" s="5">
        <v>44562</v>
      </c>
      <c r="H208">
        <v>14</v>
      </c>
      <c r="I208">
        <v>9</v>
      </c>
      <c r="J208">
        <f t="shared" si="13"/>
        <v>32</v>
      </c>
      <c r="K208">
        <f t="shared" si="13"/>
        <v>68</v>
      </c>
      <c r="L208">
        <v>10000</v>
      </c>
    </row>
    <row r="209" spans="1:33" hidden="1" x14ac:dyDescent="0.35">
      <c r="A209" s="19">
        <f t="shared" si="11"/>
        <v>208</v>
      </c>
      <c r="B209" t="s">
        <v>0</v>
      </c>
      <c r="C209" t="s">
        <v>3</v>
      </c>
      <c r="D209">
        <v>10</v>
      </c>
      <c r="E209" t="s">
        <v>17</v>
      </c>
      <c r="F209" s="5">
        <v>43831</v>
      </c>
      <c r="G209" s="5">
        <v>44562</v>
      </c>
      <c r="H209">
        <v>14</v>
      </c>
      <c r="I209">
        <v>9</v>
      </c>
      <c r="J209">
        <f t="shared" si="13"/>
        <v>28</v>
      </c>
      <c r="K209">
        <f t="shared" si="13"/>
        <v>72</v>
      </c>
      <c r="L209">
        <v>10000</v>
      </c>
    </row>
    <row r="210" spans="1:33" hidden="1" x14ac:dyDescent="0.35">
      <c r="A210" s="19">
        <f t="shared" si="11"/>
        <v>209</v>
      </c>
      <c r="B210" t="s">
        <v>0</v>
      </c>
      <c r="C210" t="s">
        <v>3</v>
      </c>
      <c r="D210">
        <v>100</v>
      </c>
      <c r="E210" t="s">
        <v>17</v>
      </c>
      <c r="F210" s="5">
        <v>43831</v>
      </c>
      <c r="G210" s="5">
        <v>44562</v>
      </c>
      <c r="H210">
        <v>14</v>
      </c>
      <c r="I210">
        <v>9</v>
      </c>
      <c r="J210">
        <f t="shared" si="13"/>
        <v>28</v>
      </c>
      <c r="K210">
        <f t="shared" si="13"/>
        <v>72</v>
      </c>
      <c r="L210">
        <v>10000</v>
      </c>
    </row>
    <row r="211" spans="1:33" hidden="1" x14ac:dyDescent="0.35">
      <c r="A211" s="19">
        <f t="shared" si="11"/>
        <v>210</v>
      </c>
      <c r="B211" t="s">
        <v>0</v>
      </c>
      <c r="C211" t="s">
        <v>3</v>
      </c>
      <c r="D211">
        <v>200</v>
      </c>
      <c r="E211" t="s">
        <v>17</v>
      </c>
      <c r="F211" s="5">
        <v>43831</v>
      </c>
      <c r="G211" s="5">
        <v>44562</v>
      </c>
      <c r="H211">
        <v>14</v>
      </c>
      <c r="I211">
        <v>9</v>
      </c>
      <c r="J211">
        <f t="shared" si="13"/>
        <v>28</v>
      </c>
      <c r="K211">
        <f t="shared" si="13"/>
        <v>72</v>
      </c>
      <c r="L211">
        <v>10000</v>
      </c>
    </row>
    <row r="212" spans="1:33" hidden="1" x14ac:dyDescent="0.35">
      <c r="A212" s="19">
        <f t="shared" si="11"/>
        <v>211</v>
      </c>
      <c r="B212" t="s">
        <v>0</v>
      </c>
      <c r="C212" t="s">
        <v>2</v>
      </c>
      <c r="D212">
        <v>10</v>
      </c>
      <c r="E212" t="s">
        <v>17</v>
      </c>
      <c r="F212" s="5">
        <v>43831</v>
      </c>
      <c r="G212" s="5">
        <v>44562</v>
      </c>
      <c r="H212">
        <v>14</v>
      </c>
      <c r="I212">
        <v>9</v>
      </c>
      <c r="J212">
        <f t="shared" si="13"/>
        <v>28</v>
      </c>
      <c r="K212">
        <f t="shared" si="13"/>
        <v>72</v>
      </c>
      <c r="L212">
        <v>10000</v>
      </c>
    </row>
    <row r="213" spans="1:33" hidden="1" x14ac:dyDescent="0.35">
      <c r="A213" s="19">
        <f t="shared" si="11"/>
        <v>212</v>
      </c>
      <c r="B213" t="s">
        <v>0</v>
      </c>
      <c r="C213" t="s">
        <v>2</v>
      </c>
      <c r="D213">
        <v>10</v>
      </c>
      <c r="E213" t="s">
        <v>17</v>
      </c>
      <c r="F213" s="5">
        <v>43831</v>
      </c>
      <c r="G213" s="5">
        <v>44562</v>
      </c>
      <c r="H213">
        <v>14</v>
      </c>
      <c r="I213">
        <v>9</v>
      </c>
      <c r="J213">
        <f t="shared" si="13"/>
        <v>28</v>
      </c>
      <c r="K213">
        <f t="shared" si="13"/>
        <v>72</v>
      </c>
      <c r="L213">
        <v>10000</v>
      </c>
    </row>
    <row r="214" spans="1:33" hidden="1" x14ac:dyDescent="0.35">
      <c r="A214" s="19">
        <f t="shared" si="11"/>
        <v>213</v>
      </c>
      <c r="B214" t="s">
        <v>0</v>
      </c>
      <c r="C214" t="s">
        <v>2</v>
      </c>
      <c r="D214">
        <v>100</v>
      </c>
      <c r="E214" t="s">
        <v>17</v>
      </c>
      <c r="F214" s="5">
        <v>43831</v>
      </c>
      <c r="G214" s="5">
        <v>44562</v>
      </c>
      <c r="H214">
        <v>14</v>
      </c>
      <c r="I214">
        <v>9</v>
      </c>
      <c r="J214">
        <f t="shared" si="13"/>
        <v>28</v>
      </c>
      <c r="K214">
        <f t="shared" si="13"/>
        <v>72</v>
      </c>
      <c r="L214">
        <v>10000</v>
      </c>
    </row>
    <row r="215" spans="1:33" hidden="1" x14ac:dyDescent="0.35">
      <c r="A215" s="19">
        <f t="shared" si="11"/>
        <v>214</v>
      </c>
      <c r="B215" t="s">
        <v>0</v>
      </c>
      <c r="C215" t="s">
        <v>22</v>
      </c>
      <c r="D215">
        <v>10</v>
      </c>
      <c r="E215" t="s">
        <v>17</v>
      </c>
      <c r="F215" s="5">
        <v>43831</v>
      </c>
      <c r="G215" s="5">
        <v>44562</v>
      </c>
      <c r="H215">
        <v>14</v>
      </c>
      <c r="I215">
        <v>9</v>
      </c>
      <c r="J215">
        <f t="shared" si="13"/>
        <v>28</v>
      </c>
      <c r="K215">
        <f t="shared" si="13"/>
        <v>72</v>
      </c>
      <c r="L215">
        <v>10000</v>
      </c>
    </row>
    <row r="216" spans="1:33" hidden="1" x14ac:dyDescent="0.35">
      <c r="A216" s="19">
        <f t="shared" si="11"/>
        <v>215</v>
      </c>
      <c r="B216" t="s">
        <v>0</v>
      </c>
      <c r="C216" t="s">
        <v>22</v>
      </c>
      <c r="D216">
        <v>100</v>
      </c>
      <c r="E216" t="s">
        <v>17</v>
      </c>
      <c r="F216" s="5">
        <v>43831</v>
      </c>
      <c r="G216" s="5">
        <v>44562</v>
      </c>
      <c r="H216">
        <v>14</v>
      </c>
      <c r="I216">
        <v>9</v>
      </c>
      <c r="J216">
        <f t="shared" si="13"/>
        <v>28</v>
      </c>
      <c r="K216">
        <f t="shared" si="13"/>
        <v>72</v>
      </c>
      <c r="L216">
        <v>10000</v>
      </c>
    </row>
    <row r="217" spans="1:33" hidden="1" x14ac:dyDescent="0.35">
      <c r="A217" s="19">
        <f t="shared" si="11"/>
        <v>216</v>
      </c>
      <c r="B217" t="s">
        <v>0</v>
      </c>
      <c r="C217" t="s">
        <v>22</v>
      </c>
      <c r="D217">
        <v>200</v>
      </c>
      <c r="E217" t="s">
        <v>17</v>
      </c>
      <c r="F217" s="5">
        <v>43831</v>
      </c>
      <c r="G217" s="5">
        <v>44562</v>
      </c>
      <c r="H217">
        <v>14</v>
      </c>
      <c r="I217">
        <v>9</v>
      </c>
      <c r="J217">
        <f t="shared" si="13"/>
        <v>28</v>
      </c>
      <c r="K217">
        <f t="shared" si="13"/>
        <v>72</v>
      </c>
      <c r="L217">
        <v>10000</v>
      </c>
    </row>
    <row r="218" spans="1:33" hidden="1" x14ac:dyDescent="0.35">
      <c r="A218" s="13">
        <f t="shared" si="11"/>
        <v>217</v>
      </c>
      <c r="B218" t="s">
        <v>5</v>
      </c>
      <c r="C218" t="s">
        <v>3</v>
      </c>
      <c r="D218">
        <v>10</v>
      </c>
      <c r="E218" t="s">
        <v>17</v>
      </c>
      <c r="F218" s="5">
        <v>43831</v>
      </c>
      <c r="G218" s="5">
        <v>44562</v>
      </c>
      <c r="H218">
        <v>14</v>
      </c>
      <c r="I218">
        <v>9</v>
      </c>
      <c r="J218">
        <f t="shared" si="13"/>
        <v>30</v>
      </c>
      <c r="K218">
        <f t="shared" si="13"/>
        <v>70</v>
      </c>
      <c r="L218">
        <v>10000</v>
      </c>
      <c r="M218">
        <f>VLOOKUP($A218&amp;M$1,Data!$A$2:$D$5000,4,FALSE)</f>
        <v>0.27661000000000002</v>
      </c>
      <c r="N218">
        <f>VLOOKUP($A218&amp;N$1,Data!$A$2:$D$5000,4,FALSE)</f>
        <v>0.44700000000000001</v>
      </c>
      <c r="O218">
        <f>VLOOKUP($A218&amp;O$1,Data!$A$2:$D$5000,4,FALSE)</f>
        <v>318</v>
      </c>
      <c r="P218">
        <f>VLOOKUP($A218&amp;P$1,Data!$A$2:$D$5000,4,FALSE)</f>
        <v>1.46E-2</v>
      </c>
      <c r="Q218">
        <f>VLOOKUP($A218&amp;Q$1,Data!$A$2:$D$5000,4,FALSE)</f>
        <v>-1.09E-2</v>
      </c>
      <c r="R218">
        <f>VLOOKUP($A218&amp;R$1,Data!$A$2:$D$5000,4,FALSE)</f>
        <v>6.5659999999999996E-2</v>
      </c>
      <c r="S218">
        <f>VLOOKUP($A218&amp;S$1,Data!$A$2:$D$5000,4,FALSE)</f>
        <v>6.0999999999999999E-2</v>
      </c>
      <c r="T218">
        <f>VLOOKUP($A218&amp;T$1,Data!$A$2:$D$5000,4,FALSE)</f>
        <v>0.40500000000000003</v>
      </c>
      <c r="U218">
        <f>VLOOKUP($A218&amp;U$1,Data!$A$2:$D$5000,4,FALSE)</f>
        <v>4.215E-2</v>
      </c>
      <c r="V218">
        <f>VLOOKUP($A218&amp;V$1,Data!$A$2:$D$5000,4,FALSE)</f>
        <v>0.4</v>
      </c>
      <c r="W218">
        <f>VLOOKUP($A218&amp;W$1,Data!$A$2:$D$5000,4,FALSE)</f>
        <v>0.6</v>
      </c>
      <c r="X218">
        <f>VLOOKUP($A218&amp;X$1,Data!$A$2:$D$5000,4,FALSE)</f>
        <v>1.34</v>
      </c>
      <c r="Y218">
        <f>VLOOKUP($A218&amp;Y$1,Data!$A$2:$D$5000,4,FALSE)</f>
        <v>0.02</v>
      </c>
      <c r="Z218">
        <f>VLOOKUP($A218&amp;Z$1,Data!$A$2:$D$5000,4,FALSE)</f>
        <v>0.55800000000000005</v>
      </c>
      <c r="AA218">
        <f>VLOOKUP($A218&amp;AA$1,Data!$A$2:$D$5000,4,FALSE)</f>
        <v>0.11600000000000001</v>
      </c>
      <c r="AB218">
        <f>VLOOKUP($A218&amp;AB$1,Data!$A$2:$D$5000,4,FALSE)</f>
        <v>1.2999999999999999E-2</v>
      </c>
      <c r="AC218">
        <f>VLOOKUP($A218&amp;AC$1,Data!$A$2:$D$5000,4,FALSE)</f>
        <v>-4.5999999999999999E-2</v>
      </c>
      <c r="AD218">
        <f>VLOOKUP($A218&amp;AD$1,Data!$A$2:$D$5000,4,FALSE)</f>
        <v>0.114</v>
      </c>
      <c r="AE218">
        <f>VLOOKUP($A218&amp;AE$1,Data!$A$2:$D$5000,4,FALSE)</f>
        <v>9.2999999999999999E-2</v>
      </c>
      <c r="AF218">
        <f>VLOOKUP($A218&amp;AF$1,Data!$A$2:$D$5000,4,FALSE)</f>
        <v>0</v>
      </c>
      <c r="AG218">
        <f>VLOOKUP($A218&amp;AG$1,Data!$A$2:$D$5000,4,FALSE)</f>
        <v>20000000</v>
      </c>
    </row>
    <row r="219" spans="1:33" hidden="1" x14ac:dyDescent="0.35">
      <c r="A219" s="13">
        <f t="shared" si="11"/>
        <v>218</v>
      </c>
      <c r="B219" t="s">
        <v>5</v>
      </c>
      <c r="C219" t="s">
        <v>3</v>
      </c>
      <c r="D219">
        <v>100</v>
      </c>
      <c r="E219" t="s">
        <v>17</v>
      </c>
      <c r="F219" s="5">
        <v>43831</v>
      </c>
      <c r="G219" s="5">
        <v>44562</v>
      </c>
      <c r="H219">
        <v>14</v>
      </c>
      <c r="I219">
        <v>9</v>
      </c>
      <c r="J219">
        <f t="shared" si="13"/>
        <v>30</v>
      </c>
      <c r="K219">
        <f t="shared" si="13"/>
        <v>70</v>
      </c>
      <c r="L219">
        <v>10000</v>
      </c>
      <c r="M219">
        <f>VLOOKUP($A219&amp;M$1,Data!$A$2:$D$5000,4,FALSE)</f>
        <v>0.36575999999999997</v>
      </c>
      <c r="N219">
        <f>VLOOKUP($A219&amp;N$1,Data!$A$2:$D$5000,4,FALSE)</f>
        <v>1.079</v>
      </c>
      <c r="O219">
        <f>VLOOKUP($A219&amp;O$1,Data!$A$2:$D$5000,4,FALSE)</f>
        <v>317</v>
      </c>
      <c r="P219">
        <f>VLOOKUP($A219&amp;P$1,Data!$A$2:$D$5000,4,FALSE)</f>
        <v>0.11269999999999999</v>
      </c>
      <c r="Q219">
        <f>VLOOKUP($A219&amp;Q$1,Data!$A$2:$D$5000,4,FALSE)</f>
        <v>-8.3400000000000002E-2</v>
      </c>
      <c r="R219">
        <f>VLOOKUP($A219&amp;R$1,Data!$A$2:$D$5000,4,FALSE)</f>
        <v>0.49086000000000002</v>
      </c>
      <c r="S219">
        <f>VLOOKUP($A219&amp;S$1,Data!$A$2:$D$5000,4,FALSE)</f>
        <v>0.46100000000000002</v>
      </c>
      <c r="T219">
        <f>VLOOKUP($A219&amp;T$1,Data!$A$2:$D$5000,4,FALSE)</f>
        <v>0.41099999999999998</v>
      </c>
      <c r="U219">
        <f>VLOOKUP($A219&amp;U$1,Data!$A$2:$D$5000,4,FALSE)</f>
        <v>0.29597000000000001</v>
      </c>
      <c r="V219">
        <f>VLOOKUP($A219&amp;V$1,Data!$A$2:$D$5000,4,FALSE)</f>
        <v>0.4</v>
      </c>
      <c r="W219">
        <f>VLOOKUP($A219&amp;W$1,Data!$A$2:$D$5000,4,FALSE)</f>
        <v>0.6</v>
      </c>
      <c r="X219">
        <f>VLOOKUP($A219&amp;X$1,Data!$A$2:$D$5000,4,FALSE)</f>
        <v>1.35</v>
      </c>
      <c r="Y219">
        <f>VLOOKUP($A219&amp;Y$1,Data!$A$2:$D$5000,4,FALSE)</f>
        <v>0.93</v>
      </c>
      <c r="Z219">
        <f>VLOOKUP($A219&amp;Z$1,Data!$A$2:$D$5000,4,FALSE)</f>
        <v>6.085</v>
      </c>
      <c r="AA219">
        <f>VLOOKUP($A219&amp;AA$1,Data!$A$2:$D$5000,4,FALSE)</f>
        <v>1.1850000000000001</v>
      </c>
      <c r="AB219">
        <f>VLOOKUP($A219&amp;AB$1,Data!$A$2:$D$5000,4,FALSE)</f>
        <v>1.4039999999999999</v>
      </c>
      <c r="AC219">
        <f>VLOOKUP($A219&amp;AC$1,Data!$A$2:$D$5000,4,FALSE)</f>
        <v>1.0489999999999999</v>
      </c>
      <c r="AD219">
        <f>VLOOKUP($A219&amp;AD$1,Data!$A$2:$D$5000,4,FALSE)</f>
        <v>1.1639999999999999</v>
      </c>
      <c r="AE219">
        <f>VLOOKUP($A219&amp;AE$1,Data!$A$2:$D$5000,4,FALSE)</f>
        <v>0.21</v>
      </c>
      <c r="AF219">
        <f>VLOOKUP($A219&amp;AF$1,Data!$A$2:$D$5000,4,FALSE)</f>
        <v>0</v>
      </c>
      <c r="AG219">
        <f>VLOOKUP($A219&amp;AG$1,Data!$A$2:$D$5000,4,FALSE)</f>
        <v>3200000</v>
      </c>
    </row>
    <row r="220" spans="1:33" hidden="1" x14ac:dyDescent="0.35">
      <c r="A220" s="13">
        <f t="shared" si="11"/>
        <v>219</v>
      </c>
      <c r="B220" t="s">
        <v>5</v>
      </c>
      <c r="C220" t="s">
        <v>3</v>
      </c>
      <c r="D220">
        <v>200</v>
      </c>
      <c r="E220" t="s">
        <v>17</v>
      </c>
      <c r="F220" s="5">
        <v>43831</v>
      </c>
      <c r="G220" s="5">
        <v>44562</v>
      </c>
      <c r="H220">
        <v>14</v>
      </c>
      <c r="I220">
        <v>9</v>
      </c>
      <c r="J220">
        <f t="shared" si="13"/>
        <v>30</v>
      </c>
      <c r="K220">
        <f t="shared" si="13"/>
        <v>70</v>
      </c>
      <c r="L220">
        <v>10000</v>
      </c>
      <c r="M220">
        <f>VLOOKUP($A220&amp;M$1,Data!$A$2:$D$5000,4,FALSE)</f>
        <v>0.25441000000000003</v>
      </c>
      <c r="N220">
        <f>VLOOKUP($A220&amp;N$1,Data!$A$2:$D$5000,4,FALSE)</f>
        <v>0.45800000000000002</v>
      </c>
      <c r="O220">
        <f>VLOOKUP($A220&amp;O$1,Data!$A$2:$D$5000,4,FALSE)</f>
        <v>284</v>
      </c>
      <c r="P220">
        <f>VLOOKUP($A220&amp;P$1,Data!$A$2:$D$5000,4,FALSE)</f>
        <v>0.27229999999999999</v>
      </c>
      <c r="Q220">
        <f>VLOOKUP($A220&amp;Q$1,Data!$A$2:$D$5000,4,FALSE)</f>
        <v>-9.0200000000000002E-2</v>
      </c>
      <c r="R220">
        <f>VLOOKUP($A220&amp;R$1,Data!$A$2:$D$5000,4,FALSE)</f>
        <v>-0.77278999999999998</v>
      </c>
      <c r="S220">
        <f>VLOOKUP($A220&amp;S$1,Data!$A$2:$D$5000,4,FALSE)</f>
        <v>0.76500000000000001</v>
      </c>
      <c r="T220">
        <f>VLOOKUP($A220&amp;T$1,Data!$A$2:$D$5000,4,FALSE)</f>
        <v>-0.23499999999999999</v>
      </c>
      <c r="U220">
        <f>VLOOKUP($A220&amp;U$1,Data!$A$2:$D$5000,4,FALSE)</f>
        <v>-0.61789000000000005</v>
      </c>
      <c r="V220">
        <f>VLOOKUP($A220&amp;V$1,Data!$A$2:$D$5000,4,FALSE)</f>
        <v>0.81</v>
      </c>
      <c r="W220">
        <f>VLOOKUP($A220&amp;W$1,Data!$A$2:$D$5000,4,FALSE)</f>
        <v>0.19</v>
      </c>
      <c r="X220">
        <f>VLOOKUP($A220&amp;X$1,Data!$A$2:$D$5000,4,FALSE)</f>
        <v>3.02</v>
      </c>
      <c r="Y220">
        <f>VLOOKUP($A220&amp;Y$1,Data!$A$2:$D$5000,4,FALSE)</f>
        <v>0.11</v>
      </c>
      <c r="Z220">
        <f>VLOOKUP($A220&amp;Z$1,Data!$A$2:$D$5000,4,FALSE)</f>
        <v>13.24</v>
      </c>
      <c r="AA220">
        <f>VLOOKUP($A220&amp;AA$1,Data!$A$2:$D$5000,4,FALSE)</f>
        <v>1.893</v>
      </c>
      <c r="AB220">
        <f>VLOOKUP($A220&amp;AB$1,Data!$A$2:$D$5000,4,FALSE)</f>
        <v>3.5830000000000002</v>
      </c>
      <c r="AC220">
        <f>VLOOKUP($A220&amp;AC$1,Data!$A$2:$D$5000,4,FALSE)</f>
        <v>0.435</v>
      </c>
      <c r="AD220">
        <f>VLOOKUP($A220&amp;AD$1,Data!$A$2:$D$5000,4,FALSE)</f>
        <v>1.863</v>
      </c>
      <c r="AE220">
        <f>VLOOKUP($A220&amp;AE$1,Data!$A$2:$D$5000,4,FALSE)</f>
        <v>6.5000000000000002E-2</v>
      </c>
      <c r="AF220">
        <f>VLOOKUP($A220&amp;AF$1,Data!$A$2:$D$5000,4,FALSE)</f>
        <v>0</v>
      </c>
      <c r="AG220">
        <f>VLOOKUP($A220&amp;AG$1,Data!$A$2:$D$5000,4,FALSE)</f>
        <v>610000</v>
      </c>
    </row>
    <row r="221" spans="1:33" hidden="1" x14ac:dyDescent="0.35">
      <c r="A221" s="13">
        <f t="shared" si="11"/>
        <v>220</v>
      </c>
      <c r="B221" t="s">
        <v>5</v>
      </c>
      <c r="C221" t="s">
        <v>2</v>
      </c>
      <c r="D221">
        <v>10</v>
      </c>
      <c r="E221" t="s">
        <v>17</v>
      </c>
      <c r="F221" s="5">
        <v>43831</v>
      </c>
      <c r="G221" s="5">
        <v>44562</v>
      </c>
      <c r="H221">
        <v>14</v>
      </c>
      <c r="I221">
        <v>9</v>
      </c>
      <c r="J221">
        <f t="shared" si="13"/>
        <v>30</v>
      </c>
      <c r="K221">
        <f t="shared" si="13"/>
        <v>70</v>
      </c>
      <c r="L221">
        <v>10000</v>
      </c>
      <c r="M221">
        <f>VLOOKUP($A221&amp;M$1,Data!$A$2:$D$5000,4,FALSE)</f>
        <v>5.101E-2</v>
      </c>
      <c r="N221">
        <f>VLOOKUP($A221&amp;N$1,Data!$A$2:$D$5000,4,FALSE)</f>
        <v>-0.69699999999999995</v>
      </c>
      <c r="O221">
        <f>VLOOKUP($A221&amp;O$1,Data!$A$2:$D$5000,4,FALSE)</f>
        <v>459</v>
      </c>
      <c r="P221">
        <f>VLOOKUP($A221&amp;P$1,Data!$A$2:$D$5000,4,FALSE)</f>
        <v>7.3000000000000001E-3</v>
      </c>
      <c r="Q221">
        <f>VLOOKUP($A221&amp;Q$1,Data!$A$2:$D$5000,4,FALSE)</f>
        <v>-1.47E-2</v>
      </c>
      <c r="R221">
        <f>VLOOKUP($A221&amp;R$1,Data!$A$2:$D$5000,4,FALSE)</f>
        <v>-9.9080000000000001E-2</v>
      </c>
      <c r="S221">
        <f>VLOOKUP($A221&amp;S$1,Data!$A$2:$D$5000,4,FALSE)</f>
        <v>0.13800000000000001</v>
      </c>
      <c r="T221">
        <f>VLOOKUP($A221&amp;T$1,Data!$A$2:$D$5000,4,FALSE)</f>
        <v>-0.3</v>
      </c>
      <c r="U221">
        <f>VLOOKUP($A221&amp;U$1,Data!$A$2:$D$5000,4,FALSE)</f>
        <v>-6.5490000000000007E-2</v>
      </c>
      <c r="V221">
        <f>VLOOKUP($A221&amp;V$1,Data!$A$2:$D$5000,4,FALSE)</f>
        <v>0.53</v>
      </c>
      <c r="W221">
        <f>VLOOKUP($A221&amp;W$1,Data!$A$2:$D$5000,4,FALSE)</f>
        <v>0.47</v>
      </c>
      <c r="X221">
        <f>VLOOKUP($A221&amp;X$1,Data!$A$2:$D$5000,4,FALSE)</f>
        <v>0.5</v>
      </c>
      <c r="Y221">
        <f>VLOOKUP($A221&amp;Y$1,Data!$A$2:$D$5000,4,FALSE)</f>
        <v>-8.6999999999999994E-2</v>
      </c>
      <c r="Z221">
        <f>VLOOKUP($A221&amp;Z$1,Data!$A$2:$D$5000,4,FALSE)</f>
        <v>0.376</v>
      </c>
      <c r="AA221">
        <f>VLOOKUP($A221&amp;AA$1,Data!$A$2:$D$5000,4,FALSE)</f>
        <v>9.4E-2</v>
      </c>
      <c r="AB221">
        <f>VLOOKUP($A221&amp;AB$1,Data!$A$2:$D$5000,4,FALSE)</f>
        <v>8.9999999999999993E-3</v>
      </c>
      <c r="AC221">
        <f>VLOOKUP($A221&amp;AC$1,Data!$A$2:$D$5000,4,FALSE)</f>
        <v>-1.2290000000000001</v>
      </c>
      <c r="AD221">
        <f>VLOOKUP($A221&amp;AD$1,Data!$A$2:$D$5000,4,FALSE)</f>
        <v>0.1</v>
      </c>
      <c r="AE221">
        <f>VLOOKUP($A221&amp;AE$1,Data!$A$2:$D$5000,4,FALSE)</f>
        <v>-0.17399999999999999</v>
      </c>
      <c r="AF221">
        <f>VLOOKUP($A221&amp;AF$1,Data!$A$2:$D$5000,4,FALSE)</f>
        <v>0</v>
      </c>
      <c r="AG221">
        <f>VLOOKUP($A221&amp;AG$1,Data!$A$2:$D$5000,4,FALSE)</f>
        <v>120000000</v>
      </c>
    </row>
    <row r="222" spans="1:33" hidden="1" x14ac:dyDescent="0.35">
      <c r="A222" s="13">
        <f t="shared" si="11"/>
        <v>221</v>
      </c>
      <c r="B222" t="s">
        <v>5</v>
      </c>
      <c r="C222" t="s">
        <v>2</v>
      </c>
      <c r="D222">
        <v>100</v>
      </c>
      <c r="E222" t="s">
        <v>17</v>
      </c>
      <c r="F222" s="5">
        <v>43831</v>
      </c>
      <c r="G222" s="5">
        <v>44562</v>
      </c>
      <c r="H222">
        <v>14</v>
      </c>
      <c r="I222">
        <v>9</v>
      </c>
      <c r="J222">
        <f t="shared" si="13"/>
        <v>30</v>
      </c>
      <c r="K222">
        <f t="shared" si="13"/>
        <v>70</v>
      </c>
      <c r="L222">
        <v>10000</v>
      </c>
      <c r="M222">
        <f>VLOOKUP($A222&amp;M$1,Data!$A$2:$D$5000,4,FALSE)</f>
        <v>1.8460000000000001E-2</v>
      </c>
      <c r="N222">
        <f>VLOOKUP($A222&amp;N$1,Data!$A$2:$D$5000,4,FALSE)</f>
        <v>-0.65300000000000002</v>
      </c>
      <c r="O222">
        <f>VLOOKUP($A222&amp;O$1,Data!$A$2:$D$5000,4,FALSE)</f>
        <v>451</v>
      </c>
      <c r="P222">
        <f>VLOOKUP($A222&amp;P$1,Data!$A$2:$D$5000,4,FALSE)</f>
        <v>7.6200000000000004E-2</v>
      </c>
      <c r="Q222">
        <f>VLOOKUP($A222&amp;Q$1,Data!$A$2:$D$5000,4,FALSE)</f>
        <v>-6.8599999999999994E-2</v>
      </c>
      <c r="R222">
        <f>VLOOKUP($A222&amp;R$1,Data!$A$2:$D$5000,4,FALSE)</f>
        <v>-0.95057000000000003</v>
      </c>
      <c r="S222">
        <f>VLOOKUP($A222&amp;S$1,Data!$A$2:$D$5000,4,FALSE)</f>
        <v>0.92600000000000005</v>
      </c>
      <c r="T222">
        <f>VLOOKUP($A222&amp;T$1,Data!$A$2:$D$5000,4,FALSE)</f>
        <v>-0.70699999999999996</v>
      </c>
      <c r="U222">
        <f>VLOOKUP($A222&amp;U$1,Data!$A$2:$D$5000,4,FALSE)</f>
        <v>-0.85804000000000002</v>
      </c>
      <c r="V222">
        <f>VLOOKUP($A222&amp;V$1,Data!$A$2:$D$5000,4,FALSE)</f>
        <v>0.86</v>
      </c>
      <c r="W222">
        <f>VLOOKUP($A222&amp;W$1,Data!$A$2:$D$5000,4,FALSE)</f>
        <v>0.14000000000000001</v>
      </c>
      <c r="X222">
        <f>VLOOKUP($A222&amp;X$1,Data!$A$2:$D$5000,4,FALSE)</f>
        <v>1.1100000000000001</v>
      </c>
      <c r="Y222">
        <f>VLOOKUP($A222&amp;Y$1,Data!$A$2:$D$5000,4,FALSE)</f>
        <v>-0.99099999999999999</v>
      </c>
      <c r="Z222">
        <f>VLOOKUP($A222&amp;Z$1,Data!$A$2:$D$5000,4,FALSE)</f>
        <v>4.2370000000000001</v>
      </c>
      <c r="AA222">
        <f>VLOOKUP($A222&amp;AA$1,Data!$A$2:$D$5000,4,FALSE)</f>
        <v>1.1459999999999999</v>
      </c>
      <c r="AB222">
        <f>VLOOKUP($A222&amp;AB$1,Data!$A$2:$D$5000,4,FALSE)</f>
        <v>1.3129999999999999</v>
      </c>
      <c r="AC222">
        <f>VLOOKUP($A222&amp;AC$1,Data!$A$2:$D$5000,4,FALSE)</f>
        <v>-0.71199999999999997</v>
      </c>
      <c r="AD222">
        <f>VLOOKUP($A222&amp;AD$1,Data!$A$2:$D$5000,4,FALSE)</f>
        <v>1.131</v>
      </c>
      <c r="AE222">
        <f>VLOOKUP($A222&amp;AE$1,Data!$A$2:$D$5000,4,FALSE)</f>
        <v>-0.17699999999999999</v>
      </c>
      <c r="AF222">
        <f>VLOOKUP($A222&amp;AF$1,Data!$A$2:$D$5000,4,FALSE)</f>
        <v>0</v>
      </c>
      <c r="AG222">
        <f>VLOOKUP($A222&amp;AG$1,Data!$A$2:$D$5000,4,FALSE)</f>
        <v>2900000</v>
      </c>
    </row>
    <row r="223" spans="1:33" hidden="1" x14ac:dyDescent="0.35">
      <c r="A223" s="13">
        <f t="shared" si="11"/>
        <v>222</v>
      </c>
      <c r="B223" t="s">
        <v>5</v>
      </c>
      <c r="C223" t="s">
        <v>2</v>
      </c>
      <c r="D223">
        <v>200</v>
      </c>
      <c r="E223" t="s">
        <v>17</v>
      </c>
      <c r="F223" s="5">
        <v>43831</v>
      </c>
      <c r="G223" s="5">
        <v>44562</v>
      </c>
      <c r="H223">
        <v>14</v>
      </c>
      <c r="I223">
        <v>9</v>
      </c>
      <c r="J223">
        <f t="shared" ref="J223:K238" si="14">J250</f>
        <v>30</v>
      </c>
      <c r="K223">
        <f t="shared" si="14"/>
        <v>70</v>
      </c>
      <c r="L223">
        <v>10000</v>
      </c>
      <c r="M223">
        <f>VLOOKUP($A223&amp;M$1,Data!$A$2:$D$5000,4,FALSE)</f>
        <v>2.0709999999999999E-2</v>
      </c>
      <c r="N223">
        <f>VLOOKUP($A223&amp;N$1,Data!$A$2:$D$5000,4,FALSE)</f>
        <v>-0.58299999999999996</v>
      </c>
      <c r="O223">
        <f>VLOOKUP($A223&amp;O$1,Data!$A$2:$D$5000,4,FALSE)</f>
        <v>411</v>
      </c>
      <c r="P223">
        <f>VLOOKUP($A223&amp;P$1,Data!$A$2:$D$5000,4,FALSE)</f>
        <v>0.14269999999999999</v>
      </c>
      <c r="Q223">
        <f>VLOOKUP($A223&amp;Q$1,Data!$A$2:$D$5000,4,FALSE)</f>
        <v>-8.0199999999999994E-2</v>
      </c>
      <c r="R223">
        <f>VLOOKUP($A223&amp;R$1,Data!$A$2:$D$5000,4,FALSE)</f>
        <v>-0.97353000000000001</v>
      </c>
      <c r="S223">
        <f>VLOOKUP($A223&amp;S$1,Data!$A$2:$D$5000,4,FALSE)</f>
        <v>0.96299999999999997</v>
      </c>
      <c r="T223">
        <f>VLOOKUP($A223&amp;T$1,Data!$A$2:$D$5000,4,FALSE)</f>
        <v>-0.59299999999999997</v>
      </c>
      <c r="U223">
        <f>VLOOKUP($A223&amp;U$1,Data!$A$2:$D$5000,4,FALSE)</f>
        <v>-0.90534999999999999</v>
      </c>
      <c r="V223">
        <f>VLOOKUP($A223&amp;V$1,Data!$A$2:$D$5000,4,FALSE)</f>
        <v>0.85</v>
      </c>
      <c r="W223">
        <f>VLOOKUP($A223&amp;W$1,Data!$A$2:$D$5000,4,FALSE)</f>
        <v>0.15</v>
      </c>
      <c r="X223">
        <f>VLOOKUP($A223&amp;X$1,Data!$A$2:$D$5000,4,FALSE)</f>
        <v>1.78</v>
      </c>
      <c r="Y223">
        <f>VLOOKUP($A223&amp;Y$1,Data!$A$2:$D$5000,4,FALSE)</f>
        <v>-1.17</v>
      </c>
      <c r="Z223">
        <f>VLOOKUP($A223&amp;Z$1,Data!$A$2:$D$5000,4,FALSE)</f>
        <v>6.6920000000000002</v>
      </c>
      <c r="AA223">
        <f>VLOOKUP($A223&amp;AA$1,Data!$A$2:$D$5000,4,FALSE)</f>
        <v>1.3520000000000001</v>
      </c>
      <c r="AB223">
        <f>VLOOKUP($A223&amp;AB$1,Data!$A$2:$D$5000,4,FALSE)</f>
        <v>1.8280000000000001</v>
      </c>
      <c r="AC223">
        <f>VLOOKUP($A223&amp;AC$1,Data!$A$2:$D$5000,4,FALSE)</f>
        <v>-0.63500000000000001</v>
      </c>
      <c r="AD223">
        <f>VLOOKUP($A223&amp;AD$1,Data!$A$2:$D$5000,4,FALSE)</f>
        <v>1.331</v>
      </c>
      <c r="AE223">
        <f>VLOOKUP($A223&amp;AE$1,Data!$A$2:$D$5000,4,FALSE)</f>
        <v>-0.11799999999999999</v>
      </c>
      <c r="AF223">
        <f>VLOOKUP($A223&amp;AF$1,Data!$A$2:$D$5000,4,FALSE)</f>
        <v>0</v>
      </c>
      <c r="AG223">
        <f>VLOOKUP($A223&amp;AG$1,Data!$A$2:$D$5000,4,FALSE)</f>
        <v>1100000</v>
      </c>
    </row>
    <row r="224" spans="1:33" hidden="1" x14ac:dyDescent="0.35">
      <c r="A224" s="13">
        <f t="shared" si="11"/>
        <v>223</v>
      </c>
      <c r="B224" t="s">
        <v>5</v>
      </c>
      <c r="C224" t="s">
        <v>22</v>
      </c>
      <c r="D224">
        <v>10</v>
      </c>
      <c r="E224" t="s">
        <v>17</v>
      </c>
      <c r="F224" s="5">
        <v>43831</v>
      </c>
      <c r="G224" s="5">
        <v>44562</v>
      </c>
      <c r="H224">
        <v>14</v>
      </c>
      <c r="I224">
        <v>9</v>
      </c>
      <c r="J224">
        <f t="shared" si="14"/>
        <v>30</v>
      </c>
      <c r="K224">
        <f t="shared" si="14"/>
        <v>70</v>
      </c>
      <c r="L224">
        <v>10000</v>
      </c>
      <c r="M224">
        <f>VLOOKUP($A224&amp;M$1,Data!$A$2:$D$5000,4,FALSE)</f>
        <v>0.27661000000000002</v>
      </c>
      <c r="N224">
        <f>VLOOKUP($A224&amp;N$1,Data!$A$2:$D$5000,4,FALSE)</f>
        <v>0.44700000000000001</v>
      </c>
      <c r="O224">
        <f>VLOOKUP($A224&amp;O$1,Data!$A$2:$D$5000,4,FALSE)</f>
        <v>318</v>
      </c>
      <c r="P224">
        <f>VLOOKUP($A224&amp;P$1,Data!$A$2:$D$5000,4,FALSE)</f>
        <v>1.46E-2</v>
      </c>
      <c r="Q224">
        <f>VLOOKUP($A224&amp;Q$1,Data!$A$2:$D$5000,4,FALSE)</f>
        <v>-1.09E-2</v>
      </c>
      <c r="R224">
        <f>VLOOKUP($A224&amp;R$1,Data!$A$2:$D$5000,4,FALSE)</f>
        <v>6.5659999999999996E-2</v>
      </c>
      <c r="S224">
        <f>VLOOKUP($A224&amp;S$1,Data!$A$2:$D$5000,4,FALSE)</f>
        <v>6.0999999999999999E-2</v>
      </c>
      <c r="T224">
        <f>VLOOKUP($A224&amp;T$1,Data!$A$2:$D$5000,4,FALSE)</f>
        <v>0.40500000000000003</v>
      </c>
      <c r="U224">
        <f>VLOOKUP($A224&amp;U$1,Data!$A$2:$D$5000,4,FALSE)</f>
        <v>4.215E-2</v>
      </c>
      <c r="V224">
        <f>VLOOKUP($A224&amp;V$1,Data!$A$2:$D$5000,4,FALSE)</f>
        <v>0.4</v>
      </c>
      <c r="W224">
        <f>VLOOKUP($A224&amp;W$1,Data!$A$2:$D$5000,4,FALSE)</f>
        <v>0.6</v>
      </c>
      <c r="X224">
        <f>VLOOKUP($A224&amp;X$1,Data!$A$2:$D$5000,4,FALSE)</f>
        <v>1.34</v>
      </c>
      <c r="Y224">
        <f>VLOOKUP($A224&amp;Y$1,Data!$A$2:$D$5000,4,FALSE)</f>
        <v>0.02</v>
      </c>
      <c r="Z224">
        <f>VLOOKUP($A224&amp;Z$1,Data!$A$2:$D$5000,4,FALSE)</f>
        <v>0.55800000000000005</v>
      </c>
      <c r="AA224">
        <f>VLOOKUP($A224&amp;AA$1,Data!$A$2:$D$5000,4,FALSE)</f>
        <v>0.11600000000000001</v>
      </c>
      <c r="AB224">
        <f>VLOOKUP($A224&amp;AB$1,Data!$A$2:$D$5000,4,FALSE)</f>
        <v>1.2999999999999999E-2</v>
      </c>
      <c r="AC224">
        <f>VLOOKUP($A224&amp;AC$1,Data!$A$2:$D$5000,4,FALSE)</f>
        <v>-4.5999999999999999E-2</v>
      </c>
      <c r="AD224">
        <f>VLOOKUP($A224&amp;AD$1,Data!$A$2:$D$5000,4,FALSE)</f>
        <v>0.114</v>
      </c>
      <c r="AE224">
        <f>VLOOKUP($A224&amp;AE$1,Data!$A$2:$D$5000,4,FALSE)</f>
        <v>9.2999999999999999E-2</v>
      </c>
      <c r="AF224">
        <f>VLOOKUP($A224&amp;AF$1,Data!$A$2:$D$5000,4,FALSE)</f>
        <v>0</v>
      </c>
      <c r="AG224">
        <f>VLOOKUP($A224&amp;AG$1,Data!$A$2:$D$5000,4,FALSE)</f>
        <v>20000000</v>
      </c>
    </row>
    <row r="225" spans="1:33" hidden="1" x14ac:dyDescent="0.35">
      <c r="A225" s="13">
        <f t="shared" si="11"/>
        <v>224</v>
      </c>
      <c r="B225" t="s">
        <v>5</v>
      </c>
      <c r="C225" t="s">
        <v>22</v>
      </c>
      <c r="D225">
        <v>100</v>
      </c>
      <c r="E225" t="s">
        <v>17</v>
      </c>
      <c r="F225" s="5">
        <v>43831</v>
      </c>
      <c r="G225" s="5">
        <v>44562</v>
      </c>
      <c r="H225">
        <v>14</v>
      </c>
      <c r="I225">
        <v>9</v>
      </c>
      <c r="J225">
        <f t="shared" si="14"/>
        <v>30</v>
      </c>
      <c r="K225">
        <f t="shared" si="14"/>
        <v>70</v>
      </c>
      <c r="L225">
        <v>10000</v>
      </c>
      <c r="M225">
        <f>VLOOKUP($A225&amp;M$1,Data!$A$2:$D$5000,4,FALSE)</f>
        <v>0.36575999999999997</v>
      </c>
      <c r="N225">
        <f>VLOOKUP($A225&amp;N$1,Data!$A$2:$D$5000,4,FALSE)</f>
        <v>1.079</v>
      </c>
      <c r="O225">
        <f>VLOOKUP($A225&amp;O$1,Data!$A$2:$D$5000,4,FALSE)</f>
        <v>317</v>
      </c>
      <c r="P225">
        <f>VLOOKUP($A225&amp;P$1,Data!$A$2:$D$5000,4,FALSE)</f>
        <v>0.11269999999999999</v>
      </c>
      <c r="Q225">
        <f>VLOOKUP($A225&amp;Q$1,Data!$A$2:$D$5000,4,FALSE)</f>
        <v>-8.3400000000000002E-2</v>
      </c>
      <c r="R225">
        <f>VLOOKUP($A225&amp;R$1,Data!$A$2:$D$5000,4,FALSE)</f>
        <v>0.49086000000000002</v>
      </c>
      <c r="S225">
        <f>VLOOKUP($A225&amp;S$1,Data!$A$2:$D$5000,4,FALSE)</f>
        <v>0.46100000000000002</v>
      </c>
      <c r="T225">
        <f>VLOOKUP($A225&amp;T$1,Data!$A$2:$D$5000,4,FALSE)</f>
        <v>0.41099999999999998</v>
      </c>
      <c r="U225">
        <f>VLOOKUP($A225&amp;U$1,Data!$A$2:$D$5000,4,FALSE)</f>
        <v>0.29597000000000001</v>
      </c>
      <c r="V225">
        <f>VLOOKUP($A225&amp;V$1,Data!$A$2:$D$5000,4,FALSE)</f>
        <v>0.4</v>
      </c>
      <c r="W225">
        <f>VLOOKUP($A225&amp;W$1,Data!$A$2:$D$5000,4,FALSE)</f>
        <v>0.6</v>
      </c>
      <c r="X225">
        <f>VLOOKUP($A225&amp;X$1,Data!$A$2:$D$5000,4,FALSE)</f>
        <v>1.35</v>
      </c>
      <c r="Y225">
        <f>VLOOKUP($A225&amp;Y$1,Data!$A$2:$D$5000,4,FALSE)</f>
        <v>0.93</v>
      </c>
      <c r="Z225">
        <f>VLOOKUP($A225&amp;Z$1,Data!$A$2:$D$5000,4,FALSE)</f>
        <v>6.085</v>
      </c>
      <c r="AA225">
        <f>VLOOKUP($A225&amp;AA$1,Data!$A$2:$D$5000,4,FALSE)</f>
        <v>1.1850000000000001</v>
      </c>
      <c r="AB225">
        <f>VLOOKUP($A225&amp;AB$1,Data!$A$2:$D$5000,4,FALSE)</f>
        <v>1.4039999999999999</v>
      </c>
      <c r="AC225">
        <f>VLOOKUP($A225&amp;AC$1,Data!$A$2:$D$5000,4,FALSE)</f>
        <v>1.0489999999999999</v>
      </c>
      <c r="AD225">
        <f>VLOOKUP($A225&amp;AD$1,Data!$A$2:$D$5000,4,FALSE)</f>
        <v>1.1639999999999999</v>
      </c>
      <c r="AE225">
        <f>VLOOKUP($A225&amp;AE$1,Data!$A$2:$D$5000,4,FALSE)</f>
        <v>0.21</v>
      </c>
      <c r="AF225">
        <f>VLOOKUP($A225&amp;AF$1,Data!$A$2:$D$5000,4,FALSE)</f>
        <v>0</v>
      </c>
      <c r="AG225">
        <f>VLOOKUP($A225&amp;AG$1,Data!$A$2:$D$5000,4,FALSE)</f>
        <v>3200000</v>
      </c>
    </row>
    <row r="226" spans="1:33" hidden="1" x14ac:dyDescent="0.35">
      <c r="A226" s="13">
        <f t="shared" si="11"/>
        <v>225</v>
      </c>
      <c r="B226" t="s">
        <v>5</v>
      </c>
      <c r="C226" t="s">
        <v>22</v>
      </c>
      <c r="D226">
        <v>200</v>
      </c>
      <c r="E226" t="s">
        <v>17</v>
      </c>
      <c r="F226" s="5">
        <v>43831</v>
      </c>
      <c r="G226" s="5">
        <v>44562</v>
      </c>
      <c r="H226">
        <v>14</v>
      </c>
      <c r="I226">
        <v>9</v>
      </c>
      <c r="J226">
        <f t="shared" si="14"/>
        <v>30</v>
      </c>
      <c r="K226">
        <f t="shared" si="14"/>
        <v>70</v>
      </c>
      <c r="L226">
        <v>10000</v>
      </c>
      <c r="M226">
        <f>VLOOKUP($A226&amp;M$1,Data!$A$2:$D$5000,4,FALSE)</f>
        <v>0.25441000000000003</v>
      </c>
      <c r="N226">
        <f>VLOOKUP($A226&amp;N$1,Data!$A$2:$D$5000,4,FALSE)</f>
        <v>0.45800000000000002</v>
      </c>
      <c r="O226">
        <f>VLOOKUP($A226&amp;O$1,Data!$A$2:$D$5000,4,FALSE)</f>
        <v>284</v>
      </c>
      <c r="P226">
        <f>VLOOKUP($A226&amp;P$1,Data!$A$2:$D$5000,4,FALSE)</f>
        <v>0.27229999999999999</v>
      </c>
      <c r="Q226">
        <f>VLOOKUP($A226&amp;Q$1,Data!$A$2:$D$5000,4,FALSE)</f>
        <v>-9.0200000000000002E-2</v>
      </c>
      <c r="R226">
        <f>VLOOKUP($A226&amp;R$1,Data!$A$2:$D$5000,4,FALSE)</f>
        <v>-0.77278999999999998</v>
      </c>
      <c r="S226">
        <f>VLOOKUP($A226&amp;S$1,Data!$A$2:$D$5000,4,FALSE)</f>
        <v>0.76500000000000001</v>
      </c>
      <c r="T226">
        <f>VLOOKUP($A226&amp;T$1,Data!$A$2:$D$5000,4,FALSE)</f>
        <v>-0.23499999999999999</v>
      </c>
      <c r="U226">
        <f>VLOOKUP($A226&amp;U$1,Data!$A$2:$D$5000,4,FALSE)</f>
        <v>-0.61789000000000005</v>
      </c>
      <c r="V226">
        <f>VLOOKUP($A226&amp;V$1,Data!$A$2:$D$5000,4,FALSE)</f>
        <v>0.81</v>
      </c>
      <c r="W226">
        <f>VLOOKUP($A226&amp;W$1,Data!$A$2:$D$5000,4,FALSE)</f>
        <v>0.19</v>
      </c>
      <c r="X226">
        <f>VLOOKUP($A226&amp;X$1,Data!$A$2:$D$5000,4,FALSE)</f>
        <v>3.02</v>
      </c>
      <c r="Y226">
        <f>VLOOKUP($A226&amp;Y$1,Data!$A$2:$D$5000,4,FALSE)</f>
        <v>0.11</v>
      </c>
      <c r="Z226">
        <f>VLOOKUP($A226&amp;Z$1,Data!$A$2:$D$5000,4,FALSE)</f>
        <v>13.24</v>
      </c>
      <c r="AA226">
        <f>VLOOKUP($A226&amp;AA$1,Data!$A$2:$D$5000,4,FALSE)</f>
        <v>1.893</v>
      </c>
      <c r="AB226">
        <f>VLOOKUP($A226&amp;AB$1,Data!$A$2:$D$5000,4,FALSE)</f>
        <v>3.5830000000000002</v>
      </c>
      <c r="AC226">
        <f>VLOOKUP($A226&amp;AC$1,Data!$A$2:$D$5000,4,FALSE)</f>
        <v>0.435</v>
      </c>
      <c r="AD226">
        <f>VLOOKUP($A226&amp;AD$1,Data!$A$2:$D$5000,4,FALSE)</f>
        <v>1.863</v>
      </c>
      <c r="AE226">
        <f>VLOOKUP($A226&amp;AE$1,Data!$A$2:$D$5000,4,FALSE)</f>
        <v>6.5000000000000002E-2</v>
      </c>
      <c r="AF226">
        <f>VLOOKUP($A226&amp;AF$1,Data!$A$2:$D$5000,4,FALSE)</f>
        <v>0</v>
      </c>
      <c r="AG226">
        <f>VLOOKUP($A226&amp;AG$1,Data!$A$2:$D$5000,4,FALSE)</f>
        <v>610000</v>
      </c>
    </row>
    <row r="227" spans="1:33" hidden="1" x14ac:dyDescent="0.35">
      <c r="A227" s="19">
        <f t="shared" si="11"/>
        <v>226</v>
      </c>
      <c r="B227" t="s">
        <v>5</v>
      </c>
      <c r="C227" t="s">
        <v>3</v>
      </c>
      <c r="D227">
        <v>10</v>
      </c>
      <c r="E227" t="s">
        <v>17</v>
      </c>
      <c r="F227" s="5">
        <v>43831</v>
      </c>
      <c r="G227" s="5">
        <v>44562</v>
      </c>
      <c r="H227">
        <v>14</v>
      </c>
      <c r="I227">
        <v>9</v>
      </c>
      <c r="J227">
        <f t="shared" si="14"/>
        <v>32</v>
      </c>
      <c r="K227">
        <f t="shared" si="14"/>
        <v>68</v>
      </c>
      <c r="L227">
        <v>10000</v>
      </c>
    </row>
    <row r="228" spans="1:33" hidden="1" x14ac:dyDescent="0.35">
      <c r="A228" s="19">
        <f t="shared" si="11"/>
        <v>227</v>
      </c>
      <c r="B228" t="s">
        <v>5</v>
      </c>
      <c r="C228" t="s">
        <v>3</v>
      </c>
      <c r="D228">
        <v>100</v>
      </c>
      <c r="E228" t="s">
        <v>17</v>
      </c>
      <c r="F228" s="5">
        <v>43831</v>
      </c>
      <c r="G228" s="5">
        <v>44562</v>
      </c>
      <c r="H228">
        <v>14</v>
      </c>
      <c r="I228">
        <v>9</v>
      </c>
      <c r="J228">
        <f t="shared" si="14"/>
        <v>32</v>
      </c>
      <c r="K228">
        <f t="shared" si="14"/>
        <v>68</v>
      </c>
      <c r="L228">
        <v>10000</v>
      </c>
    </row>
    <row r="229" spans="1:33" hidden="1" x14ac:dyDescent="0.35">
      <c r="A229" s="19">
        <f t="shared" si="11"/>
        <v>228</v>
      </c>
      <c r="B229" t="s">
        <v>5</v>
      </c>
      <c r="C229" t="s">
        <v>3</v>
      </c>
      <c r="D229">
        <v>200</v>
      </c>
      <c r="E229" t="s">
        <v>17</v>
      </c>
      <c r="F229" s="5">
        <v>43831</v>
      </c>
      <c r="G229" s="5">
        <v>44562</v>
      </c>
      <c r="H229">
        <v>14</v>
      </c>
      <c r="I229">
        <v>9</v>
      </c>
      <c r="J229">
        <f t="shared" si="14"/>
        <v>32</v>
      </c>
      <c r="K229">
        <f t="shared" si="14"/>
        <v>68</v>
      </c>
      <c r="L229">
        <v>10000</v>
      </c>
    </row>
    <row r="230" spans="1:33" hidden="1" x14ac:dyDescent="0.35">
      <c r="A230" s="19">
        <f t="shared" si="11"/>
        <v>229</v>
      </c>
      <c r="B230" t="s">
        <v>5</v>
      </c>
      <c r="C230" t="s">
        <v>2</v>
      </c>
      <c r="D230">
        <v>10</v>
      </c>
      <c r="E230" t="s">
        <v>17</v>
      </c>
      <c r="F230" s="5">
        <v>43831</v>
      </c>
      <c r="G230" s="5">
        <v>44562</v>
      </c>
      <c r="H230">
        <v>14</v>
      </c>
      <c r="I230">
        <v>9</v>
      </c>
      <c r="J230">
        <f t="shared" si="14"/>
        <v>32</v>
      </c>
      <c r="K230">
        <f t="shared" si="14"/>
        <v>68</v>
      </c>
      <c r="L230">
        <v>10000</v>
      </c>
    </row>
    <row r="231" spans="1:33" hidden="1" x14ac:dyDescent="0.35">
      <c r="A231" s="19">
        <f t="shared" si="11"/>
        <v>230</v>
      </c>
      <c r="B231" t="s">
        <v>5</v>
      </c>
      <c r="C231" t="s">
        <v>2</v>
      </c>
      <c r="D231">
        <v>100</v>
      </c>
      <c r="E231" t="s">
        <v>17</v>
      </c>
      <c r="F231" s="5">
        <v>43831</v>
      </c>
      <c r="G231" s="5">
        <v>44562</v>
      </c>
      <c r="H231">
        <v>14</v>
      </c>
      <c r="I231">
        <v>9</v>
      </c>
      <c r="J231">
        <f t="shared" si="14"/>
        <v>32</v>
      </c>
      <c r="K231">
        <f t="shared" si="14"/>
        <v>68</v>
      </c>
      <c r="L231">
        <v>10000</v>
      </c>
    </row>
    <row r="232" spans="1:33" hidden="1" x14ac:dyDescent="0.35">
      <c r="A232" s="19">
        <f t="shared" si="11"/>
        <v>231</v>
      </c>
      <c r="B232" t="s">
        <v>5</v>
      </c>
      <c r="C232" t="s">
        <v>2</v>
      </c>
      <c r="D232">
        <v>200</v>
      </c>
      <c r="E232" t="s">
        <v>17</v>
      </c>
      <c r="F232" s="5">
        <v>43831</v>
      </c>
      <c r="G232" s="5">
        <v>44562</v>
      </c>
      <c r="H232">
        <v>14</v>
      </c>
      <c r="I232">
        <v>9</v>
      </c>
      <c r="J232">
        <f t="shared" si="14"/>
        <v>32</v>
      </c>
      <c r="K232">
        <f t="shared" si="14"/>
        <v>68</v>
      </c>
      <c r="L232">
        <v>10000</v>
      </c>
    </row>
    <row r="233" spans="1:33" hidden="1" x14ac:dyDescent="0.35">
      <c r="A233" s="19">
        <f t="shared" si="11"/>
        <v>232</v>
      </c>
      <c r="B233" t="s">
        <v>5</v>
      </c>
      <c r="C233" t="s">
        <v>22</v>
      </c>
      <c r="D233">
        <v>10</v>
      </c>
      <c r="E233" t="s">
        <v>17</v>
      </c>
      <c r="F233" s="5">
        <v>43831</v>
      </c>
      <c r="G233" s="5">
        <v>44562</v>
      </c>
      <c r="H233">
        <v>14</v>
      </c>
      <c r="I233">
        <v>9</v>
      </c>
      <c r="J233">
        <f t="shared" si="14"/>
        <v>32</v>
      </c>
      <c r="K233">
        <f t="shared" si="14"/>
        <v>68</v>
      </c>
      <c r="L233">
        <v>10000</v>
      </c>
    </row>
    <row r="234" spans="1:33" hidden="1" x14ac:dyDescent="0.35">
      <c r="A234" s="19">
        <f t="shared" si="11"/>
        <v>233</v>
      </c>
      <c r="B234" t="s">
        <v>5</v>
      </c>
      <c r="C234" t="s">
        <v>22</v>
      </c>
      <c r="D234">
        <v>100</v>
      </c>
      <c r="E234" t="s">
        <v>17</v>
      </c>
      <c r="F234" s="5">
        <v>43831</v>
      </c>
      <c r="G234" s="5">
        <v>44562</v>
      </c>
      <c r="H234">
        <v>14</v>
      </c>
      <c r="I234">
        <v>9</v>
      </c>
      <c r="J234">
        <f t="shared" si="14"/>
        <v>32</v>
      </c>
      <c r="K234">
        <f t="shared" si="14"/>
        <v>68</v>
      </c>
      <c r="L234">
        <v>10000</v>
      </c>
    </row>
    <row r="235" spans="1:33" hidden="1" x14ac:dyDescent="0.35">
      <c r="A235" s="19">
        <f t="shared" si="11"/>
        <v>234</v>
      </c>
      <c r="B235" t="s">
        <v>5</v>
      </c>
      <c r="C235" t="s">
        <v>22</v>
      </c>
      <c r="D235">
        <v>200</v>
      </c>
      <c r="E235" t="s">
        <v>17</v>
      </c>
      <c r="F235" s="5">
        <v>43831</v>
      </c>
      <c r="G235" s="5">
        <v>44562</v>
      </c>
      <c r="H235">
        <v>14</v>
      </c>
      <c r="I235">
        <v>9</v>
      </c>
      <c r="J235">
        <f t="shared" si="14"/>
        <v>32</v>
      </c>
      <c r="K235">
        <f t="shared" si="14"/>
        <v>68</v>
      </c>
      <c r="L235">
        <v>10000</v>
      </c>
    </row>
    <row r="236" spans="1:33" hidden="1" x14ac:dyDescent="0.35">
      <c r="A236" s="19">
        <f t="shared" si="11"/>
        <v>235</v>
      </c>
      <c r="B236" t="s">
        <v>5</v>
      </c>
      <c r="C236" t="s">
        <v>3</v>
      </c>
      <c r="D236">
        <v>10</v>
      </c>
      <c r="E236" t="s">
        <v>17</v>
      </c>
      <c r="F236" s="5">
        <v>43831</v>
      </c>
      <c r="G236" s="5">
        <v>44562</v>
      </c>
      <c r="H236">
        <v>14</v>
      </c>
      <c r="I236">
        <v>9</v>
      </c>
      <c r="J236">
        <f t="shared" si="14"/>
        <v>28</v>
      </c>
      <c r="K236">
        <f t="shared" si="14"/>
        <v>72</v>
      </c>
      <c r="L236">
        <v>10000</v>
      </c>
    </row>
    <row r="237" spans="1:33" hidden="1" x14ac:dyDescent="0.35">
      <c r="A237" s="19">
        <f t="shared" si="11"/>
        <v>236</v>
      </c>
      <c r="B237" t="s">
        <v>5</v>
      </c>
      <c r="C237" t="s">
        <v>3</v>
      </c>
      <c r="D237">
        <v>100</v>
      </c>
      <c r="E237" t="s">
        <v>17</v>
      </c>
      <c r="F237" s="5">
        <v>43831</v>
      </c>
      <c r="G237" s="5">
        <v>44562</v>
      </c>
      <c r="H237">
        <v>14</v>
      </c>
      <c r="I237">
        <v>9</v>
      </c>
      <c r="J237">
        <f t="shared" si="14"/>
        <v>28</v>
      </c>
      <c r="K237">
        <f t="shared" si="14"/>
        <v>72</v>
      </c>
      <c r="L237">
        <v>10000</v>
      </c>
    </row>
    <row r="238" spans="1:33" hidden="1" x14ac:dyDescent="0.35">
      <c r="A238" s="19">
        <f t="shared" si="11"/>
        <v>237</v>
      </c>
      <c r="B238" t="s">
        <v>5</v>
      </c>
      <c r="C238" t="s">
        <v>3</v>
      </c>
      <c r="D238">
        <v>200</v>
      </c>
      <c r="E238" t="s">
        <v>17</v>
      </c>
      <c r="F238" s="5">
        <v>43831</v>
      </c>
      <c r="G238" s="5">
        <v>44562</v>
      </c>
      <c r="H238">
        <v>14</v>
      </c>
      <c r="I238">
        <v>9</v>
      </c>
      <c r="J238">
        <f t="shared" si="14"/>
        <v>28</v>
      </c>
      <c r="K238">
        <f t="shared" si="14"/>
        <v>72</v>
      </c>
      <c r="L238">
        <v>10000</v>
      </c>
    </row>
    <row r="239" spans="1:33" hidden="1" x14ac:dyDescent="0.35">
      <c r="A239" s="19">
        <f t="shared" si="11"/>
        <v>238</v>
      </c>
      <c r="B239" t="s">
        <v>5</v>
      </c>
      <c r="C239" t="s">
        <v>2</v>
      </c>
      <c r="D239">
        <v>10</v>
      </c>
      <c r="E239" t="s">
        <v>17</v>
      </c>
      <c r="F239" s="5">
        <v>43831</v>
      </c>
      <c r="G239" s="5">
        <v>44562</v>
      </c>
      <c r="H239">
        <v>14</v>
      </c>
      <c r="I239">
        <v>9</v>
      </c>
      <c r="J239">
        <f t="shared" ref="J239:K254" si="15">J266</f>
        <v>28</v>
      </c>
      <c r="K239">
        <f t="shared" si="15"/>
        <v>72</v>
      </c>
      <c r="L239">
        <v>10000</v>
      </c>
    </row>
    <row r="240" spans="1:33" hidden="1" x14ac:dyDescent="0.35">
      <c r="A240" s="19">
        <f t="shared" ref="A240:A303" si="16">A239+1</f>
        <v>239</v>
      </c>
      <c r="B240" t="s">
        <v>5</v>
      </c>
      <c r="C240" t="s">
        <v>2</v>
      </c>
      <c r="D240">
        <v>100</v>
      </c>
      <c r="E240" t="s">
        <v>17</v>
      </c>
      <c r="F240" s="5">
        <v>43831</v>
      </c>
      <c r="G240" s="5">
        <v>44562</v>
      </c>
      <c r="H240">
        <v>14</v>
      </c>
      <c r="I240">
        <v>9</v>
      </c>
      <c r="J240">
        <f t="shared" si="15"/>
        <v>28</v>
      </c>
      <c r="K240">
        <f t="shared" si="15"/>
        <v>72</v>
      </c>
      <c r="L240">
        <v>10000</v>
      </c>
    </row>
    <row r="241" spans="1:33" hidden="1" x14ac:dyDescent="0.35">
      <c r="A241" s="19">
        <f t="shared" si="16"/>
        <v>240</v>
      </c>
      <c r="B241" t="s">
        <v>5</v>
      </c>
      <c r="C241" t="s">
        <v>2</v>
      </c>
      <c r="D241">
        <v>200</v>
      </c>
      <c r="E241" t="s">
        <v>17</v>
      </c>
      <c r="F241" s="5">
        <v>43831</v>
      </c>
      <c r="G241" s="5">
        <v>44562</v>
      </c>
      <c r="H241">
        <v>14</v>
      </c>
      <c r="I241">
        <v>9</v>
      </c>
      <c r="J241">
        <f t="shared" si="15"/>
        <v>28</v>
      </c>
      <c r="K241">
        <f t="shared" si="15"/>
        <v>72</v>
      </c>
      <c r="L241">
        <v>10000</v>
      </c>
    </row>
    <row r="242" spans="1:33" hidden="1" x14ac:dyDescent="0.35">
      <c r="A242" s="19">
        <f t="shared" si="16"/>
        <v>241</v>
      </c>
      <c r="B242" t="s">
        <v>5</v>
      </c>
      <c r="C242" t="s">
        <v>22</v>
      </c>
      <c r="D242">
        <v>10</v>
      </c>
      <c r="E242" t="s">
        <v>17</v>
      </c>
      <c r="F242" s="5">
        <v>43831</v>
      </c>
      <c r="G242" s="5">
        <v>44562</v>
      </c>
      <c r="H242">
        <v>14</v>
      </c>
      <c r="I242">
        <v>9</v>
      </c>
      <c r="J242">
        <f t="shared" si="15"/>
        <v>28</v>
      </c>
      <c r="K242">
        <f t="shared" si="15"/>
        <v>72</v>
      </c>
      <c r="L242">
        <v>10000</v>
      </c>
    </row>
    <row r="243" spans="1:33" hidden="1" x14ac:dyDescent="0.35">
      <c r="A243" s="19">
        <f t="shared" si="16"/>
        <v>242</v>
      </c>
      <c r="B243" t="s">
        <v>5</v>
      </c>
      <c r="C243" t="s">
        <v>22</v>
      </c>
      <c r="D243">
        <v>100</v>
      </c>
      <c r="E243" t="s">
        <v>17</v>
      </c>
      <c r="F243" s="5">
        <v>43831</v>
      </c>
      <c r="G243" s="5">
        <v>44562</v>
      </c>
      <c r="H243">
        <v>14</v>
      </c>
      <c r="I243">
        <v>9</v>
      </c>
      <c r="J243">
        <f t="shared" si="15"/>
        <v>28</v>
      </c>
      <c r="K243">
        <f t="shared" si="15"/>
        <v>72</v>
      </c>
      <c r="L243">
        <v>10000</v>
      </c>
    </row>
    <row r="244" spans="1:33" hidden="1" x14ac:dyDescent="0.35">
      <c r="A244" s="19">
        <f t="shared" si="16"/>
        <v>243</v>
      </c>
      <c r="B244" t="s">
        <v>5</v>
      </c>
      <c r="C244" t="s">
        <v>22</v>
      </c>
      <c r="D244">
        <v>200</v>
      </c>
      <c r="E244" t="s">
        <v>17</v>
      </c>
      <c r="F244" s="5">
        <v>43831</v>
      </c>
      <c r="G244" s="5">
        <v>44562</v>
      </c>
      <c r="H244">
        <v>14</v>
      </c>
      <c r="I244">
        <v>9</v>
      </c>
      <c r="J244">
        <f t="shared" si="15"/>
        <v>28</v>
      </c>
      <c r="K244">
        <f t="shared" si="15"/>
        <v>72</v>
      </c>
      <c r="L244">
        <v>10000</v>
      </c>
    </row>
    <row r="245" spans="1:33" hidden="1" x14ac:dyDescent="0.35">
      <c r="A245" s="13">
        <f t="shared" si="16"/>
        <v>244</v>
      </c>
      <c r="B245" t="s">
        <v>6</v>
      </c>
      <c r="C245" t="s">
        <v>3</v>
      </c>
      <c r="D245">
        <v>10</v>
      </c>
      <c r="E245" t="s">
        <v>17</v>
      </c>
      <c r="F245" s="5">
        <v>43831</v>
      </c>
      <c r="G245" s="5">
        <v>44562</v>
      </c>
      <c r="H245">
        <v>14</v>
      </c>
      <c r="I245">
        <v>9</v>
      </c>
      <c r="J245">
        <f t="shared" si="15"/>
        <v>30</v>
      </c>
      <c r="K245">
        <f t="shared" si="15"/>
        <v>70</v>
      </c>
      <c r="L245">
        <v>10000</v>
      </c>
      <c r="M245">
        <f>VLOOKUP($A245&amp;M$1,Data!$A$2:$D$5000,4,FALSE)</f>
        <v>0.53481999999999996</v>
      </c>
      <c r="N245">
        <f>VLOOKUP($A245&amp;N$1,Data!$A$2:$D$5000,4,FALSE)</f>
        <v>1.1830000000000001</v>
      </c>
      <c r="O245">
        <f>VLOOKUP($A245&amp;O$1,Data!$A$2:$D$5000,4,FALSE)</f>
        <v>896</v>
      </c>
      <c r="P245">
        <f>VLOOKUP($A245&amp;P$1,Data!$A$2:$D$5000,4,FALSE)</f>
        <v>2.46E-2</v>
      </c>
      <c r="Q245">
        <f>VLOOKUP($A245&amp;Q$1,Data!$A$2:$D$5000,4,FALSE)</f>
        <v>-1.4999999999999999E-2</v>
      </c>
      <c r="R245">
        <f>VLOOKUP($A245&amp;R$1,Data!$A$2:$D$5000,4,FALSE)</f>
        <v>0.25446000000000002</v>
      </c>
      <c r="S245">
        <f>VLOOKUP($A245&amp;S$1,Data!$A$2:$D$5000,4,FALSE)</f>
        <v>6.9000000000000006E-2</v>
      </c>
      <c r="T245">
        <f>VLOOKUP($A245&amp;T$1,Data!$A$2:$D$5000,4,FALSE)</f>
        <v>0.36599999999999999</v>
      </c>
      <c r="U245">
        <f>VLOOKUP($A245&amp;U$1,Data!$A$2:$D$5000,4,FALSE)</f>
        <v>0.15856000000000001</v>
      </c>
      <c r="V245">
        <f>VLOOKUP($A245&amp;V$1,Data!$A$2:$D$5000,4,FALSE)</f>
        <v>0.48</v>
      </c>
      <c r="W245">
        <f>VLOOKUP($A245&amp;W$1,Data!$A$2:$D$5000,4,FALSE)</f>
        <v>0.52</v>
      </c>
      <c r="X245">
        <f>VLOOKUP($A245&amp;X$1,Data!$A$2:$D$5000,4,FALSE)</f>
        <v>1.64</v>
      </c>
      <c r="Y245">
        <f>VLOOKUP($A245&amp;Y$1,Data!$A$2:$D$5000,4,FALSE)</f>
        <v>0.183</v>
      </c>
      <c r="Z245">
        <f>VLOOKUP($A245&amp;Z$1,Data!$A$2:$D$5000,4,FALSE)</f>
        <v>2.9000000000000001E-2</v>
      </c>
      <c r="AA245">
        <f>VLOOKUP($A245&amp;AA$1,Data!$A$2:$D$5000,4,FALSE)</f>
        <v>0.156</v>
      </c>
      <c r="AB245">
        <f>VLOOKUP($A245&amp;AB$1,Data!$A$2:$D$5000,4,FALSE)</f>
        <v>2.4E-2</v>
      </c>
      <c r="AC245">
        <f>VLOOKUP($A245&amp;AC$1,Data!$A$2:$D$5000,4,FALSE)</f>
        <v>0.753</v>
      </c>
      <c r="AD245">
        <f>VLOOKUP($A245&amp;AD$1,Data!$A$2:$D$5000,4,FALSE)</f>
        <v>0.16900000000000001</v>
      </c>
      <c r="AE245">
        <f>VLOOKUP($A245&amp;AE$1,Data!$A$2:$D$5000,4,FALSE)</f>
        <v>6.2690000000000001</v>
      </c>
      <c r="AF245">
        <f>VLOOKUP($A245&amp;AF$1,Data!$A$2:$D$5000,4,FALSE)</f>
        <v>0</v>
      </c>
      <c r="AG245">
        <f>VLOOKUP($A245&amp;AG$1,Data!$A$2:$D$5000,4,FALSE)</f>
        <v>10000000</v>
      </c>
    </row>
    <row r="246" spans="1:33" x14ac:dyDescent="0.35">
      <c r="A246" s="13">
        <f t="shared" si="16"/>
        <v>245</v>
      </c>
      <c r="B246" t="s">
        <v>6</v>
      </c>
      <c r="C246" t="s">
        <v>3</v>
      </c>
      <c r="D246">
        <v>100</v>
      </c>
      <c r="E246" t="s">
        <v>17</v>
      </c>
      <c r="F246" s="5">
        <v>43831</v>
      </c>
      <c r="G246" s="5">
        <v>44562</v>
      </c>
      <c r="H246">
        <v>14</v>
      </c>
      <c r="I246">
        <v>9</v>
      </c>
      <c r="J246">
        <f t="shared" si="15"/>
        <v>30</v>
      </c>
      <c r="K246">
        <f t="shared" si="15"/>
        <v>70</v>
      </c>
      <c r="L246">
        <v>10000</v>
      </c>
      <c r="M246">
        <f>VLOOKUP($A246&amp;M$1,Data!$A$2:$D$5000,4,FALSE)</f>
        <v>0.71192</v>
      </c>
      <c r="N246">
        <f>VLOOKUP($A246&amp;N$1,Data!$A$2:$D$5000,4,FALSE)</f>
        <v>3.944</v>
      </c>
      <c r="O246">
        <f>VLOOKUP($A246&amp;O$1,Data!$A$2:$D$5000,4,FALSE)</f>
        <v>891</v>
      </c>
      <c r="P246">
        <f>VLOOKUP($A246&amp;P$1,Data!$A$2:$D$5000,4,FALSE)</f>
        <v>0.15260000000000001</v>
      </c>
      <c r="Q246">
        <f>VLOOKUP($A246&amp;Q$1,Data!$A$2:$D$5000,4,FALSE)</f>
        <v>-6.7100000000000007E-2</v>
      </c>
      <c r="R246">
        <f>VLOOKUP($A246&amp;R$1,Data!$A$2:$D$5000,4,FALSE)</f>
        <v>3.9276300000000002</v>
      </c>
      <c r="S246">
        <f>VLOOKUP($A246&amp;S$1,Data!$A$2:$D$5000,4,FALSE)</f>
        <v>0.53900000000000003</v>
      </c>
      <c r="T246">
        <f>VLOOKUP($A246&amp;T$1,Data!$A$2:$D$5000,4,FALSE)</f>
        <v>0.63800000000000001</v>
      </c>
      <c r="U246">
        <f>VLOOKUP($A246&amp;U$1,Data!$A$2:$D$5000,4,FALSE)</f>
        <v>1.81619</v>
      </c>
      <c r="V246">
        <f>VLOOKUP($A246&amp;V$1,Data!$A$2:$D$5000,4,FALSE)</f>
        <v>0.5</v>
      </c>
      <c r="W246">
        <f>VLOOKUP($A246&amp;W$1,Data!$A$2:$D$5000,4,FALSE)</f>
        <v>0.5</v>
      </c>
      <c r="X246">
        <f>VLOOKUP($A246&amp;X$1,Data!$A$2:$D$5000,4,FALSE)</f>
        <v>2.2799999999999998</v>
      </c>
      <c r="Y246">
        <f>VLOOKUP($A246&amp;Y$1,Data!$A$2:$D$5000,4,FALSE)</f>
        <v>4.2290000000000001</v>
      </c>
      <c r="Z246">
        <f>VLOOKUP($A246&amp;Z$1,Data!$A$2:$D$5000,4,FALSE)</f>
        <v>0.19400000000000001</v>
      </c>
      <c r="AA246">
        <f>VLOOKUP($A246&amp;AA$1,Data!$A$2:$D$5000,4,FALSE)</f>
        <v>1.075</v>
      </c>
      <c r="AB246">
        <f>VLOOKUP($A246&amp;AB$1,Data!$A$2:$D$5000,4,FALSE)</f>
        <v>1.1559999999999999</v>
      </c>
      <c r="AC246">
        <f>VLOOKUP($A246&amp;AC$1,Data!$A$2:$D$5000,4,FALSE)</f>
        <v>3.8860000000000001</v>
      </c>
      <c r="AD246">
        <f>VLOOKUP($A246&amp;AD$1,Data!$A$2:$D$5000,4,FALSE)</f>
        <v>1.0760000000000001</v>
      </c>
      <c r="AE246">
        <f>VLOOKUP($A246&amp;AE$1,Data!$A$2:$D$5000,4,FALSE)</f>
        <v>21.882000000000001</v>
      </c>
      <c r="AF246">
        <f>VLOOKUP($A246&amp;AF$1,Data!$A$2:$D$5000,4,FALSE)</f>
        <v>0</v>
      </c>
      <c r="AG246">
        <f>VLOOKUP($A246&amp;AG$1,Data!$A$2:$D$5000,4,FALSE)</f>
        <v>3900000</v>
      </c>
    </row>
    <row r="247" spans="1:33" x14ac:dyDescent="0.35">
      <c r="A247" s="22">
        <f t="shared" si="16"/>
        <v>246</v>
      </c>
      <c r="B247" s="7" t="s">
        <v>6</v>
      </c>
      <c r="C247" s="7" t="s">
        <v>3</v>
      </c>
      <c r="D247" s="7">
        <v>200</v>
      </c>
      <c r="E247" s="7" t="s">
        <v>17</v>
      </c>
      <c r="F247" s="24">
        <v>43831</v>
      </c>
      <c r="G247" s="24">
        <v>44562</v>
      </c>
      <c r="H247" s="7">
        <v>14</v>
      </c>
      <c r="I247" s="7">
        <v>9</v>
      </c>
      <c r="J247" s="7">
        <f t="shared" si="15"/>
        <v>30</v>
      </c>
      <c r="K247" s="7">
        <f t="shared" si="15"/>
        <v>70</v>
      </c>
      <c r="L247" s="7">
        <v>10000</v>
      </c>
      <c r="M247">
        <f>VLOOKUP($A247&amp;M$1,Data!$A$2:$D$5000,4,FALSE)</f>
        <v>0.75007999999999997</v>
      </c>
      <c r="N247">
        <f>VLOOKUP($A247&amp;N$1,Data!$A$2:$D$5000,4,FALSE)</f>
        <v>6.8330000000000002</v>
      </c>
      <c r="O247">
        <f>VLOOKUP($A247&amp;O$1,Data!$A$2:$D$5000,4,FALSE)</f>
        <v>859</v>
      </c>
      <c r="P247">
        <f>VLOOKUP($A247&amp;P$1,Data!$A$2:$D$5000,4,FALSE)</f>
        <v>0.22819999999999999</v>
      </c>
      <c r="Q247">
        <f>VLOOKUP($A247&amp;Q$1,Data!$A$2:$D$5000,4,FALSE)</f>
        <v>-7.3800000000000004E-2</v>
      </c>
      <c r="R247">
        <f>VLOOKUP($A247&amp;R$1,Data!$A$2:$D$5000,4,FALSE)</f>
        <v>6.2493600000000002</v>
      </c>
      <c r="S247">
        <f>VLOOKUP($A247&amp;S$1,Data!$A$2:$D$5000,4,FALSE)</f>
        <v>0.67800000000000005</v>
      </c>
      <c r="T247">
        <f>VLOOKUP($A247&amp;T$1,Data!$A$2:$D$5000,4,FALSE)</f>
        <v>0.70499999999999996</v>
      </c>
      <c r="U247">
        <f>VLOOKUP($A247&amp;U$1,Data!$A$2:$D$5000,4,FALSE)</f>
        <v>2.6183200000000002</v>
      </c>
      <c r="V247">
        <f>VLOOKUP($A247&amp;V$1,Data!$A$2:$D$5000,4,FALSE)</f>
        <v>0.57999999999999996</v>
      </c>
      <c r="W247">
        <f>VLOOKUP($A247&amp;W$1,Data!$A$2:$D$5000,4,FALSE)</f>
        <v>0.42</v>
      </c>
      <c r="X247">
        <f>VLOOKUP($A247&amp;X$1,Data!$A$2:$D$5000,4,FALSE)</f>
        <v>3.09</v>
      </c>
      <c r="Y247">
        <f>VLOOKUP($A247&amp;Y$1,Data!$A$2:$D$5000,4,FALSE)</f>
        <v>9.7910000000000004</v>
      </c>
      <c r="Z247">
        <f>VLOOKUP($A247&amp;Z$1,Data!$A$2:$D$5000,4,FALSE)</f>
        <v>0.34599999999999997</v>
      </c>
      <c r="AA247">
        <f>VLOOKUP($A247&amp;AA$1,Data!$A$2:$D$5000,4,FALSE)</f>
        <v>1.4359999999999999</v>
      </c>
      <c r="AB247">
        <f>VLOOKUP($A247&amp;AB$1,Data!$A$2:$D$5000,4,FALSE)</f>
        <v>2.0609999999999999</v>
      </c>
      <c r="AC247">
        <f>VLOOKUP($A247&amp;AC$1,Data!$A$2:$D$5000,4,FALSE)</f>
        <v>6.7919999999999998</v>
      </c>
      <c r="AD247">
        <f>VLOOKUP($A247&amp;AD$1,Data!$A$2:$D$5000,4,FALSE)</f>
        <v>1.4359999999999999</v>
      </c>
      <c r="AE247">
        <f>VLOOKUP($A247&amp;AE$1,Data!$A$2:$D$5000,4,FALSE)</f>
        <v>28.376999999999999</v>
      </c>
      <c r="AF247">
        <f>VLOOKUP($A247&amp;AF$1,Data!$A$2:$D$5000,4,FALSE)</f>
        <v>0</v>
      </c>
      <c r="AG247">
        <f>VLOOKUP($A247&amp;AG$1,Data!$A$2:$D$5000,4,FALSE)</f>
        <v>3200000</v>
      </c>
    </row>
    <row r="248" spans="1:33" x14ac:dyDescent="0.35">
      <c r="A248" s="22">
        <f t="shared" si="16"/>
        <v>247</v>
      </c>
      <c r="B248" s="7" t="s">
        <v>6</v>
      </c>
      <c r="C248" s="7" t="s">
        <v>2</v>
      </c>
      <c r="D248" s="7">
        <v>10</v>
      </c>
      <c r="E248" s="7" t="s">
        <v>17</v>
      </c>
      <c r="F248" s="24">
        <v>43831</v>
      </c>
      <c r="G248" s="24">
        <v>44562</v>
      </c>
      <c r="H248" s="7">
        <v>14</v>
      </c>
      <c r="I248" s="7">
        <v>9</v>
      </c>
      <c r="J248" s="7">
        <f t="shared" si="15"/>
        <v>30</v>
      </c>
      <c r="K248" s="7">
        <f t="shared" si="15"/>
        <v>70</v>
      </c>
      <c r="L248" s="7">
        <v>10000</v>
      </c>
      <c r="M248">
        <f>VLOOKUP($A248&amp;M$1,Data!$A$2:$D$5000,4,FALSE)</f>
        <v>0.87436999999999998</v>
      </c>
      <c r="N248">
        <f>VLOOKUP($A248&amp;N$1,Data!$A$2:$D$5000,4,FALSE)</f>
        <v>2.218</v>
      </c>
      <c r="O248">
        <f>VLOOKUP($A248&amp;O$1,Data!$A$2:$D$5000,4,FALSE)</f>
        <v>504</v>
      </c>
      <c r="P248">
        <f>VLOOKUP($A248&amp;P$1,Data!$A$2:$D$5000,4,FALSE)</f>
        <v>2.6599999999999999E-2</v>
      </c>
      <c r="Q248">
        <f>VLOOKUP($A248&amp;Q$1,Data!$A$2:$D$5000,4,FALSE)</f>
        <v>-0.01</v>
      </c>
      <c r="R248">
        <f>VLOOKUP($A248&amp;R$1,Data!$A$2:$D$5000,4,FALSE)</f>
        <v>0.35386000000000001</v>
      </c>
      <c r="S248">
        <f>VLOOKUP($A248&amp;S$1,Data!$A$2:$D$5000,4,FALSE)</f>
        <v>6.0999999999999999E-2</v>
      </c>
      <c r="T248">
        <f>VLOOKUP($A248&amp;T$1,Data!$A$2:$D$5000,4,FALSE)</f>
        <v>1.2849999999999999</v>
      </c>
      <c r="U248">
        <f>VLOOKUP($A248&amp;U$1,Data!$A$2:$D$5000,4,FALSE)</f>
        <v>0.21734999999999999</v>
      </c>
      <c r="V248">
        <f>VLOOKUP($A248&amp;V$1,Data!$A$2:$D$5000,4,FALSE)</f>
        <v>0.38</v>
      </c>
      <c r="W248">
        <f>VLOOKUP($A248&amp;W$1,Data!$A$2:$D$5000,4,FALSE)</f>
        <v>0.62</v>
      </c>
      <c r="X248">
        <f>VLOOKUP($A248&amp;X$1,Data!$A$2:$D$5000,4,FALSE)</f>
        <v>2.66</v>
      </c>
      <c r="Y248">
        <f>VLOOKUP($A248&amp;Y$1,Data!$A$2:$D$5000,4,FALSE)</f>
        <v>0.23699999999999999</v>
      </c>
      <c r="Z248">
        <f>VLOOKUP($A248&amp;Z$1,Data!$A$2:$D$5000,4,FALSE)</f>
        <v>6.0999999999999999E-2</v>
      </c>
      <c r="AA248">
        <f>VLOOKUP($A248&amp;AA$1,Data!$A$2:$D$5000,4,FALSE)</f>
        <v>0.109</v>
      </c>
      <c r="AB248">
        <f>VLOOKUP($A248&amp;AB$1,Data!$A$2:$D$5000,4,FALSE)</f>
        <v>1.2E-2</v>
      </c>
      <c r="AC248">
        <f>VLOOKUP($A248&amp;AC$1,Data!$A$2:$D$5000,4,FALSE)</f>
        <v>1.476</v>
      </c>
      <c r="AD248">
        <f>VLOOKUP($A248&amp;AD$1,Data!$A$2:$D$5000,4,FALSE)</f>
        <v>0.125</v>
      </c>
      <c r="AE248">
        <f>VLOOKUP($A248&amp;AE$1,Data!$A$2:$D$5000,4,FALSE)</f>
        <v>3.976</v>
      </c>
      <c r="AF248">
        <f>VLOOKUP($A248&amp;AF$1,Data!$A$2:$D$5000,4,FALSE)</f>
        <v>0</v>
      </c>
      <c r="AG248">
        <f>VLOOKUP($A248&amp;AG$1,Data!$A$2:$D$5000,4,FALSE)</f>
        <v>9000000</v>
      </c>
    </row>
    <row r="249" spans="1:33" x14ac:dyDescent="0.35">
      <c r="A249" s="13">
        <f t="shared" si="16"/>
        <v>248</v>
      </c>
      <c r="B249" t="s">
        <v>6</v>
      </c>
      <c r="C249" t="s">
        <v>2</v>
      </c>
      <c r="D249">
        <v>100</v>
      </c>
      <c r="E249" t="s">
        <v>17</v>
      </c>
      <c r="F249" s="5">
        <v>43831</v>
      </c>
      <c r="G249" s="5">
        <v>44562</v>
      </c>
      <c r="H249">
        <v>14</v>
      </c>
      <c r="I249">
        <v>9</v>
      </c>
      <c r="J249">
        <f t="shared" si="15"/>
        <v>30</v>
      </c>
      <c r="K249">
        <f t="shared" si="15"/>
        <v>70</v>
      </c>
      <c r="L249">
        <v>10000</v>
      </c>
      <c r="M249">
        <f>VLOOKUP($A249&amp;M$1,Data!$A$2:$D$5000,4,FALSE)</f>
        <v>0.80354999999999999</v>
      </c>
      <c r="N249">
        <f>VLOOKUP($A249&amp;N$1,Data!$A$2:$D$5000,4,FALSE)</f>
        <v>3.5830000000000002</v>
      </c>
      <c r="O249">
        <f>VLOOKUP($A249&amp;O$1,Data!$A$2:$D$5000,4,FALSE)</f>
        <v>493</v>
      </c>
      <c r="P249">
        <f>VLOOKUP($A249&amp;P$1,Data!$A$2:$D$5000,4,FALSE)</f>
        <v>0.1517</v>
      </c>
      <c r="Q249">
        <f>VLOOKUP($A249&amp;Q$1,Data!$A$2:$D$5000,4,FALSE)</f>
        <v>-5.7099999999999998E-2</v>
      </c>
      <c r="R249">
        <f>VLOOKUP($A249&amp;R$1,Data!$A$2:$D$5000,4,FALSE)</f>
        <v>3.4684200000000001</v>
      </c>
      <c r="S249">
        <f>VLOOKUP($A249&amp;S$1,Data!$A$2:$D$5000,4,FALSE)</f>
        <v>0.36699999999999999</v>
      </c>
      <c r="T249">
        <f>VLOOKUP($A249&amp;T$1,Data!$A$2:$D$5000,4,FALSE)</f>
        <v>1.119</v>
      </c>
      <c r="U249">
        <f>VLOOKUP($A249&amp;U$1,Data!$A$2:$D$5000,4,FALSE)</f>
        <v>1.6429</v>
      </c>
      <c r="V249">
        <f>VLOOKUP($A249&amp;V$1,Data!$A$2:$D$5000,4,FALSE)</f>
        <v>0.42</v>
      </c>
      <c r="W249">
        <f>VLOOKUP($A249&amp;W$1,Data!$A$2:$D$5000,4,FALSE)</f>
        <v>0.57999999999999996</v>
      </c>
      <c r="X249">
        <f>VLOOKUP($A249&amp;X$1,Data!$A$2:$D$5000,4,FALSE)</f>
        <v>2.66</v>
      </c>
      <c r="Y249">
        <f>VLOOKUP($A249&amp;Y$1,Data!$A$2:$D$5000,4,FALSE)</f>
        <v>2.58</v>
      </c>
      <c r="Z249">
        <f>VLOOKUP($A249&amp;Z$1,Data!$A$2:$D$5000,4,FALSE)</f>
        <v>0.36299999999999999</v>
      </c>
      <c r="AA249">
        <f>VLOOKUP($A249&amp;AA$1,Data!$A$2:$D$5000,4,FALSE)</f>
        <v>0.72599999999999998</v>
      </c>
      <c r="AB249">
        <f>VLOOKUP($A249&amp;AB$1,Data!$A$2:$D$5000,4,FALSE)</f>
        <v>0.52700000000000002</v>
      </c>
      <c r="AC249">
        <f>VLOOKUP($A249&amp;AC$1,Data!$A$2:$D$5000,4,FALSE)</f>
        <v>3.5</v>
      </c>
      <c r="AD249">
        <f>VLOOKUP($A249&amp;AD$1,Data!$A$2:$D$5000,4,FALSE)</f>
        <v>0.72699999999999998</v>
      </c>
      <c r="AE249">
        <f>VLOOKUP($A249&amp;AE$1,Data!$A$2:$D$5000,4,FALSE)</f>
        <v>7.1580000000000004</v>
      </c>
      <c r="AF249">
        <f>VLOOKUP($A249&amp;AF$1,Data!$A$2:$D$5000,4,FALSE)</f>
        <v>0</v>
      </c>
      <c r="AG249">
        <f>VLOOKUP($A249&amp;AG$1,Data!$A$2:$D$5000,4,FALSE)</f>
        <v>3100000</v>
      </c>
    </row>
    <row r="250" spans="1:33" x14ac:dyDescent="0.35">
      <c r="A250" s="13">
        <f t="shared" si="16"/>
        <v>249</v>
      </c>
      <c r="B250" t="s">
        <v>6</v>
      </c>
      <c r="C250" t="s">
        <v>2</v>
      </c>
      <c r="D250">
        <v>200</v>
      </c>
      <c r="E250" t="s">
        <v>17</v>
      </c>
      <c r="F250" s="5">
        <v>43831</v>
      </c>
      <c r="G250" s="5">
        <v>44562</v>
      </c>
      <c r="H250">
        <v>14</v>
      </c>
      <c r="I250">
        <v>9</v>
      </c>
      <c r="J250">
        <f t="shared" si="15"/>
        <v>30</v>
      </c>
      <c r="K250">
        <f t="shared" si="15"/>
        <v>70</v>
      </c>
      <c r="L250">
        <v>10000</v>
      </c>
      <c r="M250">
        <f>VLOOKUP($A250&amp;M$1,Data!$A$2:$D$5000,4,FALSE)</f>
        <v>0.84875</v>
      </c>
      <c r="N250">
        <f>VLOOKUP($A250&amp;N$1,Data!$A$2:$D$5000,4,FALSE)</f>
        <v>5.7190000000000003</v>
      </c>
      <c r="O250">
        <f>VLOOKUP($A250&amp;O$1,Data!$A$2:$D$5000,4,FALSE)</f>
        <v>477</v>
      </c>
      <c r="P250">
        <f>VLOOKUP($A250&amp;P$1,Data!$A$2:$D$5000,4,FALSE)</f>
        <v>0.16389999999999999</v>
      </c>
      <c r="Q250">
        <f>VLOOKUP($A250&amp;Q$1,Data!$A$2:$D$5000,4,FALSE)</f>
        <v>-5.7799999999999997E-2</v>
      </c>
      <c r="R250">
        <f>VLOOKUP($A250&amp;R$1,Data!$A$2:$D$5000,4,FALSE)</f>
        <v>6.8448900000000004</v>
      </c>
      <c r="S250">
        <f>VLOOKUP($A250&amp;S$1,Data!$A$2:$D$5000,4,FALSE)</f>
        <v>0.48899999999999999</v>
      </c>
      <c r="T250">
        <f>VLOOKUP($A250&amp;T$1,Data!$A$2:$D$5000,4,FALSE)</f>
        <v>1.238</v>
      </c>
      <c r="U250">
        <f>VLOOKUP($A250&amp;U$1,Data!$A$2:$D$5000,4,FALSE)</f>
        <v>2.8086099999999998</v>
      </c>
      <c r="V250">
        <f>VLOOKUP($A250&amp;V$1,Data!$A$2:$D$5000,4,FALSE)</f>
        <v>0.42</v>
      </c>
      <c r="W250">
        <f>VLOOKUP($A250&amp;W$1,Data!$A$2:$D$5000,4,FALSE)</f>
        <v>0.57999999999999996</v>
      </c>
      <c r="X250">
        <f>VLOOKUP($A250&amp;X$1,Data!$A$2:$D$5000,4,FALSE)</f>
        <v>2.84</v>
      </c>
      <c r="Y250">
        <f>VLOOKUP($A250&amp;Y$1,Data!$A$2:$D$5000,4,FALSE)</f>
        <v>5.1639999999999997</v>
      </c>
      <c r="Z250">
        <f>VLOOKUP($A250&amp;Z$1,Data!$A$2:$D$5000,4,FALSE)</f>
        <v>0.879</v>
      </c>
      <c r="AA250">
        <f>VLOOKUP($A250&amp;AA$1,Data!$A$2:$D$5000,4,FALSE)</f>
        <v>0.91200000000000003</v>
      </c>
      <c r="AB250">
        <f>VLOOKUP($A250&amp;AB$1,Data!$A$2:$D$5000,4,FALSE)</f>
        <v>0.83099999999999996</v>
      </c>
      <c r="AC250">
        <f>VLOOKUP($A250&amp;AC$1,Data!$A$2:$D$5000,4,FALSE)</f>
        <v>5.6680000000000001</v>
      </c>
      <c r="AD250">
        <f>VLOOKUP($A250&amp;AD$1,Data!$A$2:$D$5000,4,FALSE)</f>
        <v>0.91</v>
      </c>
      <c r="AE250">
        <f>VLOOKUP($A250&amp;AE$1,Data!$A$2:$D$5000,4,FALSE)</f>
        <v>5.9340000000000002</v>
      </c>
      <c r="AF250">
        <f>VLOOKUP($A250&amp;AF$1,Data!$A$2:$D$5000,4,FALSE)</f>
        <v>0</v>
      </c>
      <c r="AG250">
        <f>VLOOKUP($A250&amp;AG$1,Data!$A$2:$D$5000,4,FALSE)</f>
        <v>2500000</v>
      </c>
    </row>
    <row r="251" spans="1:33" hidden="1" x14ac:dyDescent="0.35">
      <c r="A251" s="13">
        <f t="shared" si="16"/>
        <v>250</v>
      </c>
      <c r="B251" t="s">
        <v>6</v>
      </c>
      <c r="C251" t="s">
        <v>22</v>
      </c>
      <c r="D251">
        <v>10</v>
      </c>
      <c r="E251" t="s">
        <v>17</v>
      </c>
      <c r="F251" s="5">
        <v>43831</v>
      </c>
      <c r="G251" s="5">
        <v>44562</v>
      </c>
      <c r="H251">
        <v>14</v>
      </c>
      <c r="I251">
        <v>9</v>
      </c>
      <c r="J251">
        <f t="shared" si="15"/>
        <v>30</v>
      </c>
      <c r="K251">
        <f t="shared" si="15"/>
        <v>70</v>
      </c>
      <c r="L251">
        <v>10000</v>
      </c>
      <c r="M251">
        <f>VLOOKUP($A251&amp;M$1,Data!$A$2:$D$5000,4,FALSE)</f>
        <v>0.52515999999999996</v>
      </c>
      <c r="N251">
        <f>VLOOKUP($A251&amp;N$1,Data!$A$2:$D$5000,4,FALSE)</f>
        <v>1.1479999999999999</v>
      </c>
      <c r="O251">
        <f>VLOOKUP($A251&amp;O$1,Data!$A$2:$D$5000,4,FALSE)</f>
        <v>387</v>
      </c>
      <c r="P251">
        <f>VLOOKUP($A251&amp;P$1,Data!$A$2:$D$5000,4,FALSE)</f>
        <v>4.4900000000000002E-2</v>
      </c>
      <c r="Q251">
        <f>VLOOKUP($A251&amp;Q$1,Data!$A$2:$D$5000,4,FALSE)</f>
        <v>-2.23E-2</v>
      </c>
      <c r="R251">
        <f>VLOOKUP($A251&amp;R$1,Data!$A$2:$D$5000,4,FALSE)</f>
        <v>0.22270000000000001</v>
      </c>
      <c r="S251">
        <f>VLOOKUP($A251&amp;S$1,Data!$A$2:$D$5000,4,FALSE)</f>
        <v>6.8000000000000005E-2</v>
      </c>
      <c r="T251">
        <f>VLOOKUP($A251&amp;T$1,Data!$A$2:$D$5000,4,FALSE)</f>
        <v>0.50700000000000001</v>
      </c>
      <c r="U251">
        <f>VLOOKUP($A251&amp;U$1,Data!$A$2:$D$5000,4,FALSE)</f>
        <v>0.13943</v>
      </c>
      <c r="V251">
        <f>VLOOKUP($A251&amp;V$1,Data!$A$2:$D$5000,4,FALSE)</f>
        <v>0.5</v>
      </c>
      <c r="W251">
        <f>VLOOKUP($A251&amp;W$1,Data!$A$2:$D$5000,4,FALSE)</f>
        <v>0.5</v>
      </c>
      <c r="X251">
        <f>VLOOKUP($A251&amp;X$1,Data!$A$2:$D$5000,4,FALSE)</f>
        <v>2.0099999999999998</v>
      </c>
      <c r="Y251">
        <f>VLOOKUP($A251&amp;Y$1,Data!$A$2:$D$5000,4,FALSE)</f>
        <v>0.152</v>
      </c>
      <c r="Z251">
        <f>VLOOKUP($A251&amp;Z$1,Data!$A$2:$D$5000,4,FALSE)</f>
        <v>0.16400000000000001</v>
      </c>
      <c r="AA251">
        <f>VLOOKUP($A251&amp;AA$1,Data!$A$2:$D$5000,4,FALSE)</f>
        <v>0.14000000000000001</v>
      </c>
      <c r="AB251">
        <f>VLOOKUP($A251&amp;AB$1,Data!$A$2:$D$5000,4,FALSE)</f>
        <v>0.02</v>
      </c>
      <c r="AC251">
        <f>VLOOKUP($A251&amp;AC$1,Data!$A$2:$D$5000,4,FALSE)</f>
        <v>0.69799999999999995</v>
      </c>
      <c r="AD251">
        <f>VLOOKUP($A251&amp;AD$1,Data!$A$2:$D$5000,4,FALSE)</f>
        <v>0.15</v>
      </c>
      <c r="AE251">
        <f>VLOOKUP($A251&amp;AE$1,Data!$A$2:$D$5000,4,FALSE)</f>
        <v>0.97799999999999998</v>
      </c>
      <c r="AF251">
        <f>VLOOKUP($A251&amp;AF$1,Data!$A$2:$D$5000,4,FALSE)</f>
        <v>0</v>
      </c>
      <c r="AG251">
        <f>VLOOKUP($A251&amp;AG$1,Data!$A$2:$D$5000,4,FALSE)</f>
        <v>3900000</v>
      </c>
    </row>
    <row r="252" spans="1:33" hidden="1" x14ac:dyDescent="0.35">
      <c r="A252" s="13">
        <f t="shared" si="16"/>
        <v>251</v>
      </c>
      <c r="B252" t="s">
        <v>6</v>
      </c>
      <c r="C252" t="s">
        <v>22</v>
      </c>
      <c r="D252">
        <v>100</v>
      </c>
      <c r="E252" t="s">
        <v>17</v>
      </c>
      <c r="F252" s="5">
        <v>43831</v>
      </c>
      <c r="G252" s="5">
        <v>44562</v>
      </c>
      <c r="H252">
        <v>14</v>
      </c>
      <c r="I252">
        <v>9</v>
      </c>
      <c r="J252">
        <f t="shared" si="15"/>
        <v>30</v>
      </c>
      <c r="K252">
        <f t="shared" si="15"/>
        <v>70</v>
      </c>
      <c r="L252">
        <v>10000</v>
      </c>
      <c r="M252">
        <f>VLOOKUP($A252&amp;M$1,Data!$A$2:$D$5000,4,FALSE)</f>
        <v>0.63382000000000005</v>
      </c>
      <c r="N252">
        <f>VLOOKUP($A252&amp;N$1,Data!$A$2:$D$5000,4,FALSE)</f>
        <v>2.8050000000000002</v>
      </c>
      <c r="O252">
        <f>VLOOKUP($A252&amp;O$1,Data!$A$2:$D$5000,4,FALSE)</f>
        <v>367</v>
      </c>
      <c r="P252">
        <f>VLOOKUP($A252&amp;P$1,Data!$A$2:$D$5000,4,FALSE)</f>
        <v>0.3407</v>
      </c>
      <c r="Q252">
        <f>VLOOKUP($A252&amp;Q$1,Data!$A$2:$D$5000,4,FALSE)</f>
        <v>-0.1081</v>
      </c>
      <c r="R252">
        <f>VLOOKUP($A252&amp;R$1,Data!$A$2:$D$5000,4,FALSE)</f>
        <v>2.3747699999999998</v>
      </c>
      <c r="S252">
        <f>VLOOKUP($A252&amp;S$1,Data!$A$2:$D$5000,4,FALSE)</f>
        <v>0.48599999999999999</v>
      </c>
      <c r="T252">
        <f>VLOOKUP($A252&amp;T$1,Data!$A$2:$D$5000,4,FALSE)</f>
        <v>0.77900000000000003</v>
      </c>
      <c r="U252">
        <f>VLOOKUP($A252&amp;U$1,Data!$A$2:$D$5000,4,FALSE)</f>
        <v>1.20261</v>
      </c>
      <c r="V252">
        <f>VLOOKUP($A252&amp;V$1,Data!$A$2:$D$5000,4,FALSE)</f>
        <v>0.56999999999999995</v>
      </c>
      <c r="W252">
        <f>VLOOKUP($A252&amp;W$1,Data!$A$2:$D$5000,4,FALSE)</f>
        <v>0.43</v>
      </c>
      <c r="X252">
        <f>VLOOKUP($A252&amp;X$1,Data!$A$2:$D$5000,4,FALSE)</f>
        <v>3.15</v>
      </c>
      <c r="Y252">
        <f>VLOOKUP($A252&amp;Y$1,Data!$A$2:$D$5000,4,FALSE)</f>
        <v>2.6880000000000002</v>
      </c>
      <c r="Z252">
        <f>VLOOKUP($A252&amp;Z$1,Data!$A$2:$D$5000,4,FALSE)</f>
        <v>1.145</v>
      </c>
      <c r="AA252">
        <f>VLOOKUP($A252&amp;AA$1,Data!$A$2:$D$5000,4,FALSE)</f>
        <v>0.98099999999999998</v>
      </c>
      <c r="AB252">
        <f>VLOOKUP($A252&amp;AB$1,Data!$A$2:$D$5000,4,FALSE)</f>
        <v>0.96299999999999997</v>
      </c>
      <c r="AC252">
        <f>VLOOKUP($A252&amp;AC$1,Data!$A$2:$D$5000,4,FALSE)</f>
        <v>2.7549999999999999</v>
      </c>
      <c r="AD252">
        <f>VLOOKUP($A252&amp;AD$1,Data!$A$2:$D$5000,4,FALSE)</f>
        <v>0.97899999999999998</v>
      </c>
      <c r="AE252">
        <f>VLOOKUP($A252&amp;AE$1,Data!$A$2:$D$5000,4,FALSE)</f>
        <v>2.4039999999999999</v>
      </c>
      <c r="AF252">
        <f>VLOOKUP($A252&amp;AF$1,Data!$A$2:$D$5000,4,FALSE)</f>
        <v>0</v>
      </c>
      <c r="AG252">
        <f>VLOOKUP($A252&amp;AG$1,Data!$A$2:$D$5000,4,FALSE)</f>
        <v>1700000</v>
      </c>
    </row>
    <row r="253" spans="1:33" hidden="1" x14ac:dyDescent="0.35">
      <c r="A253" s="13">
        <f t="shared" si="16"/>
        <v>252</v>
      </c>
      <c r="B253" t="s">
        <v>6</v>
      </c>
      <c r="C253" t="s">
        <v>22</v>
      </c>
      <c r="D253">
        <v>200</v>
      </c>
      <c r="E253" t="s">
        <v>17</v>
      </c>
      <c r="F253" s="5">
        <v>43831</v>
      </c>
      <c r="G253" s="5">
        <v>44562</v>
      </c>
      <c r="H253">
        <v>14</v>
      </c>
      <c r="I253">
        <v>9</v>
      </c>
      <c r="J253">
        <f t="shared" si="15"/>
        <v>30</v>
      </c>
      <c r="K253">
        <f t="shared" si="15"/>
        <v>70</v>
      </c>
      <c r="L253">
        <v>10000</v>
      </c>
      <c r="M253">
        <f>VLOOKUP($A253&amp;M$1,Data!$A$2:$D$5000,4,FALSE)</f>
        <v>0.64390999999999998</v>
      </c>
      <c r="N253">
        <f>VLOOKUP($A253&amp;N$1,Data!$A$2:$D$5000,4,FALSE)</f>
        <v>4.0780000000000003</v>
      </c>
      <c r="O253">
        <f>VLOOKUP($A253&amp;O$1,Data!$A$2:$D$5000,4,FALSE)</f>
        <v>348</v>
      </c>
      <c r="P253">
        <f>VLOOKUP($A253&amp;P$1,Data!$A$2:$D$5000,4,FALSE)</f>
        <v>0.19939999999999999</v>
      </c>
      <c r="Q253">
        <f>VLOOKUP($A253&amp;Q$1,Data!$A$2:$D$5000,4,FALSE)</f>
        <v>-7.2700000000000001E-2</v>
      </c>
      <c r="R253">
        <f>VLOOKUP($A253&amp;R$1,Data!$A$2:$D$5000,4,FALSE)</f>
        <v>2.8515299999999999</v>
      </c>
      <c r="S253">
        <f>VLOOKUP($A253&amp;S$1,Data!$A$2:$D$5000,4,FALSE)</f>
        <v>0.69799999999999995</v>
      </c>
      <c r="T253">
        <f>VLOOKUP($A253&amp;T$1,Data!$A$2:$D$5000,4,FALSE)</f>
        <v>0.63700000000000001</v>
      </c>
      <c r="U253">
        <f>VLOOKUP($A253&amp;U$1,Data!$A$2:$D$5000,4,FALSE)</f>
        <v>1.3998999999999999</v>
      </c>
      <c r="V253">
        <f>VLOOKUP($A253&amp;V$1,Data!$A$2:$D$5000,4,FALSE)</f>
        <v>0.56000000000000005</v>
      </c>
      <c r="W253">
        <f>VLOOKUP($A253&amp;W$1,Data!$A$2:$D$5000,4,FALSE)</f>
        <v>0.44</v>
      </c>
      <c r="X253">
        <f>VLOOKUP($A253&amp;X$1,Data!$A$2:$D$5000,4,FALSE)</f>
        <v>2.74</v>
      </c>
      <c r="Y253">
        <f>VLOOKUP($A253&amp;Y$1,Data!$A$2:$D$5000,4,FALSE)</f>
        <v>5.4729999999999999</v>
      </c>
      <c r="Z253">
        <f>VLOOKUP($A253&amp;Z$1,Data!$A$2:$D$5000,4,FALSE)</f>
        <v>2.226</v>
      </c>
      <c r="AA253">
        <f>VLOOKUP($A253&amp;AA$1,Data!$A$2:$D$5000,4,FALSE)</f>
        <v>1.373</v>
      </c>
      <c r="AB253">
        <f>VLOOKUP($A253&amp;AB$1,Data!$A$2:$D$5000,4,FALSE)</f>
        <v>1.8859999999999999</v>
      </c>
      <c r="AC253">
        <f>VLOOKUP($A253&amp;AC$1,Data!$A$2:$D$5000,4,FALSE)</f>
        <v>4.0529999999999999</v>
      </c>
      <c r="AD253">
        <f>VLOOKUP($A253&amp;AD$1,Data!$A$2:$D$5000,4,FALSE)</f>
        <v>1.3680000000000001</v>
      </c>
      <c r="AE253">
        <f>VLOOKUP($A253&amp;AE$1,Data!$A$2:$D$5000,4,FALSE)</f>
        <v>2.516</v>
      </c>
      <c r="AF253">
        <f>VLOOKUP($A253&amp;AF$1,Data!$A$2:$D$5000,4,FALSE)</f>
        <v>0</v>
      </c>
      <c r="AG253">
        <f>VLOOKUP($A253&amp;AG$1,Data!$A$2:$D$5000,4,FALSE)</f>
        <v>1200000</v>
      </c>
    </row>
    <row r="254" spans="1:33" hidden="1" x14ac:dyDescent="0.35">
      <c r="A254" s="19">
        <f t="shared" si="16"/>
        <v>253</v>
      </c>
      <c r="B254" t="s">
        <v>6</v>
      </c>
      <c r="C254" t="s">
        <v>3</v>
      </c>
      <c r="D254">
        <v>10</v>
      </c>
      <c r="E254" t="s">
        <v>17</v>
      </c>
      <c r="F254" s="5">
        <v>43831</v>
      </c>
      <c r="G254" s="5">
        <v>44562</v>
      </c>
      <c r="H254">
        <v>14</v>
      </c>
      <c r="I254">
        <v>9</v>
      </c>
      <c r="J254">
        <f t="shared" si="15"/>
        <v>32</v>
      </c>
      <c r="K254">
        <f t="shared" si="15"/>
        <v>68</v>
      </c>
      <c r="L254">
        <v>10000</v>
      </c>
    </row>
    <row r="255" spans="1:33" hidden="1" x14ac:dyDescent="0.35">
      <c r="A255" s="19">
        <f t="shared" si="16"/>
        <v>254</v>
      </c>
      <c r="B255" t="s">
        <v>6</v>
      </c>
      <c r="C255" t="s">
        <v>3</v>
      </c>
      <c r="D255">
        <v>100</v>
      </c>
      <c r="E255" t="s">
        <v>17</v>
      </c>
      <c r="F255" s="5">
        <v>43831</v>
      </c>
      <c r="G255" s="5">
        <v>44562</v>
      </c>
      <c r="H255">
        <v>14</v>
      </c>
      <c r="I255">
        <v>9</v>
      </c>
      <c r="J255">
        <f t="shared" ref="J255:K270" si="17">J282</f>
        <v>32</v>
      </c>
      <c r="K255">
        <f t="shared" si="17"/>
        <v>68</v>
      </c>
      <c r="L255">
        <v>10000</v>
      </c>
    </row>
    <row r="256" spans="1:33" hidden="1" x14ac:dyDescent="0.35">
      <c r="A256" s="19">
        <f t="shared" si="16"/>
        <v>255</v>
      </c>
      <c r="B256" t="s">
        <v>6</v>
      </c>
      <c r="C256" t="s">
        <v>3</v>
      </c>
      <c r="D256">
        <v>200</v>
      </c>
      <c r="E256" t="s">
        <v>17</v>
      </c>
      <c r="F256" s="5">
        <v>43831</v>
      </c>
      <c r="G256" s="5">
        <v>44562</v>
      </c>
      <c r="H256">
        <v>14</v>
      </c>
      <c r="I256">
        <v>9</v>
      </c>
      <c r="J256">
        <f t="shared" si="17"/>
        <v>32</v>
      </c>
      <c r="K256">
        <f t="shared" si="17"/>
        <v>68</v>
      </c>
      <c r="L256">
        <v>10000</v>
      </c>
    </row>
    <row r="257" spans="1:33" hidden="1" x14ac:dyDescent="0.35">
      <c r="A257" s="19">
        <f t="shared" si="16"/>
        <v>256</v>
      </c>
      <c r="B257" t="s">
        <v>6</v>
      </c>
      <c r="C257" t="s">
        <v>2</v>
      </c>
      <c r="D257">
        <v>10</v>
      </c>
      <c r="E257" t="s">
        <v>17</v>
      </c>
      <c r="F257" s="5">
        <v>43831</v>
      </c>
      <c r="G257" s="5">
        <v>44562</v>
      </c>
      <c r="H257">
        <v>14</v>
      </c>
      <c r="I257">
        <v>9</v>
      </c>
      <c r="J257">
        <f t="shared" si="17"/>
        <v>32</v>
      </c>
      <c r="K257">
        <f t="shared" si="17"/>
        <v>68</v>
      </c>
      <c r="L257">
        <v>10000</v>
      </c>
    </row>
    <row r="258" spans="1:33" hidden="1" x14ac:dyDescent="0.35">
      <c r="A258" s="19">
        <f t="shared" si="16"/>
        <v>257</v>
      </c>
      <c r="B258" t="s">
        <v>6</v>
      </c>
      <c r="C258" t="s">
        <v>2</v>
      </c>
      <c r="D258">
        <v>100</v>
      </c>
      <c r="E258" t="s">
        <v>17</v>
      </c>
      <c r="F258" s="5">
        <v>43831</v>
      </c>
      <c r="G258" s="5">
        <v>44562</v>
      </c>
      <c r="H258">
        <v>14</v>
      </c>
      <c r="I258">
        <v>9</v>
      </c>
      <c r="J258">
        <f t="shared" si="17"/>
        <v>32</v>
      </c>
      <c r="K258">
        <f t="shared" si="17"/>
        <v>68</v>
      </c>
      <c r="L258">
        <v>10000</v>
      </c>
    </row>
    <row r="259" spans="1:33" hidden="1" x14ac:dyDescent="0.35">
      <c r="A259" s="19">
        <f t="shared" si="16"/>
        <v>258</v>
      </c>
      <c r="B259" t="s">
        <v>6</v>
      </c>
      <c r="C259" t="s">
        <v>2</v>
      </c>
      <c r="D259">
        <v>200</v>
      </c>
      <c r="E259" t="s">
        <v>17</v>
      </c>
      <c r="F259" s="5">
        <v>43831</v>
      </c>
      <c r="G259" s="5">
        <v>44562</v>
      </c>
      <c r="H259">
        <v>14</v>
      </c>
      <c r="I259">
        <v>9</v>
      </c>
      <c r="J259">
        <f t="shared" si="17"/>
        <v>32</v>
      </c>
      <c r="K259">
        <f t="shared" si="17"/>
        <v>68</v>
      </c>
      <c r="L259">
        <v>10000</v>
      </c>
    </row>
    <row r="260" spans="1:33" hidden="1" x14ac:dyDescent="0.35">
      <c r="A260" s="19">
        <f t="shared" si="16"/>
        <v>259</v>
      </c>
      <c r="B260" t="s">
        <v>6</v>
      </c>
      <c r="C260" t="s">
        <v>22</v>
      </c>
      <c r="D260">
        <v>10</v>
      </c>
      <c r="E260" t="s">
        <v>17</v>
      </c>
      <c r="F260" s="5">
        <v>43831</v>
      </c>
      <c r="G260" s="5">
        <v>44562</v>
      </c>
      <c r="H260">
        <v>14</v>
      </c>
      <c r="I260">
        <v>9</v>
      </c>
      <c r="J260">
        <f t="shared" si="17"/>
        <v>32</v>
      </c>
      <c r="K260">
        <f t="shared" si="17"/>
        <v>68</v>
      </c>
      <c r="L260">
        <v>10000</v>
      </c>
    </row>
    <row r="261" spans="1:33" hidden="1" x14ac:dyDescent="0.35">
      <c r="A261" s="19">
        <f t="shared" si="16"/>
        <v>260</v>
      </c>
      <c r="B261" t="s">
        <v>6</v>
      </c>
      <c r="C261" t="s">
        <v>22</v>
      </c>
      <c r="D261">
        <v>100</v>
      </c>
      <c r="E261" t="s">
        <v>17</v>
      </c>
      <c r="F261" s="5">
        <v>43831</v>
      </c>
      <c r="G261" s="5">
        <v>44562</v>
      </c>
      <c r="H261">
        <v>14</v>
      </c>
      <c r="I261">
        <v>9</v>
      </c>
      <c r="J261">
        <f t="shared" si="17"/>
        <v>32</v>
      </c>
      <c r="K261">
        <f t="shared" si="17"/>
        <v>68</v>
      </c>
      <c r="L261">
        <v>10000</v>
      </c>
    </row>
    <row r="262" spans="1:33" hidden="1" x14ac:dyDescent="0.35">
      <c r="A262" s="19">
        <f t="shared" si="16"/>
        <v>261</v>
      </c>
      <c r="B262" t="s">
        <v>6</v>
      </c>
      <c r="C262" t="s">
        <v>22</v>
      </c>
      <c r="D262">
        <v>200</v>
      </c>
      <c r="E262" t="s">
        <v>17</v>
      </c>
      <c r="F262" s="5">
        <v>43831</v>
      </c>
      <c r="G262" s="5">
        <v>44562</v>
      </c>
      <c r="H262">
        <v>14</v>
      </c>
      <c r="I262">
        <v>9</v>
      </c>
      <c r="J262">
        <f t="shared" si="17"/>
        <v>32</v>
      </c>
      <c r="K262">
        <f t="shared" si="17"/>
        <v>68</v>
      </c>
      <c r="L262">
        <v>10000</v>
      </c>
    </row>
    <row r="263" spans="1:33" hidden="1" x14ac:dyDescent="0.35">
      <c r="A263" s="19">
        <f t="shared" si="16"/>
        <v>262</v>
      </c>
      <c r="B263" t="s">
        <v>6</v>
      </c>
      <c r="C263" t="s">
        <v>3</v>
      </c>
      <c r="D263">
        <v>10</v>
      </c>
      <c r="E263" t="s">
        <v>17</v>
      </c>
      <c r="F263" s="5">
        <v>43831</v>
      </c>
      <c r="G263" s="5">
        <v>44562</v>
      </c>
      <c r="H263">
        <v>14</v>
      </c>
      <c r="I263">
        <v>9</v>
      </c>
      <c r="J263">
        <f t="shared" si="17"/>
        <v>28</v>
      </c>
      <c r="K263">
        <f t="shared" si="17"/>
        <v>72</v>
      </c>
      <c r="L263">
        <v>10000</v>
      </c>
    </row>
    <row r="264" spans="1:33" hidden="1" x14ac:dyDescent="0.35">
      <c r="A264" s="19">
        <f t="shared" si="16"/>
        <v>263</v>
      </c>
      <c r="B264" t="s">
        <v>6</v>
      </c>
      <c r="C264" t="s">
        <v>3</v>
      </c>
      <c r="D264">
        <v>100</v>
      </c>
      <c r="E264" t="s">
        <v>17</v>
      </c>
      <c r="F264" s="5">
        <v>43831</v>
      </c>
      <c r="G264" s="5">
        <v>44562</v>
      </c>
      <c r="H264">
        <v>14</v>
      </c>
      <c r="I264">
        <v>9</v>
      </c>
      <c r="J264">
        <f t="shared" si="17"/>
        <v>28</v>
      </c>
      <c r="K264">
        <f t="shared" si="17"/>
        <v>72</v>
      </c>
      <c r="L264">
        <v>10000</v>
      </c>
    </row>
    <row r="265" spans="1:33" hidden="1" x14ac:dyDescent="0.35">
      <c r="A265" s="19">
        <f t="shared" si="16"/>
        <v>264</v>
      </c>
      <c r="B265" t="s">
        <v>6</v>
      </c>
      <c r="C265" t="s">
        <v>3</v>
      </c>
      <c r="D265">
        <v>200</v>
      </c>
      <c r="E265" t="s">
        <v>17</v>
      </c>
      <c r="F265" s="5">
        <v>43831</v>
      </c>
      <c r="G265" s="5">
        <v>44562</v>
      </c>
      <c r="H265">
        <v>14</v>
      </c>
      <c r="I265">
        <v>9</v>
      </c>
      <c r="J265">
        <f t="shared" si="17"/>
        <v>28</v>
      </c>
      <c r="K265">
        <f t="shared" si="17"/>
        <v>72</v>
      </c>
      <c r="L265">
        <v>10000</v>
      </c>
    </row>
    <row r="266" spans="1:33" hidden="1" x14ac:dyDescent="0.35">
      <c r="A266" s="19">
        <f t="shared" si="16"/>
        <v>265</v>
      </c>
      <c r="B266" t="s">
        <v>6</v>
      </c>
      <c r="C266" t="s">
        <v>2</v>
      </c>
      <c r="D266">
        <v>10</v>
      </c>
      <c r="E266" t="s">
        <v>17</v>
      </c>
      <c r="F266" s="5">
        <v>43831</v>
      </c>
      <c r="G266" s="5">
        <v>44562</v>
      </c>
      <c r="H266">
        <v>14</v>
      </c>
      <c r="I266">
        <v>9</v>
      </c>
      <c r="J266">
        <f t="shared" si="17"/>
        <v>28</v>
      </c>
      <c r="K266">
        <f t="shared" si="17"/>
        <v>72</v>
      </c>
      <c r="L266">
        <v>10000</v>
      </c>
    </row>
    <row r="267" spans="1:33" hidden="1" x14ac:dyDescent="0.35">
      <c r="A267" s="19">
        <f t="shared" si="16"/>
        <v>266</v>
      </c>
      <c r="B267" t="s">
        <v>6</v>
      </c>
      <c r="C267" t="s">
        <v>2</v>
      </c>
      <c r="D267">
        <v>100</v>
      </c>
      <c r="E267" t="s">
        <v>17</v>
      </c>
      <c r="F267" s="5">
        <v>43831</v>
      </c>
      <c r="G267" s="5">
        <v>44562</v>
      </c>
      <c r="H267">
        <v>14</v>
      </c>
      <c r="I267">
        <v>9</v>
      </c>
      <c r="J267">
        <f t="shared" si="17"/>
        <v>28</v>
      </c>
      <c r="K267">
        <f t="shared" si="17"/>
        <v>72</v>
      </c>
      <c r="L267">
        <v>10000</v>
      </c>
    </row>
    <row r="268" spans="1:33" hidden="1" x14ac:dyDescent="0.35">
      <c r="A268" s="19">
        <f t="shared" si="16"/>
        <v>267</v>
      </c>
      <c r="B268" t="s">
        <v>6</v>
      </c>
      <c r="C268" t="s">
        <v>2</v>
      </c>
      <c r="D268">
        <v>200</v>
      </c>
      <c r="E268" t="s">
        <v>17</v>
      </c>
      <c r="F268" s="5">
        <v>43831</v>
      </c>
      <c r="G268" s="5">
        <v>44562</v>
      </c>
      <c r="H268">
        <v>14</v>
      </c>
      <c r="I268">
        <v>9</v>
      </c>
      <c r="J268">
        <f t="shared" si="17"/>
        <v>28</v>
      </c>
      <c r="K268">
        <f t="shared" si="17"/>
        <v>72</v>
      </c>
      <c r="L268">
        <v>10000</v>
      </c>
    </row>
    <row r="269" spans="1:33" hidden="1" x14ac:dyDescent="0.35">
      <c r="A269" s="19">
        <f t="shared" si="16"/>
        <v>268</v>
      </c>
      <c r="B269" t="s">
        <v>6</v>
      </c>
      <c r="C269" t="s">
        <v>22</v>
      </c>
      <c r="D269">
        <v>10</v>
      </c>
      <c r="E269" t="s">
        <v>17</v>
      </c>
      <c r="F269" s="5">
        <v>43831</v>
      </c>
      <c r="G269" s="5">
        <v>44562</v>
      </c>
      <c r="H269">
        <v>14</v>
      </c>
      <c r="I269">
        <v>9</v>
      </c>
      <c r="J269">
        <f t="shared" si="17"/>
        <v>28</v>
      </c>
      <c r="K269">
        <f t="shared" si="17"/>
        <v>72</v>
      </c>
      <c r="L269">
        <v>10000</v>
      </c>
    </row>
    <row r="270" spans="1:33" hidden="1" x14ac:dyDescent="0.35">
      <c r="A270" s="19">
        <f t="shared" si="16"/>
        <v>269</v>
      </c>
      <c r="B270" t="s">
        <v>6</v>
      </c>
      <c r="C270" t="s">
        <v>22</v>
      </c>
      <c r="D270">
        <v>100</v>
      </c>
      <c r="E270" t="s">
        <v>17</v>
      </c>
      <c r="F270" s="5">
        <v>43831</v>
      </c>
      <c r="G270" s="5">
        <v>44562</v>
      </c>
      <c r="H270">
        <v>14</v>
      </c>
      <c r="I270">
        <v>9</v>
      </c>
      <c r="J270">
        <f t="shared" si="17"/>
        <v>28</v>
      </c>
      <c r="K270">
        <f t="shared" si="17"/>
        <v>72</v>
      </c>
      <c r="L270">
        <v>10000</v>
      </c>
    </row>
    <row r="271" spans="1:33" hidden="1" x14ac:dyDescent="0.35">
      <c r="A271" s="19">
        <f t="shared" si="16"/>
        <v>270</v>
      </c>
      <c r="B271" t="s">
        <v>6</v>
      </c>
      <c r="C271" t="s">
        <v>22</v>
      </c>
      <c r="D271">
        <v>200</v>
      </c>
      <c r="E271" t="s">
        <v>17</v>
      </c>
      <c r="F271" s="5">
        <v>43831</v>
      </c>
      <c r="G271" s="5">
        <v>44562</v>
      </c>
      <c r="H271">
        <v>14</v>
      </c>
      <c r="I271">
        <v>9</v>
      </c>
      <c r="J271">
        <f t="shared" ref="J271:K286" si="18">J298</f>
        <v>28</v>
      </c>
      <c r="K271">
        <f t="shared" si="18"/>
        <v>72</v>
      </c>
      <c r="L271">
        <v>10000</v>
      </c>
    </row>
    <row r="272" spans="1:33" x14ac:dyDescent="0.35">
      <c r="A272" s="13">
        <f t="shared" si="16"/>
        <v>271</v>
      </c>
      <c r="B272" t="s">
        <v>7</v>
      </c>
      <c r="C272" t="s">
        <v>3</v>
      </c>
      <c r="D272">
        <v>10</v>
      </c>
      <c r="E272" t="s">
        <v>17</v>
      </c>
      <c r="F272" s="5">
        <v>43831</v>
      </c>
      <c r="G272" s="5">
        <v>44562</v>
      </c>
      <c r="H272">
        <v>14</v>
      </c>
      <c r="I272">
        <v>9</v>
      </c>
      <c r="J272">
        <f t="shared" si="18"/>
        <v>30</v>
      </c>
      <c r="K272">
        <f t="shared" si="18"/>
        <v>70</v>
      </c>
      <c r="L272">
        <v>10000</v>
      </c>
      <c r="M272">
        <f>VLOOKUP($A272&amp;M$1,Data!$A$2:$D$5000,4,FALSE)</f>
        <v>0.79584999999999995</v>
      </c>
      <c r="N272">
        <f>VLOOKUP($A272&amp;N$1,Data!$A$2:$D$5000,4,FALSE)</f>
        <v>2.0270000000000001</v>
      </c>
      <c r="O272">
        <f>VLOOKUP($A272&amp;O$1,Data!$A$2:$D$5000,4,FALSE)</f>
        <v>893</v>
      </c>
      <c r="P272">
        <f>VLOOKUP($A272&amp;P$1,Data!$A$2:$D$5000,4,FALSE)</f>
        <v>2.0299999999999999E-2</v>
      </c>
      <c r="Q272">
        <f>VLOOKUP($A272&amp;Q$1,Data!$A$2:$D$5000,4,FALSE)</f>
        <v>-1.34E-2</v>
      </c>
      <c r="R272">
        <f>VLOOKUP($A272&amp;R$1,Data!$A$2:$D$5000,4,FALSE)</f>
        <v>0.37667</v>
      </c>
      <c r="S272">
        <f>VLOOKUP($A272&amp;S$1,Data!$A$2:$D$5000,4,FALSE)</f>
        <v>8.2000000000000003E-2</v>
      </c>
      <c r="T272">
        <f>VLOOKUP($A272&amp;T$1,Data!$A$2:$D$5000,4,FALSE)</f>
        <v>0.56299999999999994</v>
      </c>
      <c r="U272">
        <f>VLOOKUP($A272&amp;U$1,Data!$A$2:$D$5000,4,FALSE)</f>
        <v>0.23063</v>
      </c>
      <c r="V272">
        <f>VLOOKUP($A272&amp;V$1,Data!$A$2:$D$5000,4,FALSE)</f>
        <v>0.38</v>
      </c>
      <c r="W272">
        <f>VLOOKUP($A272&amp;W$1,Data!$A$2:$D$5000,4,FALSE)</f>
        <v>0.62</v>
      </c>
      <c r="X272">
        <f>VLOOKUP($A272&amp;X$1,Data!$A$2:$D$5000,4,FALSE)</f>
        <v>1.52</v>
      </c>
      <c r="Y272">
        <f>VLOOKUP($A272&amp;Y$1,Data!$A$2:$D$5000,4,FALSE)</f>
        <v>0.221</v>
      </c>
      <c r="Z272">
        <f>VLOOKUP($A272&amp;Z$1,Data!$A$2:$D$5000,4,FALSE)</f>
        <v>0.65800000000000003</v>
      </c>
      <c r="AA272">
        <f>VLOOKUP($A272&amp;AA$1,Data!$A$2:$D$5000,4,FALSE)</f>
        <v>0.127</v>
      </c>
      <c r="AB272">
        <f>VLOOKUP($A272&amp;AB$1,Data!$A$2:$D$5000,4,FALSE)</f>
        <v>1.6E-2</v>
      </c>
      <c r="AC272">
        <f>VLOOKUP($A272&amp;AC$1,Data!$A$2:$D$5000,4,FALSE)</f>
        <v>1.651</v>
      </c>
      <c r="AD272">
        <f>VLOOKUP($A272&amp;AD$1,Data!$A$2:$D$5000,4,FALSE)</f>
        <v>0.122</v>
      </c>
      <c r="AE272">
        <f>VLOOKUP($A272&amp;AE$1,Data!$A$2:$D$5000,4,FALSE)</f>
        <v>0.39200000000000002</v>
      </c>
      <c r="AF272">
        <f>VLOOKUP($A272&amp;AF$1,Data!$A$2:$D$5000,4,FALSE)</f>
        <v>0</v>
      </c>
      <c r="AG272">
        <f>VLOOKUP($A272&amp;AG$1,Data!$A$2:$D$5000,4,FALSE)</f>
        <v>5000000</v>
      </c>
    </row>
    <row r="273" spans="1:33" x14ac:dyDescent="0.35">
      <c r="A273" s="22">
        <f t="shared" si="16"/>
        <v>272</v>
      </c>
      <c r="B273" s="7" t="s">
        <v>7</v>
      </c>
      <c r="C273" s="7" t="s">
        <v>3</v>
      </c>
      <c r="D273" s="7">
        <v>100</v>
      </c>
      <c r="E273" s="7" t="s">
        <v>17</v>
      </c>
      <c r="F273" s="24">
        <v>43831</v>
      </c>
      <c r="G273" s="24">
        <v>44562</v>
      </c>
      <c r="H273" s="7">
        <v>14</v>
      </c>
      <c r="I273" s="7">
        <v>9</v>
      </c>
      <c r="J273" s="7">
        <f t="shared" si="18"/>
        <v>30</v>
      </c>
      <c r="K273" s="7">
        <f t="shared" si="18"/>
        <v>70</v>
      </c>
      <c r="L273" s="7">
        <v>10000</v>
      </c>
      <c r="M273">
        <f>VLOOKUP($A273&amp;M$1,Data!$A$2:$D$5000,4,FALSE)</f>
        <v>0.82501000000000002</v>
      </c>
      <c r="N273">
        <f>VLOOKUP($A273&amp;N$1,Data!$A$2:$D$5000,4,FALSE)</f>
        <v>4.399</v>
      </c>
      <c r="O273">
        <f>VLOOKUP($A273&amp;O$1,Data!$A$2:$D$5000,4,FALSE)</f>
        <v>876</v>
      </c>
      <c r="P273">
        <f>VLOOKUP($A273&amp;P$1,Data!$A$2:$D$5000,4,FALSE)</f>
        <v>0.13550000000000001</v>
      </c>
      <c r="Q273">
        <f>VLOOKUP($A273&amp;Q$1,Data!$A$2:$D$5000,4,FALSE)</f>
        <v>-7.3700000000000002E-2</v>
      </c>
      <c r="R273">
        <f>VLOOKUP($A273&amp;R$1,Data!$A$2:$D$5000,4,FALSE)</f>
        <v>4.5813699999999997</v>
      </c>
      <c r="S273">
        <f>VLOOKUP($A273&amp;S$1,Data!$A$2:$D$5000,4,FALSE)</f>
        <v>0.46</v>
      </c>
      <c r="T273">
        <f>VLOOKUP($A273&amp;T$1,Data!$A$2:$D$5000,4,FALSE)</f>
        <v>0.66400000000000003</v>
      </c>
      <c r="U273">
        <f>VLOOKUP($A273&amp;U$1,Data!$A$2:$D$5000,4,FALSE)</f>
        <v>2.05341</v>
      </c>
      <c r="V273">
        <f>VLOOKUP($A273&amp;V$1,Data!$A$2:$D$5000,4,FALSE)</f>
        <v>0.41</v>
      </c>
      <c r="W273">
        <f>VLOOKUP($A273&amp;W$1,Data!$A$2:$D$5000,4,FALSE)</f>
        <v>0.59</v>
      </c>
      <c r="X273">
        <f>VLOOKUP($A273&amp;X$1,Data!$A$2:$D$5000,4,FALSE)</f>
        <v>1.84</v>
      </c>
      <c r="Y273">
        <f>VLOOKUP($A273&amp;Y$1,Data!$A$2:$D$5000,4,FALSE)</f>
        <v>3.1389999999999998</v>
      </c>
      <c r="Z273">
        <f>VLOOKUP($A273&amp;Z$1,Data!$A$2:$D$5000,4,FALSE)</f>
        <v>4.3419999999999996</v>
      </c>
      <c r="AA273">
        <f>VLOOKUP($A273&amp;AA$1,Data!$A$2:$D$5000,4,FALSE)</f>
        <v>0.77</v>
      </c>
      <c r="AB273">
        <f>VLOOKUP($A273&amp;AB$1,Data!$A$2:$D$5000,4,FALSE)</f>
        <v>0.59299999999999997</v>
      </c>
      <c r="AC273">
        <f>VLOOKUP($A273&amp;AC$1,Data!$A$2:$D$5000,4,FALSE)</f>
        <v>4.4560000000000004</v>
      </c>
      <c r="AD273">
        <f>VLOOKUP($A273&amp;AD$1,Data!$A$2:$D$5000,4,FALSE)</f>
        <v>0.747</v>
      </c>
      <c r="AE273">
        <f>VLOOKUP($A273&amp;AE$1,Data!$A$2:$D$5000,4,FALSE)</f>
        <v>0.78</v>
      </c>
      <c r="AF273">
        <f>VLOOKUP($A273&amp;AF$1,Data!$A$2:$D$5000,4,FALSE)</f>
        <v>0</v>
      </c>
      <c r="AG273">
        <f>VLOOKUP($A273&amp;AG$1,Data!$A$2:$D$5000,4,FALSE)</f>
        <v>2500000</v>
      </c>
    </row>
    <row r="274" spans="1:33" x14ac:dyDescent="0.35">
      <c r="A274" s="13">
        <f t="shared" si="16"/>
        <v>273</v>
      </c>
      <c r="B274" t="s">
        <v>7</v>
      </c>
      <c r="C274" t="s">
        <v>3</v>
      </c>
      <c r="D274">
        <v>200</v>
      </c>
      <c r="E274" t="s">
        <v>17</v>
      </c>
      <c r="F274" s="5">
        <v>43831</v>
      </c>
      <c r="G274" s="5">
        <v>44562</v>
      </c>
      <c r="H274">
        <v>14</v>
      </c>
      <c r="I274">
        <v>9</v>
      </c>
      <c r="J274">
        <f t="shared" si="18"/>
        <v>30</v>
      </c>
      <c r="K274">
        <f t="shared" si="18"/>
        <v>70</v>
      </c>
      <c r="L274">
        <v>10000</v>
      </c>
      <c r="M274">
        <f>VLOOKUP($A274&amp;M$1,Data!$A$2:$D$5000,4,FALSE)</f>
        <v>0.76468000000000003</v>
      </c>
      <c r="N274">
        <f>VLOOKUP($A274&amp;N$1,Data!$A$2:$D$5000,4,FALSE)</f>
        <v>5.4630000000000001</v>
      </c>
      <c r="O274">
        <f>VLOOKUP($A274&amp;O$1,Data!$A$2:$D$5000,4,FALSE)</f>
        <v>825</v>
      </c>
      <c r="P274">
        <f>VLOOKUP($A274&amp;P$1,Data!$A$2:$D$5000,4,FALSE)</f>
        <v>0.22450000000000001</v>
      </c>
      <c r="Q274">
        <f>VLOOKUP($A274&amp;Q$1,Data!$A$2:$D$5000,4,FALSE)</f>
        <v>-6.1800000000000001E-2</v>
      </c>
      <c r="R274">
        <f>VLOOKUP($A274&amp;R$1,Data!$A$2:$D$5000,4,FALSE)</f>
        <v>5.8875000000000002</v>
      </c>
      <c r="S274">
        <f>VLOOKUP($A274&amp;S$1,Data!$A$2:$D$5000,4,FALSE)</f>
        <v>0.68400000000000005</v>
      </c>
      <c r="T274">
        <f>VLOOKUP($A274&amp;T$1,Data!$A$2:$D$5000,4,FALSE)</f>
        <v>0.78100000000000003</v>
      </c>
      <c r="U274">
        <f>VLOOKUP($A274&amp;U$1,Data!$A$2:$D$5000,4,FALSE)</f>
        <v>2.5000200000000001</v>
      </c>
      <c r="V274">
        <f>VLOOKUP($A274&amp;V$1,Data!$A$2:$D$5000,4,FALSE)</f>
        <v>0.62</v>
      </c>
      <c r="W274">
        <f>VLOOKUP($A274&amp;W$1,Data!$A$2:$D$5000,4,FALSE)</f>
        <v>0.38</v>
      </c>
      <c r="X274">
        <f>VLOOKUP($A274&amp;X$1,Data!$A$2:$D$5000,4,FALSE)</f>
        <v>3.63</v>
      </c>
      <c r="Y274">
        <f>VLOOKUP($A274&amp;Y$1,Data!$A$2:$D$5000,4,FALSE)</f>
        <v>5.91</v>
      </c>
      <c r="Z274">
        <f>VLOOKUP($A274&amp;Z$1,Data!$A$2:$D$5000,4,FALSE)</f>
        <v>7.0309999999999997</v>
      </c>
      <c r="AA274">
        <f>VLOOKUP($A274&amp;AA$1,Data!$A$2:$D$5000,4,FALSE)</f>
        <v>1.155</v>
      </c>
      <c r="AB274">
        <f>VLOOKUP($A274&amp;AB$1,Data!$A$2:$D$5000,4,FALSE)</f>
        <v>1.335</v>
      </c>
      <c r="AC274">
        <f>VLOOKUP($A274&amp;AC$1,Data!$A$2:$D$5000,4,FALSE)</f>
        <v>5.5359999999999996</v>
      </c>
      <c r="AD274">
        <f>VLOOKUP($A274&amp;AD$1,Data!$A$2:$D$5000,4,FALSE)</f>
        <v>1.1299999999999999</v>
      </c>
      <c r="AE274">
        <f>VLOOKUP($A274&amp;AE$1,Data!$A$2:$D$5000,4,FALSE)</f>
        <v>0.89800000000000002</v>
      </c>
      <c r="AF274">
        <f>VLOOKUP($A274&amp;AF$1,Data!$A$2:$D$5000,4,FALSE)</f>
        <v>0</v>
      </c>
      <c r="AG274">
        <f>VLOOKUP($A274&amp;AG$1,Data!$A$2:$D$5000,4,FALSE)</f>
        <v>2200000</v>
      </c>
    </row>
    <row r="275" spans="1:33" hidden="1" x14ac:dyDescent="0.35">
      <c r="A275" s="13">
        <f t="shared" si="16"/>
        <v>274</v>
      </c>
      <c r="B275" t="s">
        <v>7</v>
      </c>
      <c r="C275" t="s">
        <v>2</v>
      </c>
      <c r="D275">
        <v>10</v>
      </c>
      <c r="E275" t="s">
        <v>17</v>
      </c>
      <c r="F275" s="5">
        <v>43831</v>
      </c>
      <c r="G275" s="5">
        <v>44562</v>
      </c>
      <c r="H275">
        <v>14</v>
      </c>
      <c r="I275">
        <v>9</v>
      </c>
      <c r="J275">
        <f t="shared" si="18"/>
        <v>30</v>
      </c>
      <c r="K275">
        <f t="shared" si="18"/>
        <v>70</v>
      </c>
      <c r="L275">
        <v>10000</v>
      </c>
      <c r="M275">
        <f>VLOOKUP($A275&amp;M$1,Data!$A$2:$D$5000,4,FALSE)</f>
        <v>0.15468000000000001</v>
      </c>
      <c r="N275">
        <f>VLOOKUP($A275&amp;N$1,Data!$A$2:$D$5000,4,FALSE)</f>
        <v>-5.3999999999999999E-2</v>
      </c>
      <c r="O275">
        <f>VLOOKUP($A275&amp;O$1,Data!$A$2:$D$5000,4,FALSE)</f>
        <v>558</v>
      </c>
      <c r="P275">
        <f>VLOOKUP($A275&amp;P$1,Data!$A$2:$D$5000,4,FALSE)</f>
        <v>3.3000000000000002E-2</v>
      </c>
      <c r="Q275">
        <f>VLOOKUP($A275&amp;Q$1,Data!$A$2:$D$5000,4,FALSE)</f>
        <v>-1.7100000000000001E-2</v>
      </c>
      <c r="R275">
        <f>VLOOKUP($A275&amp;R$1,Data!$A$2:$D$5000,4,FALSE)</f>
        <v>-2.317E-2</v>
      </c>
      <c r="S275">
        <f>VLOOKUP($A275&amp;S$1,Data!$A$2:$D$5000,4,FALSE)</f>
        <v>8.4000000000000005E-2</v>
      </c>
      <c r="T275">
        <f>VLOOKUP($A275&amp;T$1,Data!$A$2:$D$5000,4,FALSE)</f>
        <v>-2.5000000000000001E-2</v>
      </c>
      <c r="U275">
        <f>VLOOKUP($A275&amp;U$1,Data!$A$2:$D$5000,4,FALSE)</f>
        <v>-1.5100000000000001E-2</v>
      </c>
      <c r="V275">
        <f>VLOOKUP($A275&amp;V$1,Data!$A$2:$D$5000,4,FALSE)</f>
        <v>0.67</v>
      </c>
      <c r="W275">
        <f>VLOOKUP($A275&amp;W$1,Data!$A$2:$D$5000,4,FALSE)</f>
        <v>0.33</v>
      </c>
      <c r="X275">
        <f>VLOOKUP($A275&amp;X$1,Data!$A$2:$D$5000,4,FALSE)</f>
        <v>1.93</v>
      </c>
      <c r="Y275">
        <f>VLOOKUP($A275&amp;Y$1,Data!$A$2:$D$5000,4,FALSE)</f>
        <v>-5.2999999999999999E-2</v>
      </c>
      <c r="Z275">
        <f>VLOOKUP($A275&amp;Z$1,Data!$A$2:$D$5000,4,FALSE)</f>
        <v>0.81599999999999995</v>
      </c>
      <c r="AA275">
        <f>VLOOKUP($A275&amp;AA$1,Data!$A$2:$D$5000,4,FALSE)</f>
        <v>0.13400000000000001</v>
      </c>
      <c r="AB275">
        <f>VLOOKUP($A275&amp;AB$1,Data!$A$2:$D$5000,4,FALSE)</f>
        <v>1.7999999999999999E-2</v>
      </c>
      <c r="AC275">
        <f>VLOOKUP($A275&amp;AC$1,Data!$A$2:$D$5000,4,FALSE)</f>
        <v>-0.51200000000000001</v>
      </c>
      <c r="AD275">
        <f>VLOOKUP($A275&amp;AD$1,Data!$A$2:$D$5000,4,FALSE)</f>
        <v>0.123</v>
      </c>
      <c r="AE275">
        <f>VLOOKUP($A275&amp;AE$1,Data!$A$2:$D$5000,4,FALSE)</f>
        <v>-8.9999999999999993E-3</v>
      </c>
      <c r="AF275">
        <f>VLOOKUP($A275&amp;AF$1,Data!$A$2:$D$5000,4,FALSE)</f>
        <v>0</v>
      </c>
      <c r="AG275">
        <f>VLOOKUP($A275&amp;AG$1,Data!$A$2:$D$5000,4,FALSE)</f>
        <v>12000000</v>
      </c>
    </row>
    <row r="276" spans="1:33" hidden="1" x14ac:dyDescent="0.35">
      <c r="A276" s="13">
        <f t="shared" si="16"/>
        <v>275</v>
      </c>
      <c r="B276" t="s">
        <v>7</v>
      </c>
      <c r="C276" t="s">
        <v>2</v>
      </c>
      <c r="D276">
        <v>100</v>
      </c>
      <c r="E276" t="s">
        <v>17</v>
      </c>
      <c r="F276" s="5">
        <v>43831</v>
      </c>
      <c r="G276" s="5">
        <v>44562</v>
      </c>
      <c r="H276">
        <v>14</v>
      </c>
      <c r="I276">
        <v>9</v>
      </c>
      <c r="J276">
        <f t="shared" si="18"/>
        <v>30</v>
      </c>
      <c r="K276">
        <f t="shared" si="18"/>
        <v>70</v>
      </c>
      <c r="L276">
        <v>10000</v>
      </c>
      <c r="M276">
        <f>VLOOKUP($A276&amp;M$1,Data!$A$2:$D$5000,4,FALSE)</f>
        <v>0.18522</v>
      </c>
      <c r="N276">
        <f>VLOOKUP($A276&amp;N$1,Data!$A$2:$D$5000,4,FALSE)</f>
        <v>7.8E-2</v>
      </c>
      <c r="O276">
        <f>VLOOKUP($A276&amp;O$1,Data!$A$2:$D$5000,4,FALSE)</f>
        <v>494</v>
      </c>
      <c r="P276">
        <f>VLOOKUP($A276&amp;P$1,Data!$A$2:$D$5000,4,FALSE)</f>
        <v>0.15440000000000001</v>
      </c>
      <c r="Q276">
        <f>VLOOKUP($A276&amp;Q$1,Data!$A$2:$D$5000,4,FALSE)</f>
        <v>-8.0600000000000005E-2</v>
      </c>
      <c r="R276">
        <f>VLOOKUP($A276&amp;R$1,Data!$A$2:$D$5000,4,FALSE)</f>
        <v>-0.49641999999999997</v>
      </c>
      <c r="S276">
        <f>VLOOKUP($A276&amp;S$1,Data!$A$2:$D$5000,4,FALSE)</f>
        <v>0.61899999999999999</v>
      </c>
      <c r="T276">
        <f>VLOOKUP($A276&amp;T$1,Data!$A$2:$D$5000,4,FALSE)</f>
        <v>-7.1999999999999995E-2</v>
      </c>
      <c r="U276">
        <f>VLOOKUP($A276&amp;U$1,Data!$A$2:$D$5000,4,FALSE)</f>
        <v>-0.35941000000000001</v>
      </c>
      <c r="V276">
        <f>VLOOKUP($A276&amp;V$1,Data!$A$2:$D$5000,4,FALSE)</f>
        <v>0.68</v>
      </c>
      <c r="W276">
        <f>VLOOKUP($A276&amp;W$1,Data!$A$2:$D$5000,4,FALSE)</f>
        <v>0.32</v>
      </c>
      <c r="X276">
        <f>VLOOKUP($A276&amp;X$1,Data!$A$2:$D$5000,4,FALSE)</f>
        <v>1.92</v>
      </c>
      <c r="Y276">
        <f>VLOOKUP($A276&amp;Y$1,Data!$A$2:$D$5000,4,FALSE)</f>
        <v>-0.36</v>
      </c>
      <c r="Z276">
        <f>VLOOKUP($A276&amp;Z$1,Data!$A$2:$D$5000,4,FALSE)</f>
        <v>7.7720000000000002</v>
      </c>
      <c r="AA276">
        <f>VLOOKUP($A276&amp;AA$1,Data!$A$2:$D$5000,4,FALSE)</f>
        <v>1.073</v>
      </c>
      <c r="AB276">
        <f>VLOOKUP($A276&amp;AB$1,Data!$A$2:$D$5000,4,FALSE)</f>
        <v>1.1499999999999999</v>
      </c>
      <c r="AC276">
        <f>VLOOKUP($A276&amp;AC$1,Data!$A$2:$D$5000,4,FALSE)</f>
        <v>2.5999999999999999E-2</v>
      </c>
      <c r="AD276">
        <f>VLOOKUP($A276&amp;AD$1,Data!$A$2:$D$5000,4,FALSE)</f>
        <v>1.042</v>
      </c>
      <c r="AE276">
        <f>VLOOKUP($A276&amp;AE$1,Data!$A$2:$D$5000,4,FALSE)</f>
        <v>1.0999999999999999E-2</v>
      </c>
      <c r="AF276">
        <f>VLOOKUP($A276&amp;AF$1,Data!$A$2:$D$5000,4,FALSE)</f>
        <v>0</v>
      </c>
      <c r="AG276">
        <f>VLOOKUP($A276&amp;AG$1,Data!$A$2:$D$5000,4,FALSE)</f>
        <v>2600000</v>
      </c>
    </row>
    <row r="277" spans="1:33" hidden="1" x14ac:dyDescent="0.35">
      <c r="A277" s="13">
        <f t="shared" si="16"/>
        <v>276</v>
      </c>
      <c r="B277" t="s">
        <v>7</v>
      </c>
      <c r="C277" t="s">
        <v>2</v>
      </c>
      <c r="D277">
        <v>200</v>
      </c>
      <c r="E277" t="s">
        <v>17</v>
      </c>
      <c r="F277" s="5">
        <v>43831</v>
      </c>
      <c r="G277" s="5">
        <v>44562</v>
      </c>
      <c r="H277">
        <v>14</v>
      </c>
      <c r="I277">
        <v>9</v>
      </c>
      <c r="J277">
        <f t="shared" si="18"/>
        <v>30</v>
      </c>
      <c r="K277">
        <f t="shared" si="18"/>
        <v>70</v>
      </c>
      <c r="L277">
        <v>10000</v>
      </c>
      <c r="M277">
        <f>VLOOKUP($A277&amp;M$1,Data!$A$2:$D$5000,4,FALSE)</f>
        <v>0.31472</v>
      </c>
      <c r="N277">
        <f>VLOOKUP($A277&amp;N$1,Data!$A$2:$D$5000,4,FALSE)</f>
        <v>0.73799999999999999</v>
      </c>
      <c r="O277">
        <f>VLOOKUP($A277&amp;O$1,Data!$A$2:$D$5000,4,FALSE)</f>
        <v>454</v>
      </c>
      <c r="P277">
        <f>VLOOKUP($A277&amp;P$1,Data!$A$2:$D$5000,4,FALSE)</f>
        <v>0.17330000000000001</v>
      </c>
      <c r="Q277">
        <f>VLOOKUP($A277&amp;Q$1,Data!$A$2:$D$5000,4,FALSE)</f>
        <v>-5.2900000000000003E-2</v>
      </c>
      <c r="R277">
        <f>VLOOKUP($A277&amp;R$1,Data!$A$2:$D$5000,4,FALSE)</f>
        <v>-0.35003000000000001</v>
      </c>
      <c r="S277">
        <f>VLOOKUP($A277&amp;S$1,Data!$A$2:$D$5000,4,FALSE)</f>
        <v>0.80500000000000005</v>
      </c>
      <c r="T277">
        <f>VLOOKUP($A277&amp;T$1,Data!$A$2:$D$5000,4,FALSE)</f>
        <v>0.125</v>
      </c>
      <c r="U277">
        <f>VLOOKUP($A277&amp;U$1,Data!$A$2:$D$5000,4,FALSE)</f>
        <v>-0.24399000000000001</v>
      </c>
      <c r="V277">
        <f>VLOOKUP($A277&amp;V$1,Data!$A$2:$D$5000,4,FALSE)</f>
        <v>0.74</v>
      </c>
      <c r="W277">
        <f>VLOOKUP($A277&amp;W$1,Data!$A$2:$D$5000,4,FALSE)</f>
        <v>0.26</v>
      </c>
      <c r="X277">
        <f>VLOOKUP($A277&amp;X$1,Data!$A$2:$D$5000,4,FALSE)</f>
        <v>3.27</v>
      </c>
      <c r="Y277">
        <f>VLOOKUP($A277&amp;Y$1,Data!$A$2:$D$5000,4,FALSE)</f>
        <v>0.441</v>
      </c>
      <c r="Z277">
        <f>VLOOKUP($A277&amp;Z$1,Data!$A$2:$D$5000,4,FALSE)</f>
        <v>11.054</v>
      </c>
      <c r="AA277">
        <f>VLOOKUP($A277&amp;AA$1,Data!$A$2:$D$5000,4,FALSE)</f>
        <v>1.4339999999999999</v>
      </c>
      <c r="AB277">
        <f>VLOOKUP($A277&amp;AB$1,Data!$A$2:$D$5000,4,FALSE)</f>
        <v>2.056</v>
      </c>
      <c r="AC277">
        <f>VLOOKUP($A277&amp;AC$1,Data!$A$2:$D$5000,4,FALSE)</f>
        <v>0.71599999999999997</v>
      </c>
      <c r="AD277">
        <f>VLOOKUP($A277&amp;AD$1,Data!$A$2:$D$5000,4,FALSE)</f>
        <v>1.401</v>
      </c>
      <c r="AE277">
        <f>VLOOKUP($A277&amp;AE$1,Data!$A$2:$D$5000,4,FALSE)</f>
        <v>9.6000000000000002E-2</v>
      </c>
      <c r="AF277">
        <f>VLOOKUP($A277&amp;AF$1,Data!$A$2:$D$5000,4,FALSE)</f>
        <v>0</v>
      </c>
      <c r="AG277">
        <f>VLOOKUP($A277&amp;AG$1,Data!$A$2:$D$5000,4,FALSE)</f>
        <v>2500000</v>
      </c>
    </row>
    <row r="278" spans="1:33" hidden="1" x14ac:dyDescent="0.35">
      <c r="A278" s="13">
        <f t="shared" si="16"/>
        <v>277</v>
      </c>
      <c r="B278" t="s">
        <v>7</v>
      </c>
      <c r="C278" t="s">
        <v>22</v>
      </c>
      <c r="D278">
        <v>10</v>
      </c>
      <c r="E278" t="s">
        <v>17</v>
      </c>
      <c r="F278" s="5">
        <v>43831</v>
      </c>
      <c r="G278" s="5">
        <v>44562</v>
      </c>
      <c r="H278">
        <v>14</v>
      </c>
      <c r="I278">
        <v>9</v>
      </c>
      <c r="J278">
        <f t="shared" si="18"/>
        <v>30</v>
      </c>
      <c r="K278">
        <f t="shared" si="18"/>
        <v>70</v>
      </c>
      <c r="L278">
        <v>10000</v>
      </c>
      <c r="M278">
        <f>VLOOKUP($A278&amp;M$1,Data!$A$2:$D$5000,4,FALSE)</f>
        <v>0.14471000000000001</v>
      </c>
      <c r="N278">
        <f>VLOOKUP($A278&amp;N$1,Data!$A$2:$D$5000,4,FALSE)</f>
        <v>-9.9000000000000005E-2</v>
      </c>
      <c r="O278">
        <f>VLOOKUP($A278&amp;O$1,Data!$A$2:$D$5000,4,FALSE)</f>
        <v>372</v>
      </c>
      <c r="P278">
        <f>VLOOKUP($A278&amp;P$1,Data!$A$2:$D$5000,4,FALSE)</f>
        <v>2.8299999999999999E-2</v>
      </c>
      <c r="Q278">
        <f>VLOOKUP($A278&amp;Q$1,Data!$A$2:$D$5000,4,FALSE)</f>
        <v>-2.2499999999999999E-2</v>
      </c>
      <c r="R278">
        <f>VLOOKUP($A278&amp;R$1,Data!$A$2:$D$5000,4,FALSE)</f>
        <v>-3.4250000000000003E-2</v>
      </c>
      <c r="S278">
        <f>VLOOKUP($A278&amp;S$1,Data!$A$2:$D$5000,4,FALSE)</f>
        <v>0.16300000000000001</v>
      </c>
      <c r="T278">
        <f>VLOOKUP($A278&amp;T$1,Data!$A$2:$D$5000,4,FALSE)</f>
        <v>-0.06</v>
      </c>
      <c r="U278">
        <f>VLOOKUP($A278&amp;U$1,Data!$A$2:$D$5000,4,FALSE)</f>
        <v>-2.2370000000000001E-2</v>
      </c>
      <c r="V278">
        <f>VLOOKUP($A278&amp;V$1,Data!$A$2:$D$5000,4,FALSE)</f>
        <v>0.57999999999999996</v>
      </c>
      <c r="W278">
        <f>VLOOKUP($A278&amp;W$1,Data!$A$2:$D$5000,4,FALSE)</f>
        <v>0.42</v>
      </c>
      <c r="X278">
        <f>VLOOKUP($A278&amp;X$1,Data!$A$2:$D$5000,4,FALSE)</f>
        <v>1.26</v>
      </c>
      <c r="Y278">
        <f>VLOOKUP($A278&amp;Y$1,Data!$A$2:$D$5000,4,FALSE)</f>
        <v>-5.3999999999999999E-2</v>
      </c>
      <c r="Z278">
        <f>VLOOKUP($A278&amp;Z$1,Data!$A$2:$D$5000,4,FALSE)</f>
        <v>0.71</v>
      </c>
      <c r="AA278">
        <f>VLOOKUP($A278&amp;AA$1,Data!$A$2:$D$5000,4,FALSE)</f>
        <v>0.14199999999999999</v>
      </c>
      <c r="AB278">
        <f>VLOOKUP($A278&amp;AB$1,Data!$A$2:$D$5000,4,FALSE)</f>
        <v>0.02</v>
      </c>
      <c r="AC278">
        <f>VLOOKUP($A278&amp;AC$1,Data!$A$2:$D$5000,4,FALSE)</f>
        <v>-0.51800000000000002</v>
      </c>
      <c r="AD278">
        <f>VLOOKUP($A278&amp;AD$1,Data!$A$2:$D$5000,4,FALSE)</f>
        <v>0.13500000000000001</v>
      </c>
      <c r="AE278">
        <f>VLOOKUP($A278&amp;AE$1,Data!$A$2:$D$5000,4,FALSE)</f>
        <v>-0.02</v>
      </c>
      <c r="AF278">
        <f>VLOOKUP($A278&amp;AF$1,Data!$A$2:$D$5000,4,FALSE)</f>
        <v>0</v>
      </c>
      <c r="AG278">
        <f>VLOOKUP($A278&amp;AG$1,Data!$A$2:$D$5000,4,FALSE)</f>
        <v>51000000</v>
      </c>
    </row>
    <row r="279" spans="1:33" hidden="1" x14ac:dyDescent="0.35">
      <c r="A279" s="13">
        <f t="shared" si="16"/>
        <v>278</v>
      </c>
      <c r="B279" t="s">
        <v>7</v>
      </c>
      <c r="C279" t="s">
        <v>22</v>
      </c>
      <c r="D279">
        <v>100</v>
      </c>
      <c r="E279" t="s">
        <v>17</v>
      </c>
      <c r="F279" s="5">
        <v>43831</v>
      </c>
      <c r="G279" s="5">
        <v>44562</v>
      </c>
      <c r="H279">
        <v>14</v>
      </c>
      <c r="I279">
        <v>9</v>
      </c>
      <c r="J279">
        <f t="shared" si="18"/>
        <v>30</v>
      </c>
      <c r="K279">
        <f t="shared" si="18"/>
        <v>70</v>
      </c>
      <c r="L279">
        <v>10000</v>
      </c>
      <c r="M279">
        <f>VLOOKUP($A279&amp;M$1,Data!$A$2:$D$5000,4,FALSE)</f>
        <v>0.14069999999999999</v>
      </c>
      <c r="N279">
        <f>VLOOKUP($A279&amp;N$1,Data!$A$2:$D$5000,4,FALSE)</f>
        <v>-0.107</v>
      </c>
      <c r="O279">
        <f>VLOOKUP($A279&amp;O$1,Data!$A$2:$D$5000,4,FALSE)</f>
        <v>325</v>
      </c>
      <c r="P279">
        <f>VLOOKUP($A279&amp;P$1,Data!$A$2:$D$5000,4,FALSE)</f>
        <v>0.1857</v>
      </c>
      <c r="Q279">
        <f>VLOOKUP($A279&amp;Q$1,Data!$A$2:$D$5000,4,FALSE)</f>
        <v>-0.10050000000000001</v>
      </c>
      <c r="R279">
        <f>VLOOKUP($A279&amp;R$1,Data!$A$2:$D$5000,4,FALSE)</f>
        <v>-0.62599000000000005</v>
      </c>
      <c r="S279">
        <f>VLOOKUP($A279&amp;S$1,Data!$A$2:$D$5000,4,FALSE)</f>
        <v>0.77500000000000002</v>
      </c>
      <c r="T279">
        <f>VLOOKUP($A279&amp;T$1,Data!$A$2:$D$5000,4,FALSE)</f>
        <v>-0.14599999999999999</v>
      </c>
      <c r="U279">
        <f>VLOOKUP($A279&amp;U$1,Data!$A$2:$D$5000,4,FALSE)</f>
        <v>-0.47189999999999999</v>
      </c>
      <c r="V279">
        <f>VLOOKUP($A279&amp;V$1,Data!$A$2:$D$5000,4,FALSE)</f>
        <v>0.7</v>
      </c>
      <c r="W279">
        <f>VLOOKUP($A279&amp;W$1,Data!$A$2:$D$5000,4,FALSE)</f>
        <v>0.3</v>
      </c>
      <c r="X279">
        <f>VLOOKUP($A279&amp;X$1,Data!$A$2:$D$5000,4,FALSE)</f>
        <v>1.85</v>
      </c>
      <c r="Y279">
        <f>VLOOKUP($A279&amp;Y$1,Data!$A$2:$D$5000,4,FALSE)</f>
        <v>-0.45100000000000001</v>
      </c>
      <c r="Z279">
        <f>VLOOKUP($A279&amp;Z$1,Data!$A$2:$D$5000,4,FALSE)</f>
        <v>6.09</v>
      </c>
      <c r="AA279">
        <f>VLOOKUP($A279&amp;AA$1,Data!$A$2:$D$5000,4,FALSE)</f>
        <v>1.036</v>
      </c>
      <c r="AB279">
        <f>VLOOKUP($A279&amp;AB$1,Data!$A$2:$D$5000,4,FALSE)</f>
        <v>1.073</v>
      </c>
      <c r="AC279">
        <f>VLOOKUP($A279&amp;AC$1,Data!$A$2:$D$5000,4,FALSE)</f>
        <v>-0.16500000000000001</v>
      </c>
      <c r="AD279">
        <f>VLOOKUP($A279&amp;AD$1,Data!$A$2:$D$5000,4,FALSE)</f>
        <v>1.0109999999999999</v>
      </c>
      <c r="AE279">
        <f>VLOOKUP($A279&amp;AE$1,Data!$A$2:$D$5000,4,FALSE)</f>
        <v>-1.7999999999999999E-2</v>
      </c>
      <c r="AF279">
        <f>VLOOKUP($A279&amp;AF$1,Data!$A$2:$D$5000,4,FALSE)</f>
        <v>0</v>
      </c>
      <c r="AG279">
        <f>VLOOKUP($A279&amp;AG$1,Data!$A$2:$D$5000,4,FALSE)</f>
        <v>3800000</v>
      </c>
    </row>
    <row r="280" spans="1:33" hidden="1" x14ac:dyDescent="0.35">
      <c r="A280" s="13">
        <f t="shared" si="16"/>
        <v>279</v>
      </c>
      <c r="B280" t="s">
        <v>7</v>
      </c>
      <c r="C280" t="s">
        <v>22</v>
      </c>
      <c r="D280">
        <v>200</v>
      </c>
      <c r="E280" t="s">
        <v>17</v>
      </c>
      <c r="F280" s="5">
        <v>43831</v>
      </c>
      <c r="G280" s="5">
        <v>44562</v>
      </c>
      <c r="H280">
        <v>14</v>
      </c>
      <c r="I280">
        <v>9</v>
      </c>
      <c r="J280">
        <f t="shared" si="18"/>
        <v>30</v>
      </c>
      <c r="K280">
        <f t="shared" si="18"/>
        <v>70</v>
      </c>
      <c r="L280">
        <v>10000</v>
      </c>
      <c r="M280">
        <f>VLOOKUP($A280&amp;M$1,Data!$A$2:$D$5000,4,FALSE)</f>
        <v>0.28127000000000002</v>
      </c>
      <c r="N280">
        <f>VLOOKUP($A280&amp;N$1,Data!$A$2:$D$5000,4,FALSE)</f>
        <v>0.52800000000000002</v>
      </c>
      <c r="O280">
        <f>VLOOKUP($A280&amp;O$1,Data!$A$2:$D$5000,4,FALSE)</f>
        <v>308</v>
      </c>
      <c r="P280">
        <f>VLOOKUP($A280&amp;P$1,Data!$A$2:$D$5000,4,FALSE)</f>
        <v>0.20680000000000001</v>
      </c>
      <c r="Q280">
        <f>VLOOKUP($A280&amp;Q$1,Data!$A$2:$D$5000,4,FALSE)</f>
        <v>-6.4899999999999999E-2</v>
      </c>
      <c r="R280">
        <f>VLOOKUP($A280&amp;R$1,Data!$A$2:$D$5000,4,FALSE)</f>
        <v>-0.41581000000000001</v>
      </c>
      <c r="S280">
        <f>VLOOKUP($A280&amp;S$1,Data!$A$2:$D$5000,4,FALSE)</f>
        <v>0.80500000000000005</v>
      </c>
      <c r="T280">
        <f>VLOOKUP($A280&amp;T$1,Data!$A$2:$D$5000,4,FALSE)</f>
        <v>0.08</v>
      </c>
      <c r="U280">
        <f>VLOOKUP($A280&amp;U$1,Data!$A$2:$D$5000,4,FALSE)</f>
        <v>-0.29458000000000001</v>
      </c>
      <c r="V280">
        <f>VLOOKUP($A280&amp;V$1,Data!$A$2:$D$5000,4,FALSE)</f>
        <v>0.74</v>
      </c>
      <c r="W280">
        <f>VLOOKUP($A280&amp;W$1,Data!$A$2:$D$5000,4,FALSE)</f>
        <v>0.26</v>
      </c>
      <c r="X280">
        <f>VLOOKUP($A280&amp;X$1,Data!$A$2:$D$5000,4,FALSE)</f>
        <v>3.19</v>
      </c>
      <c r="Y280">
        <f>VLOOKUP($A280&amp;Y$1,Data!$A$2:$D$5000,4,FALSE)</f>
        <v>0.222</v>
      </c>
      <c r="Z280">
        <f>VLOOKUP($A280&amp;Z$1,Data!$A$2:$D$5000,4,FALSE)</f>
        <v>8.5630000000000006</v>
      </c>
      <c r="AA280">
        <f>VLOOKUP($A280&amp;AA$1,Data!$A$2:$D$5000,4,FALSE)</f>
        <v>1.3260000000000001</v>
      </c>
      <c r="AB280">
        <f>VLOOKUP($A280&amp;AB$1,Data!$A$2:$D$5000,4,FALSE)</f>
        <v>1.7569999999999999</v>
      </c>
      <c r="AC280">
        <f>VLOOKUP($A280&amp;AC$1,Data!$A$2:$D$5000,4,FALSE)</f>
        <v>0.497</v>
      </c>
      <c r="AD280">
        <f>VLOOKUP($A280&amp;AD$1,Data!$A$2:$D$5000,4,FALSE)</f>
        <v>1.298</v>
      </c>
      <c r="AE280">
        <f>VLOOKUP($A280&amp;AE$1,Data!$A$2:$D$5000,4,FALSE)</f>
        <v>8.2000000000000003E-2</v>
      </c>
      <c r="AF280">
        <f>VLOOKUP($A280&amp;AF$1,Data!$A$2:$D$5000,4,FALSE)</f>
        <v>0</v>
      </c>
      <c r="AG280">
        <f>VLOOKUP($A280&amp;AG$1,Data!$A$2:$D$5000,4,FALSE)</f>
        <v>2500000</v>
      </c>
    </row>
    <row r="281" spans="1:33" hidden="1" x14ac:dyDescent="0.35">
      <c r="A281" s="19">
        <f t="shared" si="16"/>
        <v>280</v>
      </c>
      <c r="B281" t="s">
        <v>7</v>
      </c>
      <c r="C281" t="s">
        <v>3</v>
      </c>
      <c r="D281">
        <v>10</v>
      </c>
      <c r="E281" t="s">
        <v>17</v>
      </c>
      <c r="F281" s="5">
        <v>43831</v>
      </c>
      <c r="G281" s="5">
        <v>44562</v>
      </c>
      <c r="H281">
        <v>14</v>
      </c>
      <c r="I281">
        <v>9</v>
      </c>
      <c r="J281">
        <f t="shared" si="18"/>
        <v>32</v>
      </c>
      <c r="K281">
        <f t="shared" si="18"/>
        <v>68</v>
      </c>
      <c r="L281">
        <v>10000</v>
      </c>
    </row>
    <row r="282" spans="1:33" hidden="1" x14ac:dyDescent="0.35">
      <c r="A282" s="19">
        <f t="shared" si="16"/>
        <v>281</v>
      </c>
      <c r="B282" t="s">
        <v>7</v>
      </c>
      <c r="C282" t="s">
        <v>3</v>
      </c>
      <c r="D282">
        <v>100</v>
      </c>
      <c r="E282" t="s">
        <v>17</v>
      </c>
      <c r="F282" s="5">
        <v>43831</v>
      </c>
      <c r="G282" s="5">
        <v>44562</v>
      </c>
      <c r="H282">
        <v>14</v>
      </c>
      <c r="I282">
        <v>9</v>
      </c>
      <c r="J282">
        <f t="shared" si="18"/>
        <v>32</v>
      </c>
      <c r="K282">
        <f t="shared" si="18"/>
        <v>68</v>
      </c>
      <c r="L282">
        <v>10000</v>
      </c>
    </row>
    <row r="283" spans="1:33" hidden="1" x14ac:dyDescent="0.35">
      <c r="A283" s="19">
        <f t="shared" si="16"/>
        <v>282</v>
      </c>
      <c r="B283" t="s">
        <v>7</v>
      </c>
      <c r="C283" t="s">
        <v>3</v>
      </c>
      <c r="D283">
        <v>200</v>
      </c>
      <c r="E283" t="s">
        <v>17</v>
      </c>
      <c r="F283" s="5">
        <v>43831</v>
      </c>
      <c r="G283" s="5">
        <v>44562</v>
      </c>
      <c r="H283">
        <v>14</v>
      </c>
      <c r="I283">
        <v>9</v>
      </c>
      <c r="J283">
        <f t="shared" si="18"/>
        <v>32</v>
      </c>
      <c r="K283">
        <f t="shared" si="18"/>
        <v>68</v>
      </c>
      <c r="L283">
        <v>10000</v>
      </c>
    </row>
    <row r="284" spans="1:33" hidden="1" x14ac:dyDescent="0.35">
      <c r="A284" s="19">
        <f t="shared" si="16"/>
        <v>283</v>
      </c>
      <c r="B284" t="s">
        <v>7</v>
      </c>
      <c r="C284" t="s">
        <v>2</v>
      </c>
      <c r="D284">
        <v>10</v>
      </c>
      <c r="E284" t="s">
        <v>17</v>
      </c>
      <c r="F284" s="5">
        <v>43831</v>
      </c>
      <c r="G284" s="5">
        <v>44562</v>
      </c>
      <c r="H284">
        <v>14</v>
      </c>
      <c r="I284">
        <v>9</v>
      </c>
      <c r="J284">
        <f t="shared" si="18"/>
        <v>32</v>
      </c>
      <c r="K284">
        <f t="shared" si="18"/>
        <v>68</v>
      </c>
      <c r="L284">
        <v>10000</v>
      </c>
    </row>
    <row r="285" spans="1:33" hidden="1" x14ac:dyDescent="0.35">
      <c r="A285" s="19">
        <f t="shared" si="16"/>
        <v>284</v>
      </c>
      <c r="B285" t="s">
        <v>7</v>
      </c>
      <c r="C285" t="s">
        <v>2</v>
      </c>
      <c r="D285">
        <v>100</v>
      </c>
      <c r="E285" t="s">
        <v>17</v>
      </c>
      <c r="F285" s="5">
        <v>43831</v>
      </c>
      <c r="G285" s="5">
        <v>44562</v>
      </c>
      <c r="H285">
        <v>14</v>
      </c>
      <c r="I285">
        <v>9</v>
      </c>
      <c r="J285">
        <f t="shared" si="18"/>
        <v>32</v>
      </c>
      <c r="K285">
        <f t="shared" si="18"/>
        <v>68</v>
      </c>
      <c r="L285">
        <v>10000</v>
      </c>
    </row>
    <row r="286" spans="1:33" hidden="1" x14ac:dyDescent="0.35">
      <c r="A286" s="19">
        <f t="shared" si="16"/>
        <v>285</v>
      </c>
      <c r="B286" t="s">
        <v>7</v>
      </c>
      <c r="C286" t="s">
        <v>2</v>
      </c>
      <c r="D286">
        <v>200</v>
      </c>
      <c r="E286" t="s">
        <v>17</v>
      </c>
      <c r="F286" s="5">
        <v>43831</v>
      </c>
      <c r="G286" s="5">
        <v>44562</v>
      </c>
      <c r="H286">
        <v>14</v>
      </c>
      <c r="I286">
        <v>9</v>
      </c>
      <c r="J286">
        <f t="shared" si="18"/>
        <v>32</v>
      </c>
      <c r="K286">
        <f t="shared" si="18"/>
        <v>68</v>
      </c>
      <c r="L286">
        <v>10000</v>
      </c>
    </row>
    <row r="287" spans="1:33" hidden="1" x14ac:dyDescent="0.35">
      <c r="A287" s="19">
        <f t="shared" si="16"/>
        <v>286</v>
      </c>
      <c r="B287" t="s">
        <v>7</v>
      </c>
      <c r="C287" t="s">
        <v>22</v>
      </c>
      <c r="D287">
        <v>10</v>
      </c>
      <c r="E287" t="s">
        <v>17</v>
      </c>
      <c r="F287" s="5">
        <v>43831</v>
      </c>
      <c r="G287" s="5">
        <v>44562</v>
      </c>
      <c r="H287">
        <v>14</v>
      </c>
      <c r="I287">
        <v>9</v>
      </c>
      <c r="J287">
        <f t="shared" ref="J287:K302" si="19">J314</f>
        <v>32</v>
      </c>
      <c r="K287">
        <f t="shared" si="19"/>
        <v>68</v>
      </c>
      <c r="L287">
        <v>10000</v>
      </c>
    </row>
    <row r="288" spans="1:33" hidden="1" x14ac:dyDescent="0.35">
      <c r="A288" s="19">
        <f t="shared" si="16"/>
        <v>287</v>
      </c>
      <c r="B288" t="s">
        <v>7</v>
      </c>
      <c r="C288" t="s">
        <v>22</v>
      </c>
      <c r="D288">
        <v>100</v>
      </c>
      <c r="E288" t="s">
        <v>17</v>
      </c>
      <c r="F288" s="5">
        <v>43831</v>
      </c>
      <c r="G288" s="5">
        <v>44562</v>
      </c>
      <c r="H288">
        <v>14</v>
      </c>
      <c r="I288">
        <v>9</v>
      </c>
      <c r="J288">
        <f t="shared" si="19"/>
        <v>32</v>
      </c>
      <c r="K288">
        <f t="shared" si="19"/>
        <v>68</v>
      </c>
      <c r="L288">
        <v>10000</v>
      </c>
    </row>
    <row r="289" spans="1:33" hidden="1" x14ac:dyDescent="0.35">
      <c r="A289" s="19">
        <f t="shared" si="16"/>
        <v>288</v>
      </c>
      <c r="B289" t="s">
        <v>7</v>
      </c>
      <c r="C289" t="s">
        <v>22</v>
      </c>
      <c r="D289">
        <v>200</v>
      </c>
      <c r="E289" t="s">
        <v>17</v>
      </c>
      <c r="F289" s="5">
        <v>43831</v>
      </c>
      <c r="G289" s="5">
        <v>44562</v>
      </c>
      <c r="H289">
        <v>14</v>
      </c>
      <c r="I289">
        <v>9</v>
      </c>
      <c r="J289">
        <f t="shared" si="19"/>
        <v>32</v>
      </c>
      <c r="K289">
        <f t="shared" si="19"/>
        <v>68</v>
      </c>
      <c r="L289">
        <v>10000</v>
      </c>
    </row>
    <row r="290" spans="1:33" hidden="1" x14ac:dyDescent="0.35">
      <c r="A290" s="19">
        <f t="shared" si="16"/>
        <v>289</v>
      </c>
      <c r="B290" t="s">
        <v>7</v>
      </c>
      <c r="C290" t="s">
        <v>3</v>
      </c>
      <c r="D290">
        <v>10</v>
      </c>
      <c r="E290" t="s">
        <v>17</v>
      </c>
      <c r="F290" s="5">
        <v>43831</v>
      </c>
      <c r="G290" s="5">
        <v>44562</v>
      </c>
      <c r="H290">
        <v>14</v>
      </c>
      <c r="I290">
        <v>9</v>
      </c>
      <c r="J290">
        <f t="shared" si="19"/>
        <v>28</v>
      </c>
      <c r="K290">
        <f t="shared" si="19"/>
        <v>72</v>
      </c>
      <c r="L290">
        <v>10000</v>
      </c>
    </row>
    <row r="291" spans="1:33" hidden="1" x14ac:dyDescent="0.35">
      <c r="A291" s="19">
        <f t="shared" si="16"/>
        <v>290</v>
      </c>
      <c r="B291" t="s">
        <v>7</v>
      </c>
      <c r="C291" t="s">
        <v>3</v>
      </c>
      <c r="D291">
        <v>100</v>
      </c>
      <c r="E291" t="s">
        <v>17</v>
      </c>
      <c r="F291" s="5">
        <v>43831</v>
      </c>
      <c r="G291" s="5">
        <v>44562</v>
      </c>
      <c r="H291">
        <v>14</v>
      </c>
      <c r="I291">
        <v>9</v>
      </c>
      <c r="J291">
        <f t="shared" si="19"/>
        <v>28</v>
      </c>
      <c r="K291">
        <f t="shared" si="19"/>
        <v>72</v>
      </c>
      <c r="L291">
        <v>10000</v>
      </c>
    </row>
    <row r="292" spans="1:33" hidden="1" x14ac:dyDescent="0.35">
      <c r="A292" s="19">
        <f t="shared" si="16"/>
        <v>291</v>
      </c>
      <c r="B292" t="s">
        <v>7</v>
      </c>
      <c r="C292" t="s">
        <v>3</v>
      </c>
      <c r="D292">
        <v>200</v>
      </c>
      <c r="E292" t="s">
        <v>17</v>
      </c>
      <c r="F292" s="5">
        <v>43831</v>
      </c>
      <c r="G292" s="5">
        <v>44562</v>
      </c>
      <c r="H292">
        <v>14</v>
      </c>
      <c r="I292">
        <v>9</v>
      </c>
      <c r="J292">
        <f t="shared" si="19"/>
        <v>28</v>
      </c>
      <c r="K292">
        <f t="shared" si="19"/>
        <v>72</v>
      </c>
      <c r="L292">
        <v>10000</v>
      </c>
    </row>
    <row r="293" spans="1:33" hidden="1" x14ac:dyDescent="0.35">
      <c r="A293" s="19">
        <f t="shared" si="16"/>
        <v>292</v>
      </c>
      <c r="B293" t="s">
        <v>7</v>
      </c>
      <c r="C293" t="s">
        <v>2</v>
      </c>
      <c r="D293">
        <v>10</v>
      </c>
      <c r="E293" t="s">
        <v>17</v>
      </c>
      <c r="F293" s="5">
        <v>43831</v>
      </c>
      <c r="G293" s="5">
        <v>44562</v>
      </c>
      <c r="H293">
        <v>14</v>
      </c>
      <c r="I293">
        <v>9</v>
      </c>
      <c r="J293">
        <f t="shared" si="19"/>
        <v>28</v>
      </c>
      <c r="K293">
        <f t="shared" si="19"/>
        <v>72</v>
      </c>
      <c r="L293">
        <v>10000</v>
      </c>
    </row>
    <row r="294" spans="1:33" hidden="1" x14ac:dyDescent="0.35">
      <c r="A294" s="19">
        <f t="shared" si="16"/>
        <v>293</v>
      </c>
      <c r="B294" t="s">
        <v>7</v>
      </c>
      <c r="C294" t="s">
        <v>2</v>
      </c>
      <c r="D294">
        <v>100</v>
      </c>
      <c r="E294" t="s">
        <v>17</v>
      </c>
      <c r="F294" s="5">
        <v>43831</v>
      </c>
      <c r="G294" s="5">
        <v>44562</v>
      </c>
      <c r="H294">
        <v>14</v>
      </c>
      <c r="I294">
        <v>9</v>
      </c>
      <c r="J294">
        <f t="shared" si="19"/>
        <v>28</v>
      </c>
      <c r="K294">
        <f t="shared" si="19"/>
        <v>72</v>
      </c>
      <c r="L294">
        <v>10000</v>
      </c>
    </row>
    <row r="295" spans="1:33" hidden="1" x14ac:dyDescent="0.35">
      <c r="A295" s="19">
        <f t="shared" si="16"/>
        <v>294</v>
      </c>
      <c r="B295" t="s">
        <v>7</v>
      </c>
      <c r="C295" t="s">
        <v>2</v>
      </c>
      <c r="D295">
        <v>200</v>
      </c>
      <c r="E295" t="s">
        <v>17</v>
      </c>
      <c r="F295" s="5">
        <v>43831</v>
      </c>
      <c r="G295" s="5">
        <v>44562</v>
      </c>
      <c r="H295">
        <v>14</v>
      </c>
      <c r="I295">
        <v>9</v>
      </c>
      <c r="J295">
        <f t="shared" si="19"/>
        <v>28</v>
      </c>
      <c r="K295">
        <f t="shared" si="19"/>
        <v>72</v>
      </c>
      <c r="L295">
        <v>10000</v>
      </c>
    </row>
    <row r="296" spans="1:33" hidden="1" x14ac:dyDescent="0.35">
      <c r="A296" s="19">
        <f t="shared" si="16"/>
        <v>295</v>
      </c>
      <c r="B296" t="s">
        <v>7</v>
      </c>
      <c r="C296" t="s">
        <v>22</v>
      </c>
      <c r="D296">
        <v>10</v>
      </c>
      <c r="E296" t="s">
        <v>17</v>
      </c>
      <c r="F296" s="5">
        <v>43831</v>
      </c>
      <c r="G296" s="5">
        <v>44562</v>
      </c>
      <c r="H296">
        <v>14</v>
      </c>
      <c r="I296">
        <v>9</v>
      </c>
      <c r="J296">
        <f t="shared" si="19"/>
        <v>28</v>
      </c>
      <c r="K296">
        <f t="shared" si="19"/>
        <v>72</v>
      </c>
      <c r="L296">
        <v>10000</v>
      </c>
    </row>
    <row r="297" spans="1:33" hidden="1" x14ac:dyDescent="0.35">
      <c r="A297" s="19">
        <f t="shared" si="16"/>
        <v>296</v>
      </c>
      <c r="B297" t="s">
        <v>7</v>
      </c>
      <c r="C297" t="s">
        <v>22</v>
      </c>
      <c r="D297">
        <v>100</v>
      </c>
      <c r="E297" t="s">
        <v>17</v>
      </c>
      <c r="F297" s="5">
        <v>43831</v>
      </c>
      <c r="G297" s="5">
        <v>44562</v>
      </c>
      <c r="H297">
        <v>14</v>
      </c>
      <c r="I297">
        <v>9</v>
      </c>
      <c r="J297">
        <f t="shared" si="19"/>
        <v>28</v>
      </c>
      <c r="K297">
        <f t="shared" si="19"/>
        <v>72</v>
      </c>
      <c r="L297">
        <v>10000</v>
      </c>
    </row>
    <row r="298" spans="1:33" hidden="1" x14ac:dyDescent="0.35">
      <c r="A298" s="19">
        <f t="shared" si="16"/>
        <v>297</v>
      </c>
      <c r="B298" t="s">
        <v>7</v>
      </c>
      <c r="C298" t="s">
        <v>22</v>
      </c>
      <c r="D298">
        <v>200</v>
      </c>
      <c r="E298" t="s">
        <v>17</v>
      </c>
      <c r="F298" s="5">
        <v>43831</v>
      </c>
      <c r="G298" s="5">
        <v>44562</v>
      </c>
      <c r="H298">
        <v>14</v>
      </c>
      <c r="I298">
        <v>9</v>
      </c>
      <c r="J298">
        <f t="shared" si="19"/>
        <v>28</v>
      </c>
      <c r="K298">
        <f t="shared" si="19"/>
        <v>72</v>
      </c>
      <c r="L298">
        <v>10000</v>
      </c>
    </row>
    <row r="299" spans="1:33" hidden="1" x14ac:dyDescent="0.35">
      <c r="A299" s="13">
        <f t="shared" si="16"/>
        <v>298</v>
      </c>
      <c r="B299" t="s">
        <v>19</v>
      </c>
      <c r="C299" t="s">
        <v>3</v>
      </c>
      <c r="D299">
        <v>10</v>
      </c>
      <c r="E299" t="s">
        <v>17</v>
      </c>
      <c r="F299" s="5">
        <v>43831</v>
      </c>
      <c r="G299" s="5">
        <v>44562</v>
      </c>
      <c r="H299">
        <v>14</v>
      </c>
      <c r="I299">
        <v>9</v>
      </c>
      <c r="J299">
        <f t="shared" si="19"/>
        <v>30</v>
      </c>
      <c r="K299">
        <f t="shared" si="19"/>
        <v>70</v>
      </c>
      <c r="L299">
        <v>10000</v>
      </c>
      <c r="M299">
        <f>VLOOKUP($A299&amp;M$1,Data!$A$2:$D$5000,4,FALSE)</f>
        <v>1.4999999999999999E-4</v>
      </c>
      <c r="N299">
        <v>-6</v>
      </c>
      <c r="O299">
        <f>VLOOKUP($A299&amp;O$1,Data!$A$2:$D$5000,4,FALSE)</f>
        <v>607</v>
      </c>
      <c r="P299">
        <f>VLOOKUP($A299&amp;P$1,Data!$A$2:$D$5000,4,FALSE)</f>
        <v>1.6999999999999999E-3</v>
      </c>
      <c r="Q299">
        <f>VLOOKUP($A299&amp;Q$1,Data!$A$2:$D$5000,4,FALSE)</f>
        <v>-1.12E-2</v>
      </c>
      <c r="R299">
        <f>VLOOKUP($A299&amp;R$1,Data!$A$2:$D$5000,4,FALSE)</f>
        <v>-0.19323000000000001</v>
      </c>
      <c r="S299">
        <f>VLOOKUP($A299&amp;S$1,Data!$A$2:$D$5000,4,FALSE)</f>
        <v>0.14399999999999999</v>
      </c>
      <c r="T299">
        <f>VLOOKUP($A299&amp;T$1,Data!$A$2:$D$5000,4,FALSE)</f>
        <v>-0.59699999999999998</v>
      </c>
      <c r="U299">
        <f>VLOOKUP($A299&amp;U$1,Data!$A$2:$D$5000,4,FALSE)</f>
        <v>-0.13012000000000001</v>
      </c>
      <c r="V299">
        <f>VLOOKUP($A299&amp;V$1,Data!$A$2:$D$5000,4,FALSE)</f>
        <v>0.65</v>
      </c>
      <c r="W299">
        <f>VLOOKUP($A299&amp;W$1,Data!$A$2:$D$5000,4,FALSE)</f>
        <v>0.35</v>
      </c>
      <c r="X299">
        <f>VLOOKUP($A299&amp;X$1,Data!$A$2:$D$5000,4,FALSE)</f>
        <v>0.15</v>
      </c>
      <c r="Y299">
        <f>VLOOKUP($A299&amp;Y$1,Data!$A$2:$D$5000,4,FALSE)</f>
        <v>-0.11899999999999999</v>
      </c>
      <c r="Z299">
        <f>VLOOKUP($A299&amp;Z$1,Data!$A$2:$D$5000,4,FALSE)</f>
        <v>-0.315</v>
      </c>
      <c r="AA299">
        <f>VLOOKUP($A299&amp;AA$1,Data!$A$2:$D$5000,4,FALSE)</f>
        <v>6.3E-2</v>
      </c>
      <c r="AB299">
        <f>VLOOKUP($A299&amp;AB$1,Data!$A$2:$D$5000,4,FALSE)</f>
        <v>4.0000000000000001E-3</v>
      </c>
      <c r="AC299">
        <f>VLOOKUP($A299&amp;AC$1,Data!$A$2:$D$5000,4,FALSE)</f>
        <v>-1.831</v>
      </c>
      <c r="AD299">
        <f>VLOOKUP($A299&amp;AD$1,Data!$A$2:$D$5000,4,FALSE)</f>
        <v>0.106</v>
      </c>
      <c r="AE299">
        <f>VLOOKUP($A299&amp;AE$1,Data!$A$2:$D$5000,4,FALSE)</f>
        <v>0.434</v>
      </c>
      <c r="AF299">
        <f>VLOOKUP($A299&amp;AF$1,Data!$A$2:$D$5000,4,FALSE)</f>
        <v>0</v>
      </c>
      <c r="AG299">
        <f>VLOOKUP($A299&amp;AG$1,Data!$A$2:$D$5000,4,FALSE)</f>
        <v>270000000</v>
      </c>
    </row>
    <row r="300" spans="1:33" hidden="1" x14ac:dyDescent="0.35">
      <c r="A300" s="13">
        <f t="shared" si="16"/>
        <v>299</v>
      </c>
      <c r="B300" t="s">
        <v>19</v>
      </c>
      <c r="C300" t="s">
        <v>3</v>
      </c>
      <c r="D300">
        <v>100</v>
      </c>
      <c r="E300" t="s">
        <v>17</v>
      </c>
      <c r="F300" s="5">
        <v>43831</v>
      </c>
      <c r="G300" s="5">
        <v>44562</v>
      </c>
      <c r="H300">
        <v>14</v>
      </c>
      <c r="I300">
        <v>9</v>
      </c>
      <c r="J300">
        <f t="shared" si="19"/>
        <v>30</v>
      </c>
      <c r="K300">
        <f t="shared" si="19"/>
        <v>70</v>
      </c>
      <c r="L300">
        <v>10000</v>
      </c>
      <c r="M300">
        <f>VLOOKUP($A300&amp;M$1,Data!$A$2:$D$5000,4,FALSE)</f>
        <v>1.0840000000000001E-2</v>
      </c>
      <c r="N300">
        <f>VLOOKUP($A300&amp;N$1,Data!$A$2:$D$5000,4,FALSE)</f>
        <v>-0.71799999999999997</v>
      </c>
      <c r="O300">
        <f>VLOOKUP($A300&amp;O$1,Data!$A$2:$D$5000,4,FALSE)</f>
        <v>563</v>
      </c>
      <c r="P300">
        <f>VLOOKUP($A300&amp;P$1,Data!$A$2:$D$5000,4,FALSE)</f>
        <v>4.8599999999999997E-2</v>
      </c>
      <c r="Q300">
        <f>VLOOKUP($A300&amp;Q$1,Data!$A$2:$D$5000,4,FALSE)</f>
        <v>-7.2900000000000006E-2</v>
      </c>
      <c r="R300">
        <f>VLOOKUP($A300&amp;R$1,Data!$A$2:$D$5000,4,FALSE)</f>
        <v>-0.95528000000000002</v>
      </c>
      <c r="S300">
        <f>VLOOKUP($A300&amp;S$1,Data!$A$2:$D$5000,4,FALSE)</f>
        <v>0.90400000000000003</v>
      </c>
      <c r="T300">
        <f>VLOOKUP($A300&amp;T$1,Data!$A$2:$D$5000,4,FALSE)</f>
        <v>-0.69699999999999995</v>
      </c>
      <c r="U300">
        <f>VLOOKUP($A300&amp;U$1,Data!$A$2:$D$5000,4,FALSE)</f>
        <v>-0.86697999999999997</v>
      </c>
      <c r="V300">
        <f>VLOOKUP($A300&amp;V$1,Data!$A$2:$D$5000,4,FALSE)</f>
        <v>0.82</v>
      </c>
      <c r="W300">
        <f>VLOOKUP($A300&amp;W$1,Data!$A$2:$D$5000,4,FALSE)</f>
        <v>0.18</v>
      </c>
      <c r="X300">
        <f>VLOOKUP($A300&amp;X$1,Data!$A$2:$D$5000,4,FALSE)</f>
        <v>0.67</v>
      </c>
      <c r="Y300">
        <f>VLOOKUP($A300&amp;Y$1,Data!$A$2:$D$5000,4,FALSE)</f>
        <v>-0.49199999999999999</v>
      </c>
      <c r="Z300">
        <f>VLOOKUP($A300&amp;Z$1,Data!$A$2:$D$5000,4,FALSE)</f>
        <v>-5.2329999999999997</v>
      </c>
      <c r="AA300">
        <f>VLOOKUP($A300&amp;AA$1,Data!$A$2:$D$5000,4,FALSE)</f>
        <v>1.0920000000000001</v>
      </c>
      <c r="AB300">
        <f>VLOOKUP($A300&amp;AB$1,Data!$A$2:$D$5000,4,FALSE)</f>
        <v>1.194</v>
      </c>
      <c r="AC300">
        <f>VLOOKUP($A300&amp;AC$1,Data!$A$2:$D$5000,4,FALSE)</f>
        <v>-0.753</v>
      </c>
      <c r="AD300">
        <f>VLOOKUP($A300&amp;AD$1,Data!$A$2:$D$5000,4,FALSE)</f>
        <v>1.1160000000000001</v>
      </c>
      <c r="AE300">
        <f>VLOOKUP($A300&amp;AE$1,Data!$A$2:$D$5000,4,FALSE)</f>
        <v>0.15</v>
      </c>
      <c r="AF300">
        <f>VLOOKUP($A300&amp;AF$1,Data!$A$2:$D$5000,4,FALSE)</f>
        <v>0</v>
      </c>
      <c r="AG300">
        <f>VLOOKUP($A300&amp;AG$1,Data!$A$2:$D$5000,4,FALSE)</f>
        <v>4800000</v>
      </c>
    </row>
    <row r="301" spans="1:33" hidden="1" x14ac:dyDescent="0.35">
      <c r="A301" s="13">
        <f t="shared" si="16"/>
        <v>300</v>
      </c>
      <c r="B301" t="s">
        <v>19</v>
      </c>
      <c r="C301" t="s">
        <v>3</v>
      </c>
      <c r="D301">
        <v>200</v>
      </c>
      <c r="E301" t="s">
        <v>17</v>
      </c>
      <c r="F301" s="5">
        <v>43831</v>
      </c>
      <c r="G301" s="5">
        <v>44562</v>
      </c>
      <c r="H301">
        <v>14</v>
      </c>
      <c r="I301">
        <v>9</v>
      </c>
      <c r="J301">
        <f t="shared" si="19"/>
        <v>30</v>
      </c>
      <c r="K301">
        <f t="shared" si="19"/>
        <v>70</v>
      </c>
      <c r="L301">
        <v>10000</v>
      </c>
      <c r="M301">
        <f>VLOOKUP($A301&amp;M$1,Data!$A$2:$D$5000,4,FALSE)</f>
        <v>1.8700000000000001E-2</v>
      </c>
      <c r="N301">
        <f>VLOOKUP($A301&amp;N$1,Data!$A$2:$D$5000,4,FALSE)</f>
        <v>-0.60499999999999998</v>
      </c>
      <c r="O301">
        <f>VLOOKUP($A301&amp;O$1,Data!$A$2:$D$5000,4,FALSE)</f>
        <v>516</v>
      </c>
      <c r="P301">
        <f>VLOOKUP($A301&amp;P$1,Data!$A$2:$D$5000,4,FALSE)</f>
        <v>3.7199999999999997E-2</v>
      </c>
      <c r="Q301">
        <f>VLOOKUP($A301&amp;Q$1,Data!$A$2:$D$5000,4,FALSE)</f>
        <v>-7.4499999999999997E-2</v>
      </c>
      <c r="R301">
        <f>VLOOKUP($A301&amp;R$1,Data!$A$2:$D$5000,4,FALSE)</f>
        <v>-0.96596000000000004</v>
      </c>
      <c r="S301">
        <f>VLOOKUP($A301&amp;S$1,Data!$A$2:$D$5000,4,FALSE)</f>
        <v>0.93700000000000006</v>
      </c>
      <c r="T301">
        <f>VLOOKUP($A301&amp;T$1,Data!$A$2:$D$5000,4,FALSE)</f>
        <v>-0.7</v>
      </c>
      <c r="U301">
        <f>VLOOKUP($A301&amp;U$1,Data!$A$2:$D$5000,4,FALSE)</f>
        <v>-0.88858999999999999</v>
      </c>
      <c r="V301">
        <f>VLOOKUP($A301&amp;V$1,Data!$A$2:$D$5000,4,FALSE)</f>
        <v>0.8</v>
      </c>
      <c r="W301">
        <f>VLOOKUP($A301&amp;W$1,Data!$A$2:$D$5000,4,FALSE)</f>
        <v>0.2</v>
      </c>
      <c r="X301">
        <f>VLOOKUP($A301&amp;X$1,Data!$A$2:$D$5000,4,FALSE)</f>
        <v>0.5</v>
      </c>
      <c r="Y301">
        <f>VLOOKUP($A301&amp;Y$1,Data!$A$2:$D$5000,4,FALSE)</f>
        <v>-0.40100000000000002</v>
      </c>
      <c r="Z301">
        <f>VLOOKUP($A301&amp;Z$1,Data!$A$2:$D$5000,4,FALSE)</f>
        <v>-6.6820000000000004</v>
      </c>
      <c r="AA301">
        <f>VLOOKUP($A301&amp;AA$1,Data!$A$2:$D$5000,4,FALSE)</f>
        <v>1.28</v>
      </c>
      <c r="AB301">
        <f>VLOOKUP($A301&amp;AB$1,Data!$A$2:$D$5000,4,FALSE)</f>
        <v>1.6379999999999999</v>
      </c>
      <c r="AC301">
        <f>VLOOKUP($A301&amp;AC$1,Data!$A$2:$D$5000,4,FALSE)</f>
        <v>-0.63600000000000001</v>
      </c>
      <c r="AD301">
        <f>VLOOKUP($A301&amp;AD$1,Data!$A$2:$D$5000,4,FALSE)</f>
        <v>1.3049999999999999</v>
      </c>
      <c r="AE301">
        <f>VLOOKUP($A301&amp;AE$1,Data!$A$2:$D$5000,4,FALSE)</f>
        <v>0.11600000000000001</v>
      </c>
      <c r="AF301">
        <f>VLOOKUP($A301&amp;AF$1,Data!$A$2:$D$5000,4,FALSE)</f>
        <v>0</v>
      </c>
      <c r="AG301">
        <f>VLOOKUP($A301&amp;AG$1,Data!$A$2:$D$5000,4,FALSE)</f>
        <v>1800000</v>
      </c>
    </row>
    <row r="302" spans="1:33" hidden="1" x14ac:dyDescent="0.35">
      <c r="A302" s="13">
        <f t="shared" si="16"/>
        <v>301</v>
      </c>
      <c r="B302" t="s">
        <v>19</v>
      </c>
      <c r="C302" t="s">
        <v>2</v>
      </c>
      <c r="D302">
        <v>10</v>
      </c>
      <c r="E302" t="s">
        <v>17</v>
      </c>
      <c r="F302" s="5">
        <v>43831</v>
      </c>
      <c r="G302" s="5">
        <v>44562</v>
      </c>
      <c r="H302">
        <v>14</v>
      </c>
      <c r="I302">
        <v>9</v>
      </c>
      <c r="J302">
        <f t="shared" si="19"/>
        <v>30</v>
      </c>
      <c r="K302">
        <f t="shared" si="19"/>
        <v>70</v>
      </c>
      <c r="L302">
        <v>10000</v>
      </c>
      <c r="M302">
        <f>VLOOKUP($A302&amp;M$1,Data!$A$2:$D$5000,4,FALSE)</f>
        <v>0.60328999999999999</v>
      </c>
      <c r="N302">
        <f>VLOOKUP($A302&amp;N$1,Data!$A$2:$D$5000,4,FALSE)</f>
        <v>1.349</v>
      </c>
      <c r="O302">
        <f>VLOOKUP($A302&amp;O$1,Data!$A$2:$D$5000,4,FALSE)</f>
        <v>359</v>
      </c>
      <c r="P302">
        <f>VLOOKUP($A302&amp;P$1,Data!$A$2:$D$5000,4,FALSE)</f>
        <v>2.1100000000000001E-2</v>
      </c>
      <c r="Q302">
        <f>VLOOKUP($A302&amp;Q$1,Data!$A$2:$D$5000,4,FALSE)</f>
        <v>-5.7000000000000002E-3</v>
      </c>
      <c r="R302">
        <f>VLOOKUP($A302&amp;R$1,Data!$A$2:$D$5000,4,FALSE)</f>
        <v>0.23871999999999999</v>
      </c>
      <c r="S302">
        <f>VLOOKUP($A302&amp;S$1,Data!$A$2:$D$5000,4,FALSE)</f>
        <v>8.1000000000000003E-2</v>
      </c>
      <c r="T302">
        <f>VLOOKUP($A302&amp;T$1,Data!$A$2:$D$5000,4,FALSE)</f>
        <v>2.8580000000000001</v>
      </c>
      <c r="U302">
        <f>VLOOKUP($A302&amp;U$1,Data!$A$2:$D$5000,4,FALSE)</f>
        <v>0.14910000000000001</v>
      </c>
      <c r="V302">
        <f>VLOOKUP($A302&amp;V$1,Data!$A$2:$D$5000,4,FALSE)</f>
        <v>0.18</v>
      </c>
      <c r="W302">
        <f>VLOOKUP($A302&amp;W$1,Data!$A$2:$D$5000,4,FALSE)</f>
        <v>0.82</v>
      </c>
      <c r="X302">
        <f>VLOOKUP($A302&amp;X$1,Data!$A$2:$D$5000,4,FALSE)</f>
        <v>3.71</v>
      </c>
      <c r="Y302">
        <f>VLOOKUP($A302&amp;Y$1,Data!$A$2:$D$5000,4,FALSE)</f>
        <v>0.19600000000000001</v>
      </c>
      <c r="Z302">
        <f>VLOOKUP($A302&amp;Z$1,Data!$A$2:$D$5000,4,FALSE)</f>
        <v>-0.48699999999999999</v>
      </c>
      <c r="AA302">
        <f>VLOOKUP($A302&amp;AA$1,Data!$A$2:$D$5000,4,FALSE)</f>
        <v>0.125</v>
      </c>
      <c r="AB302">
        <f>VLOOKUP($A302&amp;AB$1,Data!$A$2:$D$5000,4,FALSE)</f>
        <v>1.6E-2</v>
      </c>
      <c r="AC302">
        <f>VLOOKUP($A302&amp;AC$1,Data!$A$2:$D$5000,4,FALSE)</f>
        <v>0.72199999999999998</v>
      </c>
      <c r="AD302">
        <f>VLOOKUP($A302&amp;AD$1,Data!$A$2:$D$5000,4,FALSE)</f>
        <v>0.157</v>
      </c>
      <c r="AE302">
        <f>VLOOKUP($A302&amp;AE$1,Data!$A$2:$D$5000,4,FALSE)</f>
        <v>-0.34699999999999998</v>
      </c>
      <c r="AF302">
        <f>VLOOKUP($A302&amp;AF$1,Data!$A$2:$D$5000,4,FALSE)</f>
        <v>0</v>
      </c>
      <c r="AG302">
        <f>VLOOKUP($A302&amp;AG$1,Data!$A$2:$D$5000,4,FALSE)</f>
        <v>3400000</v>
      </c>
    </row>
    <row r="303" spans="1:33" x14ac:dyDescent="0.35">
      <c r="A303" s="13">
        <f t="shared" si="16"/>
        <v>302</v>
      </c>
      <c r="B303" t="s">
        <v>19</v>
      </c>
      <c r="C303" t="s">
        <v>2</v>
      </c>
      <c r="D303">
        <v>100</v>
      </c>
      <c r="E303" t="s">
        <v>17</v>
      </c>
      <c r="F303" s="5">
        <v>43831</v>
      </c>
      <c r="G303" s="5">
        <v>44562</v>
      </c>
      <c r="H303">
        <v>14</v>
      </c>
      <c r="I303">
        <v>9</v>
      </c>
      <c r="J303">
        <f t="shared" ref="J303:K318" si="20">J330</f>
        <v>30</v>
      </c>
      <c r="K303">
        <f t="shared" si="20"/>
        <v>70</v>
      </c>
      <c r="L303">
        <v>10000</v>
      </c>
      <c r="M303">
        <f>VLOOKUP($A303&amp;M$1,Data!$A$2:$D$5000,4,FALSE)</f>
        <v>0.74778</v>
      </c>
      <c r="N303">
        <f>VLOOKUP($A303&amp;N$1,Data!$A$2:$D$5000,4,FALSE)</f>
        <v>3.0630000000000002</v>
      </c>
      <c r="O303">
        <f>VLOOKUP($A303&amp;O$1,Data!$A$2:$D$5000,4,FALSE)</f>
        <v>356</v>
      </c>
      <c r="P303">
        <f>VLOOKUP($A303&amp;P$1,Data!$A$2:$D$5000,4,FALSE)</f>
        <v>0.1363</v>
      </c>
      <c r="Q303">
        <f>VLOOKUP($A303&amp;Q$1,Data!$A$2:$D$5000,4,FALSE)</f>
        <v>-2.9899999999999999E-2</v>
      </c>
      <c r="R303">
        <f>VLOOKUP($A303&amp;R$1,Data!$A$2:$D$5000,4,FALSE)</f>
        <v>2.8816700000000002</v>
      </c>
      <c r="S303">
        <f>VLOOKUP($A303&amp;S$1,Data!$A$2:$D$5000,4,FALSE)</f>
        <v>0.33300000000000002</v>
      </c>
      <c r="T303">
        <f>VLOOKUP($A303&amp;T$1,Data!$A$2:$D$5000,4,FALSE)</f>
        <v>3.1669999999999998</v>
      </c>
      <c r="U303">
        <f>VLOOKUP($A303&amp;U$1,Data!$A$2:$D$5000,4,FALSE)</f>
        <v>1.41208</v>
      </c>
      <c r="V303">
        <f>VLOOKUP($A303&amp;V$1,Data!$A$2:$D$5000,4,FALSE)</f>
        <v>0.25</v>
      </c>
      <c r="W303">
        <f>VLOOKUP($A303&amp;W$1,Data!$A$2:$D$5000,4,FALSE)</f>
        <v>0.75</v>
      </c>
      <c r="X303">
        <f>VLOOKUP($A303&amp;X$1,Data!$A$2:$D$5000,4,FALSE)</f>
        <v>4.5599999999999996</v>
      </c>
      <c r="Y303">
        <f>VLOOKUP($A303&amp;Y$1,Data!$A$2:$D$5000,4,FALSE)</f>
        <v>2.48</v>
      </c>
      <c r="Z303">
        <f>VLOOKUP($A303&amp;Z$1,Data!$A$2:$D$5000,4,FALSE)</f>
        <v>-2.8119999999999998</v>
      </c>
      <c r="AA303">
        <f>VLOOKUP($A303&amp;AA$1,Data!$A$2:$D$5000,4,FALSE)</f>
        <v>0.75800000000000001</v>
      </c>
      <c r="AB303">
        <f>VLOOKUP($A303&amp;AB$1,Data!$A$2:$D$5000,4,FALSE)</f>
        <v>0.57499999999999996</v>
      </c>
      <c r="AC303">
        <f>VLOOKUP($A303&amp;AC$1,Data!$A$2:$D$5000,4,FALSE)</f>
        <v>2.915</v>
      </c>
      <c r="AD303">
        <f>VLOOKUP($A303&amp;AD$1,Data!$A$2:$D$5000,4,FALSE)</f>
        <v>0.77800000000000002</v>
      </c>
      <c r="AE303">
        <f>VLOOKUP($A303&amp;AE$1,Data!$A$2:$D$5000,4,FALSE)</f>
        <v>-0.82599999999999996</v>
      </c>
      <c r="AF303">
        <f>VLOOKUP($A303&amp;AF$1,Data!$A$2:$D$5000,4,FALSE)</f>
        <v>0</v>
      </c>
      <c r="AG303">
        <f>VLOOKUP($A303&amp;AG$1,Data!$A$2:$D$5000,4,FALSE)</f>
        <v>820000</v>
      </c>
    </row>
    <row r="304" spans="1:33" x14ac:dyDescent="0.35">
      <c r="A304" s="13">
        <f t="shared" ref="A304:A367" si="21">A303+1</f>
        <v>303</v>
      </c>
      <c r="B304" t="s">
        <v>19</v>
      </c>
      <c r="C304" t="s">
        <v>2</v>
      </c>
      <c r="D304">
        <v>200</v>
      </c>
      <c r="E304" t="s">
        <v>17</v>
      </c>
      <c r="F304" s="5">
        <v>43831</v>
      </c>
      <c r="G304" s="5">
        <v>44562</v>
      </c>
      <c r="H304">
        <v>14</v>
      </c>
      <c r="I304">
        <v>9</v>
      </c>
      <c r="J304">
        <f t="shared" si="20"/>
        <v>30</v>
      </c>
      <c r="K304">
        <f t="shared" si="20"/>
        <v>70</v>
      </c>
      <c r="L304">
        <v>10000</v>
      </c>
      <c r="M304">
        <f>VLOOKUP($A304&amp;M$1,Data!$A$2:$D$5000,4,FALSE)</f>
        <v>0.80601</v>
      </c>
      <c r="N304">
        <f>VLOOKUP($A304&amp;N$1,Data!$A$2:$D$5000,4,FALSE)</f>
        <v>4.9080000000000004</v>
      </c>
      <c r="O304">
        <f>VLOOKUP($A304&amp;O$1,Data!$A$2:$D$5000,4,FALSE)</f>
        <v>337</v>
      </c>
      <c r="P304">
        <f>VLOOKUP($A304&amp;P$1,Data!$A$2:$D$5000,4,FALSE)</f>
        <v>0.19209999999999999</v>
      </c>
      <c r="Q304">
        <f>VLOOKUP($A304&amp;Q$1,Data!$A$2:$D$5000,4,FALSE)</f>
        <v>-4.3999999999999997E-2</v>
      </c>
      <c r="R304">
        <f>VLOOKUP($A304&amp;R$1,Data!$A$2:$D$5000,4,FALSE)</f>
        <v>5.8189000000000002</v>
      </c>
      <c r="S304">
        <f>VLOOKUP($A304&amp;S$1,Data!$A$2:$D$5000,4,FALSE)</f>
        <v>0.436</v>
      </c>
      <c r="T304">
        <f>VLOOKUP($A304&amp;T$1,Data!$A$2:$D$5000,4,FALSE)</f>
        <v>3.3889999999999998</v>
      </c>
      <c r="U304">
        <f>VLOOKUP($A304&amp;U$1,Data!$A$2:$D$5000,4,FALSE)</f>
        <v>2.4773499999999999</v>
      </c>
      <c r="V304">
        <f>VLOOKUP($A304&amp;V$1,Data!$A$2:$D$5000,4,FALSE)</f>
        <v>0.18</v>
      </c>
      <c r="W304">
        <f>VLOOKUP($A304&amp;W$1,Data!$A$2:$D$5000,4,FALSE)</f>
        <v>0.82</v>
      </c>
      <c r="X304">
        <f>VLOOKUP($A304&amp;X$1,Data!$A$2:$D$5000,4,FALSE)</f>
        <v>4.3600000000000003</v>
      </c>
      <c r="Y304">
        <f>VLOOKUP($A304&amp;Y$1,Data!$A$2:$D$5000,4,FALSE)</f>
        <v>5.2949999999999999</v>
      </c>
      <c r="Z304">
        <f>VLOOKUP($A304&amp;Z$1,Data!$A$2:$D$5000,4,FALSE)</f>
        <v>-4.1369999999999996</v>
      </c>
      <c r="AA304">
        <f>VLOOKUP($A304&amp;AA$1,Data!$A$2:$D$5000,4,FALSE)</f>
        <v>1.032</v>
      </c>
      <c r="AB304">
        <f>VLOOKUP($A304&amp;AB$1,Data!$A$2:$D$5000,4,FALSE)</f>
        <v>1.0649999999999999</v>
      </c>
      <c r="AC304">
        <f>VLOOKUP($A304&amp;AC$1,Data!$A$2:$D$5000,4,FALSE)</f>
        <v>4.7619999999999996</v>
      </c>
      <c r="AD304">
        <f>VLOOKUP($A304&amp;AD$1,Data!$A$2:$D$5000,4,FALSE)</f>
        <v>1.052</v>
      </c>
      <c r="AE304">
        <f>VLOOKUP($A304&amp;AE$1,Data!$A$2:$D$5000,4,FALSE)</f>
        <v>-1.224</v>
      </c>
      <c r="AF304">
        <f>VLOOKUP($A304&amp;AF$1,Data!$A$2:$D$5000,4,FALSE)</f>
        <v>0</v>
      </c>
      <c r="AG304">
        <f>VLOOKUP($A304&amp;AG$1,Data!$A$2:$D$5000,4,FALSE)</f>
        <v>630000</v>
      </c>
    </row>
    <row r="305" spans="1:33" hidden="1" x14ac:dyDescent="0.35">
      <c r="A305" s="13">
        <f t="shared" si="21"/>
        <v>304</v>
      </c>
      <c r="B305" t="s">
        <v>19</v>
      </c>
      <c r="C305" t="s">
        <v>22</v>
      </c>
      <c r="D305">
        <v>10</v>
      </c>
      <c r="E305" t="s">
        <v>17</v>
      </c>
      <c r="F305" s="5">
        <v>43831</v>
      </c>
      <c r="G305" s="5">
        <v>44562</v>
      </c>
      <c r="H305">
        <v>14</v>
      </c>
      <c r="I305">
        <v>9</v>
      </c>
      <c r="J305">
        <f t="shared" si="20"/>
        <v>30</v>
      </c>
      <c r="K305">
        <f t="shared" si="20"/>
        <v>70</v>
      </c>
      <c r="L305">
        <v>10000</v>
      </c>
      <c r="M305">
        <f>VLOOKUP($A305&amp;M$1,Data!$A$2:$D$5000,4,FALSE)</f>
        <v>0.52046999999999999</v>
      </c>
      <c r="N305">
        <f>VLOOKUP($A305&amp;N$1,Data!$A$2:$D$5000,4,FALSE)</f>
        <v>1.107</v>
      </c>
      <c r="O305">
        <f>VLOOKUP($A305&amp;O$1,Data!$A$2:$D$5000,4,FALSE)</f>
        <v>254</v>
      </c>
      <c r="P305">
        <f>VLOOKUP($A305&amp;P$1,Data!$A$2:$D$5000,4,FALSE)</f>
        <v>1.9699999999999999E-2</v>
      </c>
      <c r="Q305">
        <f>VLOOKUP($A305&amp;Q$1,Data!$A$2:$D$5000,4,FALSE)</f>
        <v>-1.2699999999999999E-2</v>
      </c>
      <c r="R305">
        <f>VLOOKUP($A305&amp;R$1,Data!$A$2:$D$5000,4,FALSE)</f>
        <v>0.15318000000000001</v>
      </c>
      <c r="S305">
        <f>VLOOKUP($A305&amp;S$1,Data!$A$2:$D$5000,4,FALSE)</f>
        <v>6.8000000000000005E-2</v>
      </c>
      <c r="T305">
        <f>VLOOKUP($A305&amp;T$1,Data!$A$2:$D$5000,4,FALSE)</f>
        <v>0.91300000000000003</v>
      </c>
      <c r="U305">
        <f>VLOOKUP($A305&amp;U$1,Data!$A$2:$D$5000,4,FALSE)</f>
        <v>9.6939999999999998E-2</v>
      </c>
      <c r="V305">
        <f>VLOOKUP($A305&amp;V$1,Data!$A$2:$D$5000,4,FALSE)</f>
        <v>0.25</v>
      </c>
      <c r="W305">
        <f>VLOOKUP($A305&amp;W$1,Data!$A$2:$D$5000,4,FALSE)</f>
        <v>0.75</v>
      </c>
      <c r="X305">
        <f>VLOOKUP($A305&amp;X$1,Data!$A$2:$D$5000,4,FALSE)</f>
        <v>1.55</v>
      </c>
      <c r="Y305">
        <f>VLOOKUP($A305&amp;Y$1,Data!$A$2:$D$5000,4,FALSE)</f>
        <v>0.127</v>
      </c>
      <c r="Z305">
        <f>VLOOKUP($A305&amp;Z$1,Data!$A$2:$D$5000,4,FALSE)</f>
        <v>-0.32700000000000001</v>
      </c>
      <c r="AA305">
        <f>VLOOKUP($A305&amp;AA$1,Data!$A$2:$D$5000,4,FALSE)</f>
        <v>9.9000000000000005E-2</v>
      </c>
      <c r="AB305">
        <f>VLOOKUP($A305&amp;AB$1,Data!$A$2:$D$5000,4,FALSE)</f>
        <v>0.01</v>
      </c>
      <c r="AC305">
        <f>VLOOKUP($A305&amp;AC$1,Data!$A$2:$D$5000,4,FALSE)</f>
        <v>0.40699999999999997</v>
      </c>
      <c r="AD305">
        <f>VLOOKUP($A305&amp;AD$1,Data!$A$2:$D$5000,4,FALSE)</f>
        <v>0.13100000000000001</v>
      </c>
      <c r="AE305">
        <f>VLOOKUP($A305&amp;AE$1,Data!$A$2:$D$5000,4,FALSE)</f>
        <v>-0.33400000000000002</v>
      </c>
      <c r="AF305">
        <f>VLOOKUP($A305&amp;AF$1,Data!$A$2:$D$5000,4,FALSE)</f>
        <v>0</v>
      </c>
      <c r="AG305">
        <f>VLOOKUP($A305&amp;AG$1,Data!$A$2:$D$5000,4,FALSE)</f>
        <v>140000000</v>
      </c>
    </row>
    <row r="306" spans="1:33" hidden="1" x14ac:dyDescent="0.35">
      <c r="A306" s="13">
        <f t="shared" si="21"/>
        <v>305</v>
      </c>
      <c r="B306" t="s">
        <v>19</v>
      </c>
      <c r="C306" t="s">
        <v>22</v>
      </c>
      <c r="D306">
        <v>100</v>
      </c>
      <c r="E306" t="s">
        <v>17</v>
      </c>
      <c r="F306" s="5">
        <v>43831</v>
      </c>
      <c r="G306" s="5">
        <v>44562</v>
      </c>
      <c r="H306">
        <v>14</v>
      </c>
      <c r="I306">
        <v>9</v>
      </c>
      <c r="J306">
        <f t="shared" si="20"/>
        <v>30</v>
      </c>
      <c r="K306">
        <f t="shared" si="20"/>
        <v>70</v>
      </c>
      <c r="L306">
        <v>10000</v>
      </c>
      <c r="M306">
        <f>VLOOKUP($A306&amp;M$1,Data!$A$2:$D$5000,4,FALSE)</f>
        <v>0.58925000000000005</v>
      </c>
      <c r="N306">
        <f>VLOOKUP($A306&amp;N$1,Data!$A$2:$D$5000,4,FALSE)</f>
        <v>1.9410000000000001</v>
      </c>
      <c r="O306">
        <f>VLOOKUP($A306&amp;O$1,Data!$A$2:$D$5000,4,FALSE)</f>
        <v>247</v>
      </c>
      <c r="P306">
        <f>VLOOKUP($A306&amp;P$1,Data!$A$2:$D$5000,4,FALSE)</f>
        <v>0.1709</v>
      </c>
      <c r="Q306">
        <f>VLOOKUP($A306&amp;Q$1,Data!$A$2:$D$5000,4,FALSE)</f>
        <v>-0.12039999999999999</v>
      </c>
      <c r="R306">
        <f>VLOOKUP($A306&amp;R$1,Data!$A$2:$D$5000,4,FALSE)</f>
        <v>1.5089600000000001</v>
      </c>
      <c r="S306">
        <f>VLOOKUP($A306&amp;S$1,Data!$A$2:$D$5000,4,FALSE)</f>
        <v>0.40500000000000003</v>
      </c>
      <c r="T306">
        <f>VLOOKUP($A306&amp;T$1,Data!$A$2:$D$5000,4,FALSE)</f>
        <v>0.81499999999999995</v>
      </c>
      <c r="U306">
        <f>VLOOKUP($A306&amp;U$1,Data!$A$2:$D$5000,4,FALSE)</f>
        <v>0.81698999999999999</v>
      </c>
      <c r="V306">
        <f>VLOOKUP($A306&amp;V$1,Data!$A$2:$D$5000,4,FALSE)</f>
        <v>0.25</v>
      </c>
      <c r="W306">
        <f>VLOOKUP($A306&amp;W$1,Data!$A$2:$D$5000,4,FALSE)</f>
        <v>0.75</v>
      </c>
      <c r="X306">
        <f>VLOOKUP($A306&amp;X$1,Data!$A$2:$D$5000,4,FALSE)</f>
        <v>1.42</v>
      </c>
      <c r="Y306">
        <f>VLOOKUP($A306&amp;Y$1,Data!$A$2:$D$5000,4,FALSE)</f>
        <v>1.5820000000000001</v>
      </c>
      <c r="Z306">
        <f>VLOOKUP($A306&amp;Z$1,Data!$A$2:$D$5000,4,FALSE)</f>
        <v>-2.6960000000000002</v>
      </c>
      <c r="AA306">
        <f>VLOOKUP($A306&amp;AA$1,Data!$A$2:$D$5000,4,FALSE)</f>
        <v>0.73599999999999999</v>
      </c>
      <c r="AB306">
        <f>VLOOKUP($A306&amp;AB$1,Data!$A$2:$D$5000,4,FALSE)</f>
        <v>0.54100000000000004</v>
      </c>
      <c r="AC306">
        <f>VLOOKUP($A306&amp;AC$1,Data!$A$2:$D$5000,4,FALSE)</f>
        <v>1.8160000000000001</v>
      </c>
      <c r="AD306">
        <f>VLOOKUP($A306&amp;AD$1,Data!$A$2:$D$5000,4,FALSE)</f>
        <v>0.755</v>
      </c>
      <c r="AE306">
        <f>VLOOKUP($A306&amp;AE$1,Data!$A$2:$D$5000,4,FALSE)</f>
        <v>-0.53</v>
      </c>
      <c r="AF306">
        <f>VLOOKUP($A306&amp;AF$1,Data!$A$2:$D$5000,4,FALSE)</f>
        <v>0</v>
      </c>
      <c r="AG306">
        <f>VLOOKUP($A306&amp;AG$1,Data!$A$2:$D$5000,4,FALSE)</f>
        <v>24000000</v>
      </c>
    </row>
    <row r="307" spans="1:33" hidden="1" x14ac:dyDescent="0.35">
      <c r="A307" s="13">
        <f t="shared" si="21"/>
        <v>306</v>
      </c>
      <c r="B307" t="s">
        <v>19</v>
      </c>
      <c r="C307" t="s">
        <v>22</v>
      </c>
      <c r="D307">
        <v>200</v>
      </c>
      <c r="E307" t="s">
        <v>17</v>
      </c>
      <c r="F307" s="5">
        <v>43831</v>
      </c>
      <c r="G307" s="5">
        <v>44562</v>
      </c>
      <c r="H307">
        <v>14</v>
      </c>
      <c r="I307">
        <v>9</v>
      </c>
      <c r="J307">
        <f t="shared" si="20"/>
        <v>30</v>
      </c>
      <c r="K307">
        <f t="shared" si="20"/>
        <v>70</v>
      </c>
      <c r="L307">
        <v>10000</v>
      </c>
      <c r="M307">
        <f>VLOOKUP($A307&amp;M$1,Data!$A$2:$D$5000,4,FALSE)</f>
        <v>0.32034000000000001</v>
      </c>
      <c r="N307">
        <f>VLOOKUP($A307&amp;N$1,Data!$A$2:$D$5000,4,FALSE)</f>
        <v>0.69</v>
      </c>
      <c r="V307">
        <f>VLOOKUP($A307&amp;V$1,Data!$A$2:$D$5000,4,FALSE)</f>
        <v>0.8</v>
      </c>
      <c r="W307">
        <f>VLOOKUP($A307&amp;W$1,Data!$A$2:$D$5000,4,FALSE)</f>
        <v>0.2</v>
      </c>
      <c r="X307">
        <f>VLOOKUP($A307&amp;X$1,Data!$A$2:$D$5000,4,FALSE)</f>
        <v>5.0199999999999996</v>
      </c>
      <c r="Y307">
        <f>VLOOKUP($A307&amp;Y$1,Data!$A$2:$D$5000,4,FALSE)</f>
        <v>0.98499999999999999</v>
      </c>
      <c r="Z307">
        <f>VLOOKUP($A307&amp;Z$1,Data!$A$2:$D$5000,4,FALSE)</f>
        <v>-4.8310000000000004</v>
      </c>
      <c r="AA307">
        <f>VLOOKUP($A307&amp;AA$1,Data!$A$2:$D$5000,4,FALSE)</f>
        <v>1.0369999999999999</v>
      </c>
      <c r="AB307">
        <f>VLOOKUP($A307&amp;AB$1,Data!$A$2:$D$5000,4,FALSE)</f>
        <v>1.0760000000000001</v>
      </c>
      <c r="AC307">
        <f>VLOOKUP($A307&amp;AC$1,Data!$A$2:$D$5000,4,FALSE)</f>
        <v>0.622</v>
      </c>
      <c r="AD307">
        <f>VLOOKUP($A307&amp;AD$1,Data!$A$2:$D$5000,4,FALSE)</f>
        <v>1.06</v>
      </c>
      <c r="AE307">
        <f>VLOOKUP($A307&amp;AE$1,Data!$A$2:$D$5000,4,FALSE)</f>
        <v>-0.14799999999999999</v>
      </c>
      <c r="AF307">
        <f>VLOOKUP($A307&amp;AF$1,Data!$A$2:$D$5000,4,FALSE)</f>
        <v>0</v>
      </c>
      <c r="AG307">
        <f>VLOOKUP($A307&amp;AG$1,Data!$A$2:$D$5000,4,FALSE)</f>
        <v>6700000</v>
      </c>
    </row>
    <row r="308" spans="1:33" hidden="1" x14ac:dyDescent="0.35">
      <c r="A308" s="19">
        <f t="shared" si="21"/>
        <v>307</v>
      </c>
      <c r="B308" t="s">
        <v>19</v>
      </c>
      <c r="C308" t="s">
        <v>3</v>
      </c>
      <c r="D308">
        <v>10</v>
      </c>
      <c r="E308" t="s">
        <v>17</v>
      </c>
      <c r="F308" s="5">
        <v>43831</v>
      </c>
      <c r="G308" s="5">
        <v>44562</v>
      </c>
      <c r="H308">
        <v>14</v>
      </c>
      <c r="I308">
        <v>9</v>
      </c>
      <c r="J308">
        <f t="shared" si="20"/>
        <v>32</v>
      </c>
      <c r="K308">
        <f t="shared" si="20"/>
        <v>68</v>
      </c>
      <c r="L308">
        <v>10000</v>
      </c>
    </row>
    <row r="309" spans="1:33" hidden="1" x14ac:dyDescent="0.35">
      <c r="A309" s="19">
        <f t="shared" si="21"/>
        <v>308</v>
      </c>
      <c r="B309" t="s">
        <v>19</v>
      </c>
      <c r="C309" t="s">
        <v>3</v>
      </c>
      <c r="D309">
        <v>100</v>
      </c>
      <c r="E309" t="s">
        <v>17</v>
      </c>
      <c r="F309" s="5">
        <v>43831</v>
      </c>
      <c r="G309" s="5">
        <v>44562</v>
      </c>
      <c r="H309">
        <v>14</v>
      </c>
      <c r="I309">
        <v>9</v>
      </c>
      <c r="J309">
        <f t="shared" si="20"/>
        <v>32</v>
      </c>
      <c r="K309">
        <f t="shared" si="20"/>
        <v>68</v>
      </c>
      <c r="L309">
        <v>10000</v>
      </c>
    </row>
    <row r="310" spans="1:33" hidden="1" x14ac:dyDescent="0.35">
      <c r="A310" s="19">
        <f t="shared" si="21"/>
        <v>309</v>
      </c>
      <c r="B310" t="s">
        <v>19</v>
      </c>
      <c r="C310" t="s">
        <v>3</v>
      </c>
      <c r="D310">
        <v>200</v>
      </c>
      <c r="E310" t="s">
        <v>17</v>
      </c>
      <c r="F310" s="5">
        <v>43831</v>
      </c>
      <c r="G310" s="5">
        <v>44562</v>
      </c>
      <c r="H310">
        <v>14</v>
      </c>
      <c r="I310">
        <v>9</v>
      </c>
      <c r="J310">
        <f t="shared" si="20"/>
        <v>32</v>
      </c>
      <c r="K310">
        <f t="shared" si="20"/>
        <v>68</v>
      </c>
      <c r="L310">
        <v>10000</v>
      </c>
    </row>
    <row r="311" spans="1:33" hidden="1" x14ac:dyDescent="0.35">
      <c r="A311" s="19">
        <f t="shared" si="21"/>
        <v>310</v>
      </c>
      <c r="B311" t="s">
        <v>19</v>
      </c>
      <c r="C311" t="s">
        <v>2</v>
      </c>
      <c r="D311">
        <v>10</v>
      </c>
      <c r="E311" t="s">
        <v>17</v>
      </c>
      <c r="F311" s="5">
        <v>43831</v>
      </c>
      <c r="G311" s="5">
        <v>44562</v>
      </c>
      <c r="H311">
        <v>14</v>
      </c>
      <c r="I311">
        <v>9</v>
      </c>
      <c r="J311">
        <f t="shared" si="20"/>
        <v>32</v>
      </c>
      <c r="K311">
        <f t="shared" si="20"/>
        <v>68</v>
      </c>
      <c r="L311">
        <v>10000</v>
      </c>
    </row>
    <row r="312" spans="1:33" hidden="1" x14ac:dyDescent="0.35">
      <c r="A312" s="19">
        <f t="shared" si="21"/>
        <v>311</v>
      </c>
      <c r="B312" t="s">
        <v>19</v>
      </c>
      <c r="C312" t="s">
        <v>2</v>
      </c>
      <c r="D312">
        <v>100</v>
      </c>
      <c r="E312" t="s">
        <v>17</v>
      </c>
      <c r="F312" s="5">
        <v>43831</v>
      </c>
      <c r="G312" s="5">
        <v>44562</v>
      </c>
      <c r="H312">
        <v>14</v>
      </c>
      <c r="I312">
        <v>9</v>
      </c>
      <c r="J312">
        <f t="shared" si="20"/>
        <v>32</v>
      </c>
      <c r="K312">
        <f t="shared" si="20"/>
        <v>68</v>
      </c>
      <c r="L312">
        <v>10000</v>
      </c>
    </row>
    <row r="313" spans="1:33" hidden="1" x14ac:dyDescent="0.35">
      <c r="A313" s="19">
        <f t="shared" si="21"/>
        <v>312</v>
      </c>
      <c r="B313" t="s">
        <v>19</v>
      </c>
      <c r="C313" t="s">
        <v>2</v>
      </c>
      <c r="D313">
        <v>200</v>
      </c>
      <c r="E313" t="s">
        <v>17</v>
      </c>
      <c r="F313" s="5">
        <v>43831</v>
      </c>
      <c r="G313" s="5">
        <v>44562</v>
      </c>
      <c r="H313">
        <v>14</v>
      </c>
      <c r="I313">
        <v>9</v>
      </c>
      <c r="J313">
        <f t="shared" si="20"/>
        <v>32</v>
      </c>
      <c r="K313">
        <f t="shared" si="20"/>
        <v>68</v>
      </c>
      <c r="L313">
        <v>10000</v>
      </c>
    </row>
    <row r="314" spans="1:33" hidden="1" x14ac:dyDescent="0.35">
      <c r="A314" s="19">
        <f t="shared" si="21"/>
        <v>313</v>
      </c>
      <c r="B314" t="s">
        <v>19</v>
      </c>
      <c r="C314" t="s">
        <v>22</v>
      </c>
      <c r="D314">
        <v>10</v>
      </c>
      <c r="E314" t="s">
        <v>17</v>
      </c>
      <c r="F314" s="5">
        <v>43831</v>
      </c>
      <c r="G314" s="5">
        <v>44562</v>
      </c>
      <c r="H314">
        <v>14</v>
      </c>
      <c r="I314">
        <v>9</v>
      </c>
      <c r="J314">
        <f t="shared" si="20"/>
        <v>32</v>
      </c>
      <c r="K314">
        <f t="shared" si="20"/>
        <v>68</v>
      </c>
      <c r="L314">
        <v>10000</v>
      </c>
    </row>
    <row r="315" spans="1:33" hidden="1" x14ac:dyDescent="0.35">
      <c r="A315" s="19">
        <f t="shared" si="21"/>
        <v>314</v>
      </c>
      <c r="B315" t="s">
        <v>19</v>
      </c>
      <c r="C315" t="s">
        <v>22</v>
      </c>
      <c r="D315">
        <v>100</v>
      </c>
      <c r="E315" t="s">
        <v>17</v>
      </c>
      <c r="F315" s="5">
        <v>43831</v>
      </c>
      <c r="G315" s="5">
        <v>44562</v>
      </c>
      <c r="H315">
        <v>14</v>
      </c>
      <c r="I315">
        <v>9</v>
      </c>
      <c r="J315">
        <f t="shared" si="20"/>
        <v>32</v>
      </c>
      <c r="K315">
        <f t="shared" si="20"/>
        <v>68</v>
      </c>
      <c r="L315">
        <v>10000</v>
      </c>
    </row>
    <row r="316" spans="1:33" hidden="1" x14ac:dyDescent="0.35">
      <c r="A316" s="19">
        <f t="shared" si="21"/>
        <v>315</v>
      </c>
      <c r="B316" t="s">
        <v>19</v>
      </c>
      <c r="C316" t="s">
        <v>22</v>
      </c>
      <c r="D316">
        <v>200</v>
      </c>
      <c r="E316" t="s">
        <v>17</v>
      </c>
      <c r="F316" s="5">
        <v>43831</v>
      </c>
      <c r="G316" s="5">
        <v>44562</v>
      </c>
      <c r="H316">
        <v>14</v>
      </c>
      <c r="I316">
        <v>9</v>
      </c>
      <c r="J316">
        <f t="shared" si="20"/>
        <v>32</v>
      </c>
      <c r="K316">
        <f t="shared" si="20"/>
        <v>68</v>
      </c>
      <c r="L316">
        <v>10000</v>
      </c>
    </row>
    <row r="317" spans="1:33" hidden="1" x14ac:dyDescent="0.35">
      <c r="A317" s="19">
        <f t="shared" si="21"/>
        <v>316</v>
      </c>
      <c r="B317" t="s">
        <v>19</v>
      </c>
      <c r="C317" t="s">
        <v>3</v>
      </c>
      <c r="D317">
        <v>10</v>
      </c>
      <c r="E317" t="s">
        <v>17</v>
      </c>
      <c r="F317" s="5">
        <v>43831</v>
      </c>
      <c r="G317" s="5">
        <v>44562</v>
      </c>
      <c r="H317">
        <v>14</v>
      </c>
      <c r="I317">
        <v>9</v>
      </c>
      <c r="J317">
        <f t="shared" si="20"/>
        <v>28</v>
      </c>
      <c r="K317">
        <f t="shared" si="20"/>
        <v>72</v>
      </c>
      <c r="L317">
        <v>10000</v>
      </c>
    </row>
    <row r="318" spans="1:33" hidden="1" x14ac:dyDescent="0.35">
      <c r="A318" s="19">
        <f t="shared" si="21"/>
        <v>317</v>
      </c>
      <c r="B318" t="s">
        <v>19</v>
      </c>
      <c r="C318" t="s">
        <v>3</v>
      </c>
      <c r="D318">
        <v>100</v>
      </c>
      <c r="E318" t="s">
        <v>17</v>
      </c>
      <c r="F318" s="5">
        <v>43831</v>
      </c>
      <c r="G318" s="5">
        <v>44562</v>
      </c>
      <c r="H318">
        <v>14</v>
      </c>
      <c r="I318">
        <v>9</v>
      </c>
      <c r="J318">
        <f t="shared" si="20"/>
        <v>28</v>
      </c>
      <c r="K318">
        <f t="shared" si="20"/>
        <v>72</v>
      </c>
      <c r="L318">
        <v>10000</v>
      </c>
    </row>
    <row r="319" spans="1:33" hidden="1" x14ac:dyDescent="0.35">
      <c r="A319" s="19">
        <f t="shared" si="21"/>
        <v>318</v>
      </c>
      <c r="B319" t="s">
        <v>19</v>
      </c>
      <c r="C319" t="s">
        <v>3</v>
      </c>
      <c r="D319">
        <v>200</v>
      </c>
      <c r="E319" t="s">
        <v>17</v>
      </c>
      <c r="F319" s="5">
        <v>43831</v>
      </c>
      <c r="G319" s="5">
        <v>44562</v>
      </c>
      <c r="H319">
        <v>14</v>
      </c>
      <c r="I319">
        <v>9</v>
      </c>
      <c r="J319">
        <f t="shared" ref="J319:K334" si="22">J346</f>
        <v>28</v>
      </c>
      <c r="K319">
        <f t="shared" si="22"/>
        <v>72</v>
      </c>
      <c r="L319">
        <v>10000</v>
      </c>
    </row>
    <row r="320" spans="1:33" hidden="1" x14ac:dyDescent="0.35">
      <c r="A320" s="19">
        <f t="shared" si="21"/>
        <v>319</v>
      </c>
      <c r="B320" t="s">
        <v>19</v>
      </c>
      <c r="C320" t="s">
        <v>2</v>
      </c>
      <c r="D320">
        <v>10</v>
      </c>
      <c r="E320" t="s">
        <v>17</v>
      </c>
      <c r="F320" s="5">
        <v>43831</v>
      </c>
      <c r="G320" s="5">
        <v>44562</v>
      </c>
      <c r="H320">
        <v>14</v>
      </c>
      <c r="I320">
        <v>9</v>
      </c>
      <c r="J320">
        <f t="shared" si="22"/>
        <v>28</v>
      </c>
      <c r="K320">
        <f t="shared" si="22"/>
        <v>72</v>
      </c>
      <c r="L320">
        <v>10000</v>
      </c>
    </row>
    <row r="321" spans="1:33" hidden="1" x14ac:dyDescent="0.35">
      <c r="A321" s="19">
        <f t="shared" si="21"/>
        <v>320</v>
      </c>
      <c r="B321" t="s">
        <v>19</v>
      </c>
      <c r="C321" t="s">
        <v>2</v>
      </c>
      <c r="D321">
        <v>100</v>
      </c>
      <c r="E321" t="s">
        <v>17</v>
      </c>
      <c r="F321" s="5">
        <v>43831</v>
      </c>
      <c r="G321" s="5">
        <v>44562</v>
      </c>
      <c r="H321">
        <v>14</v>
      </c>
      <c r="I321">
        <v>9</v>
      </c>
      <c r="J321">
        <f t="shared" si="22"/>
        <v>28</v>
      </c>
      <c r="K321">
        <f t="shared" si="22"/>
        <v>72</v>
      </c>
      <c r="L321">
        <v>10000</v>
      </c>
    </row>
    <row r="322" spans="1:33" hidden="1" x14ac:dyDescent="0.35">
      <c r="A322" s="19">
        <f t="shared" si="21"/>
        <v>321</v>
      </c>
      <c r="B322" t="s">
        <v>19</v>
      </c>
      <c r="C322" t="s">
        <v>2</v>
      </c>
      <c r="D322">
        <v>200</v>
      </c>
      <c r="E322" t="s">
        <v>17</v>
      </c>
      <c r="F322" s="5">
        <v>43831</v>
      </c>
      <c r="G322" s="5">
        <v>44562</v>
      </c>
      <c r="H322">
        <v>14</v>
      </c>
      <c r="I322">
        <v>9</v>
      </c>
      <c r="J322">
        <f t="shared" si="22"/>
        <v>28</v>
      </c>
      <c r="K322">
        <f t="shared" si="22"/>
        <v>72</v>
      </c>
      <c r="L322">
        <v>10000</v>
      </c>
    </row>
    <row r="323" spans="1:33" hidden="1" x14ac:dyDescent="0.35">
      <c r="A323" s="19">
        <f t="shared" si="21"/>
        <v>322</v>
      </c>
      <c r="B323" t="s">
        <v>19</v>
      </c>
      <c r="C323" t="s">
        <v>22</v>
      </c>
      <c r="D323">
        <v>10</v>
      </c>
      <c r="E323" t="s">
        <v>17</v>
      </c>
      <c r="F323" s="5">
        <v>43831</v>
      </c>
      <c r="G323" s="5">
        <v>44562</v>
      </c>
      <c r="H323">
        <v>14</v>
      </c>
      <c r="I323">
        <v>9</v>
      </c>
      <c r="J323">
        <f t="shared" si="22"/>
        <v>28</v>
      </c>
      <c r="K323">
        <f t="shared" si="22"/>
        <v>72</v>
      </c>
      <c r="L323">
        <v>10000</v>
      </c>
    </row>
    <row r="324" spans="1:33" hidden="1" x14ac:dyDescent="0.35">
      <c r="A324" s="19">
        <f t="shared" si="21"/>
        <v>323</v>
      </c>
      <c r="B324" t="s">
        <v>19</v>
      </c>
      <c r="C324" t="s">
        <v>22</v>
      </c>
      <c r="D324">
        <v>100</v>
      </c>
      <c r="E324" t="s">
        <v>17</v>
      </c>
      <c r="F324" s="5">
        <v>43831</v>
      </c>
      <c r="G324" s="5">
        <v>44562</v>
      </c>
      <c r="H324">
        <v>14</v>
      </c>
      <c r="I324">
        <v>9</v>
      </c>
      <c r="J324">
        <f t="shared" si="22"/>
        <v>28</v>
      </c>
      <c r="K324">
        <f t="shared" si="22"/>
        <v>72</v>
      </c>
      <c r="L324">
        <v>10000</v>
      </c>
    </row>
    <row r="325" spans="1:33" hidden="1" x14ac:dyDescent="0.35">
      <c r="A325" s="19">
        <f t="shared" si="21"/>
        <v>324</v>
      </c>
      <c r="B325" t="s">
        <v>19</v>
      </c>
      <c r="C325" t="s">
        <v>22</v>
      </c>
      <c r="D325">
        <v>200</v>
      </c>
      <c r="E325" t="s">
        <v>17</v>
      </c>
      <c r="F325" s="5">
        <v>43831</v>
      </c>
      <c r="G325" s="5">
        <v>44562</v>
      </c>
      <c r="H325">
        <v>14</v>
      </c>
      <c r="I325">
        <v>9</v>
      </c>
      <c r="J325">
        <f t="shared" si="22"/>
        <v>28</v>
      </c>
      <c r="K325">
        <f t="shared" si="22"/>
        <v>72</v>
      </c>
      <c r="L325">
        <v>10000</v>
      </c>
    </row>
    <row r="326" spans="1:33" hidden="1" x14ac:dyDescent="0.35">
      <c r="A326" s="13">
        <f t="shared" si="21"/>
        <v>325</v>
      </c>
      <c r="B326" t="s">
        <v>20</v>
      </c>
      <c r="C326" t="s">
        <v>3</v>
      </c>
      <c r="D326">
        <v>10</v>
      </c>
      <c r="E326" t="s">
        <v>17</v>
      </c>
      <c r="F326" s="5">
        <v>43831</v>
      </c>
      <c r="G326" s="5">
        <v>44562</v>
      </c>
      <c r="H326">
        <v>14</v>
      </c>
      <c r="I326">
        <v>9</v>
      </c>
      <c r="J326">
        <f t="shared" si="22"/>
        <v>30</v>
      </c>
      <c r="K326">
        <f t="shared" si="22"/>
        <v>70</v>
      </c>
      <c r="L326">
        <v>10000</v>
      </c>
      <c r="M326">
        <f>VLOOKUP($A326&amp;M$1,Data!$A$2:$D$5000,4,FALSE)</f>
        <v>3.9260000000000003E-2</v>
      </c>
      <c r="N326">
        <f>VLOOKUP($A326&amp;N$1,Data!$A$2:$D$5000,4,FALSE)</f>
        <v>-0.745</v>
      </c>
      <c r="V326">
        <f>VLOOKUP($A326&amp;V$1,Data!$A$2:$D$5000,4,FALSE)</f>
        <v>0.5</v>
      </c>
      <c r="W326">
        <f>VLOOKUP($A326&amp;W$1,Data!$A$2:$D$5000,4,FALSE)</f>
        <v>0.5</v>
      </c>
      <c r="X326">
        <f>VLOOKUP($A326&amp;X$1,Data!$A$2:$D$5000,4,FALSE)</f>
        <v>0.19</v>
      </c>
      <c r="Y326">
        <f>VLOOKUP($A326&amp;Y$1,Data!$A$2:$D$5000,4,FALSE)</f>
        <v>-0.109</v>
      </c>
      <c r="Z326">
        <f>VLOOKUP($A326&amp;Z$1,Data!$A$2:$D$5000,4,FALSE)</f>
        <v>-2.8149999999999999</v>
      </c>
      <c r="AA326">
        <f>VLOOKUP($A326&amp;AA$1,Data!$A$2:$D$5000,4,FALSE)</f>
        <v>0.35699999999999998</v>
      </c>
      <c r="AB326">
        <f>VLOOKUP($A326&amp;AB$1,Data!$A$2:$D$5000,4,FALSE)</f>
        <v>0.128</v>
      </c>
      <c r="AC326">
        <f>VLOOKUP($A326&amp;AC$1,Data!$A$2:$D$5000,4,FALSE)</f>
        <v>-0.81200000000000006</v>
      </c>
      <c r="AD326">
        <f>VLOOKUP($A326&amp;AD$1,Data!$A$2:$D$5000,4,FALSE)</f>
        <v>0.39600000000000002</v>
      </c>
      <c r="AE326">
        <f>VLOOKUP($A326&amp;AE$1,Data!$A$2:$D$5000,4,FALSE)</f>
        <v>9.4E-2</v>
      </c>
      <c r="AF326">
        <f>VLOOKUP($A326&amp;AF$1,Data!$A$2:$D$5000,4,FALSE)</f>
        <v>0</v>
      </c>
      <c r="AG326">
        <f>VLOOKUP($A326&amp;AG$1,Data!$A$2:$D$5000,4,FALSE)</f>
        <v>160000000</v>
      </c>
    </row>
    <row r="327" spans="1:33" hidden="1" x14ac:dyDescent="0.35">
      <c r="A327" s="13">
        <f t="shared" si="21"/>
        <v>326</v>
      </c>
      <c r="B327" t="s">
        <v>20</v>
      </c>
      <c r="C327" t="s">
        <v>3</v>
      </c>
      <c r="D327">
        <v>100</v>
      </c>
      <c r="E327" t="s">
        <v>17</v>
      </c>
      <c r="F327" s="5">
        <v>43831</v>
      </c>
      <c r="G327" s="5">
        <v>44562</v>
      </c>
      <c r="H327">
        <v>14</v>
      </c>
      <c r="I327">
        <v>9</v>
      </c>
      <c r="J327">
        <f t="shared" si="22"/>
        <v>30</v>
      </c>
      <c r="K327">
        <f t="shared" si="22"/>
        <v>70</v>
      </c>
      <c r="L327">
        <v>10000</v>
      </c>
      <c r="M327">
        <f>VLOOKUP($A327&amp;M$1,Data!$A$2:$D$5000,4,FALSE)</f>
        <v>1.9369999999999998E-2</v>
      </c>
      <c r="N327">
        <f>VLOOKUP($A327&amp;N$1,Data!$A$2:$D$5000,4,FALSE)</f>
        <v>-0.30399999999999999</v>
      </c>
      <c r="V327">
        <f>VLOOKUP($A327&amp;V$1,Data!$A$2:$D$5000,4,FALSE)</f>
        <v>0.95</v>
      </c>
      <c r="W327">
        <f>VLOOKUP($A327&amp;W$1,Data!$A$2:$D$5000,4,FALSE)</f>
        <v>0.05</v>
      </c>
      <c r="X327">
        <f>VLOOKUP($A327&amp;X$1,Data!$A$2:$D$5000,4,FALSE)</f>
        <v>1.55</v>
      </c>
      <c r="Y327">
        <f>VLOOKUP($A327&amp;Y$1,Data!$A$2:$D$5000,4,FALSE)</f>
        <v>0.44900000000000001</v>
      </c>
      <c r="Z327">
        <f>VLOOKUP($A327&amp;Z$1,Data!$A$2:$D$5000,4,FALSE)</f>
        <v>-26.042000000000002</v>
      </c>
      <c r="AA327">
        <f>VLOOKUP($A327&amp;AA$1,Data!$A$2:$D$5000,4,FALSE)</f>
        <v>3.2040000000000002</v>
      </c>
      <c r="AB327">
        <f>VLOOKUP($A327&amp;AB$1,Data!$A$2:$D$5000,4,FALSE)</f>
        <v>10.265000000000001</v>
      </c>
      <c r="AC327">
        <f>VLOOKUP($A327&amp;AC$1,Data!$A$2:$D$5000,4,FALSE)</f>
        <v>-0.317</v>
      </c>
      <c r="AD327">
        <f>VLOOKUP($A327&amp;AD$1,Data!$A$2:$D$5000,4,FALSE)</f>
        <v>3.24</v>
      </c>
      <c r="AE327">
        <f>VLOOKUP($A327&amp;AE$1,Data!$A$2:$D$5000,4,FALSE)</f>
        <v>3.6999999999999998E-2</v>
      </c>
      <c r="AF327">
        <f>VLOOKUP($A327&amp;AF$1,Data!$A$2:$D$5000,4,FALSE)</f>
        <v>0</v>
      </c>
      <c r="AG327">
        <f>VLOOKUP($A327&amp;AG$1,Data!$A$2:$D$5000,4,FALSE)</f>
        <v>3100000</v>
      </c>
    </row>
    <row r="328" spans="1:33" hidden="1" x14ac:dyDescent="0.35">
      <c r="A328" s="13">
        <f t="shared" si="21"/>
        <v>327</v>
      </c>
      <c r="B328" t="s">
        <v>20</v>
      </c>
      <c r="C328" t="s">
        <v>3</v>
      </c>
      <c r="D328">
        <v>200</v>
      </c>
      <c r="E328" t="s">
        <v>17</v>
      </c>
      <c r="F328" s="5">
        <v>43831</v>
      </c>
      <c r="G328" s="5">
        <v>44562</v>
      </c>
      <c r="H328">
        <v>14</v>
      </c>
      <c r="I328">
        <v>9</v>
      </c>
      <c r="J328">
        <f t="shared" si="22"/>
        <v>30</v>
      </c>
      <c r="K328">
        <f t="shared" si="22"/>
        <v>70</v>
      </c>
      <c r="L328">
        <v>10000</v>
      </c>
      <c r="M328">
        <f>VLOOKUP($A328&amp;M$1,Data!$A$2:$D$5000,4,FALSE)</f>
        <v>0.25102999999999998</v>
      </c>
      <c r="N328">
        <f>VLOOKUP($A328&amp;N$1,Data!$A$2:$D$5000,4,FALSE)</f>
        <v>0.44800000000000001</v>
      </c>
      <c r="V328">
        <f>VLOOKUP($A328&amp;V$1,Data!$A$2:$D$5000,4,FALSE)</f>
        <v>0.96</v>
      </c>
      <c r="W328">
        <f>VLOOKUP($A328&amp;W$1,Data!$A$2:$D$5000,4,FALSE)</f>
        <v>0.04</v>
      </c>
      <c r="X328">
        <f>VLOOKUP($A328&amp;X$1,Data!$A$2:$D$5000,4,FALSE)</f>
        <v>1.59</v>
      </c>
      <c r="Y328">
        <f>VLOOKUP($A328&amp;Y$1,Data!$A$2:$D$5000,4,FALSE)</f>
        <v>3.4910000000000001</v>
      </c>
      <c r="Z328">
        <f>VLOOKUP($A328&amp;Z$1,Data!$A$2:$D$5000,4,FALSE)</f>
        <v>-32.072000000000003</v>
      </c>
      <c r="AA328">
        <f>VLOOKUP($A328&amp;AA$1,Data!$A$2:$D$5000,4,FALSE)</f>
        <v>4.3239999999999998</v>
      </c>
      <c r="AB328">
        <f>VLOOKUP($A328&amp;AB$1,Data!$A$2:$D$5000,4,FALSE)</f>
        <v>18.696000000000002</v>
      </c>
      <c r="AC328">
        <f>VLOOKUP($A328&amp;AC$1,Data!$A$2:$D$5000,4,FALSE)</f>
        <v>0.433</v>
      </c>
      <c r="AD328">
        <f>VLOOKUP($A328&amp;AD$1,Data!$A$2:$D$5000,4,FALSE)</f>
        <v>4.3579999999999997</v>
      </c>
      <c r="AE328">
        <f>VLOOKUP($A328&amp;AE$1,Data!$A$2:$D$5000,4,FALSE)</f>
        <v>-0.06</v>
      </c>
      <c r="AF328">
        <f>VLOOKUP($A328&amp;AF$1,Data!$A$2:$D$5000,4,FALSE)</f>
        <v>0</v>
      </c>
      <c r="AG328">
        <f>VLOOKUP($A328&amp;AG$1,Data!$A$2:$D$5000,4,FALSE)</f>
        <v>1500000</v>
      </c>
    </row>
    <row r="329" spans="1:33" hidden="1" x14ac:dyDescent="0.35">
      <c r="A329" s="13">
        <f t="shared" si="21"/>
        <v>328</v>
      </c>
      <c r="B329" t="s">
        <v>20</v>
      </c>
      <c r="C329" t="s">
        <v>2</v>
      </c>
      <c r="D329">
        <v>10</v>
      </c>
      <c r="E329" t="s">
        <v>17</v>
      </c>
      <c r="F329" s="5">
        <v>43831</v>
      </c>
      <c r="G329" s="5">
        <v>44562</v>
      </c>
      <c r="H329">
        <v>14</v>
      </c>
      <c r="I329">
        <v>9</v>
      </c>
      <c r="J329">
        <f t="shared" si="22"/>
        <v>30</v>
      </c>
      <c r="K329">
        <f t="shared" si="22"/>
        <v>70</v>
      </c>
      <c r="L329">
        <v>10000</v>
      </c>
      <c r="M329">
        <f>VLOOKUP($A329&amp;M$1,Data!$A$2:$D$5000,4,FALSE)</f>
        <v>2.1520000000000001E-2</v>
      </c>
      <c r="N329">
        <f>VLOOKUP($A329&amp;N$1,Data!$A$2:$D$5000,4,FALSE)</f>
        <v>-1.0489999999999999</v>
      </c>
      <c r="V329">
        <f>VLOOKUP($A329&amp;V$1,Data!$A$2:$D$5000,4,FALSE)</f>
        <v>0.56999999999999995</v>
      </c>
      <c r="W329">
        <f>VLOOKUP($A329&amp;W$1,Data!$A$2:$D$5000,4,FALSE)</f>
        <v>0.43</v>
      </c>
      <c r="X329">
        <f>VLOOKUP($A329&amp;X$1,Data!$A$2:$D$5000,4,FALSE)</f>
        <v>0.1</v>
      </c>
      <c r="Y329">
        <f>VLOOKUP($A329&amp;Y$1,Data!$A$2:$D$5000,4,FALSE)</f>
        <v>-0.122</v>
      </c>
      <c r="Z329">
        <f>VLOOKUP($A329&amp;Z$1,Data!$A$2:$D$5000,4,FALSE)</f>
        <v>-1.454</v>
      </c>
      <c r="AA329">
        <f>VLOOKUP($A329&amp;AA$1,Data!$A$2:$D$5000,4,FALSE)</f>
        <v>0.193</v>
      </c>
      <c r="AB329">
        <f>VLOOKUP($A329&amp;AB$1,Data!$A$2:$D$5000,4,FALSE)</f>
        <v>3.6999999999999998E-2</v>
      </c>
      <c r="AC329" t="e">
        <f>VLOOKUP($A329&amp;AC$1,Data!$A$2:$D$5000,4,FALSE)</f>
        <v>#N/A</v>
      </c>
      <c r="AD329" t="e">
        <f>VLOOKUP($A329&amp;AD$1,Data!$A$2:$D$5000,4,FALSE)</f>
        <v>#N/A</v>
      </c>
      <c r="AE329" t="e">
        <f>VLOOKUP($A329&amp;AE$1,Data!$A$2:$D$5000,4,FALSE)</f>
        <v>#N/A</v>
      </c>
      <c r="AF329" t="e">
        <f>VLOOKUP($A329&amp;AF$1,Data!$A$2:$D$5000,4,FALSE)</f>
        <v>#N/A</v>
      </c>
      <c r="AG329" t="e">
        <f>VLOOKUP($A329&amp;AG$1,Data!$A$2:$D$5000,4,FALSE)</f>
        <v>#N/A</v>
      </c>
    </row>
    <row r="330" spans="1:33" hidden="1" x14ac:dyDescent="0.35">
      <c r="A330" s="13">
        <f t="shared" si="21"/>
        <v>329</v>
      </c>
      <c r="B330" t="s">
        <v>20</v>
      </c>
      <c r="C330" t="s">
        <v>2</v>
      </c>
      <c r="D330">
        <v>100</v>
      </c>
      <c r="E330" t="s">
        <v>17</v>
      </c>
      <c r="F330" s="5">
        <v>43831</v>
      </c>
      <c r="G330" s="5">
        <v>44562</v>
      </c>
      <c r="H330">
        <v>14</v>
      </c>
      <c r="I330">
        <v>9</v>
      </c>
      <c r="J330">
        <f t="shared" si="22"/>
        <v>30</v>
      </c>
      <c r="K330">
        <f t="shared" si="22"/>
        <v>70</v>
      </c>
      <c r="L330">
        <v>10000</v>
      </c>
      <c r="V330" t="e">
        <f>VLOOKUP($A330&amp;V$1,Data!$A$2:$D$5000,4,FALSE)</f>
        <v>#N/A</v>
      </c>
      <c r="W330" t="e">
        <f>VLOOKUP($A330&amp;W$1,Data!$A$2:$D$5000,4,FALSE)</f>
        <v>#N/A</v>
      </c>
      <c r="X330" t="e">
        <f>VLOOKUP($A330&amp;X$1,Data!$A$2:$D$5000,4,FALSE)</f>
        <v>#N/A</v>
      </c>
      <c r="Y330" t="e">
        <f>VLOOKUP($A330&amp;Y$1,Data!$A$2:$D$5000,4,FALSE)</f>
        <v>#N/A</v>
      </c>
      <c r="Z330" t="e">
        <f>VLOOKUP($A330&amp;Z$1,Data!$A$2:$D$5000,4,FALSE)</f>
        <v>#N/A</v>
      </c>
      <c r="AA330" t="e">
        <f>VLOOKUP($A330&amp;AA$1,Data!$A$2:$D$5000,4,FALSE)</f>
        <v>#N/A</v>
      </c>
      <c r="AB330" t="e">
        <f>VLOOKUP($A330&amp;AB$1,Data!$A$2:$D$5000,4,FALSE)</f>
        <v>#N/A</v>
      </c>
      <c r="AC330" t="e">
        <f>VLOOKUP($A330&amp;AC$1,Data!$A$2:$D$5000,4,FALSE)</f>
        <v>#N/A</v>
      </c>
      <c r="AD330" t="e">
        <f>VLOOKUP($A330&amp;AD$1,Data!$A$2:$D$5000,4,FALSE)</f>
        <v>#N/A</v>
      </c>
      <c r="AE330" t="e">
        <f>VLOOKUP($A330&amp;AE$1,Data!$A$2:$D$5000,4,FALSE)</f>
        <v>#N/A</v>
      </c>
      <c r="AF330" t="e">
        <f>VLOOKUP($A330&amp;AF$1,Data!$A$2:$D$5000,4,FALSE)</f>
        <v>#N/A</v>
      </c>
      <c r="AG330" t="e">
        <f>VLOOKUP($A330&amp;AG$1,Data!$A$2:$D$5000,4,FALSE)</f>
        <v>#N/A</v>
      </c>
    </row>
    <row r="331" spans="1:33" hidden="1" x14ac:dyDescent="0.35">
      <c r="A331" s="23">
        <f t="shared" si="21"/>
        <v>330</v>
      </c>
      <c r="B331" t="s">
        <v>20</v>
      </c>
      <c r="C331" t="s">
        <v>2</v>
      </c>
      <c r="D331">
        <v>200</v>
      </c>
      <c r="E331" t="s">
        <v>17</v>
      </c>
      <c r="F331" s="5">
        <v>43831</v>
      </c>
      <c r="G331" s="5">
        <v>44562</v>
      </c>
      <c r="H331">
        <v>14</v>
      </c>
      <c r="I331">
        <v>9</v>
      </c>
      <c r="J331">
        <f t="shared" si="22"/>
        <v>30</v>
      </c>
      <c r="K331">
        <f t="shared" si="22"/>
        <v>70</v>
      </c>
      <c r="L331">
        <v>10000</v>
      </c>
      <c r="V331" t="e">
        <f>VLOOKUP($A331&amp;V$1,Data!$A$2:$D$5000,4,FALSE)</f>
        <v>#N/A</v>
      </c>
      <c r="W331" t="e">
        <f>VLOOKUP($A331&amp;W$1,Data!$A$2:$D$5000,4,FALSE)</f>
        <v>#N/A</v>
      </c>
      <c r="X331" t="e">
        <f>VLOOKUP($A331&amp;X$1,Data!$A$2:$D$5000,4,FALSE)</f>
        <v>#N/A</v>
      </c>
      <c r="Y331" t="e">
        <f>VLOOKUP($A331&amp;Y$1,Data!$A$2:$D$5000,4,FALSE)</f>
        <v>#N/A</v>
      </c>
      <c r="Z331" t="e">
        <f>VLOOKUP($A331&amp;Z$1,Data!$A$2:$D$5000,4,FALSE)</f>
        <v>#N/A</v>
      </c>
      <c r="AA331" t="e">
        <f>VLOOKUP($A331&amp;AA$1,Data!$A$2:$D$5000,4,FALSE)</f>
        <v>#N/A</v>
      </c>
      <c r="AB331" t="e">
        <f>VLOOKUP($A331&amp;AB$1,Data!$A$2:$D$5000,4,FALSE)</f>
        <v>#N/A</v>
      </c>
      <c r="AC331" t="e">
        <f>VLOOKUP($A331&amp;AC$1,Data!$A$2:$D$5000,4,FALSE)</f>
        <v>#N/A</v>
      </c>
      <c r="AD331" t="e">
        <f>VLOOKUP($A331&amp;AD$1,Data!$A$2:$D$5000,4,FALSE)</f>
        <v>#N/A</v>
      </c>
      <c r="AE331" t="e">
        <f>VLOOKUP($A331&amp;AE$1,Data!$A$2:$D$5000,4,FALSE)</f>
        <v>#N/A</v>
      </c>
      <c r="AF331" t="e">
        <f>VLOOKUP($A331&amp;AF$1,Data!$A$2:$D$5000,4,FALSE)</f>
        <v>#N/A</v>
      </c>
      <c r="AG331" t="e">
        <f>VLOOKUP($A331&amp;AG$1,Data!$A$2:$D$5000,4,FALSE)</f>
        <v>#N/A</v>
      </c>
    </row>
    <row r="332" spans="1:33" hidden="1" x14ac:dyDescent="0.35">
      <c r="A332" s="23">
        <f t="shared" si="21"/>
        <v>331</v>
      </c>
      <c r="B332" t="s">
        <v>20</v>
      </c>
      <c r="C332" t="s">
        <v>22</v>
      </c>
      <c r="D332">
        <v>10</v>
      </c>
      <c r="E332" t="s">
        <v>17</v>
      </c>
      <c r="F332" s="5">
        <v>43831</v>
      </c>
      <c r="G332" s="5">
        <v>44562</v>
      </c>
      <c r="H332">
        <v>14</v>
      </c>
      <c r="I332">
        <v>9</v>
      </c>
      <c r="J332">
        <f t="shared" si="22"/>
        <v>30</v>
      </c>
      <c r="K332">
        <f t="shared" si="22"/>
        <v>70</v>
      </c>
      <c r="L332">
        <v>10000</v>
      </c>
      <c r="V332" t="e">
        <f>VLOOKUP($A332&amp;V$1,Data!$A$2:$D$5000,4,FALSE)</f>
        <v>#N/A</v>
      </c>
      <c r="W332" t="e">
        <f>VLOOKUP($A332&amp;W$1,Data!$A$2:$D$5000,4,FALSE)</f>
        <v>#N/A</v>
      </c>
      <c r="X332" t="e">
        <f>VLOOKUP($A332&amp;X$1,Data!$A$2:$D$5000,4,FALSE)</f>
        <v>#N/A</v>
      </c>
      <c r="Y332" t="e">
        <f>VLOOKUP($A332&amp;Y$1,Data!$A$2:$D$5000,4,FALSE)</f>
        <v>#N/A</v>
      </c>
      <c r="Z332" t="e">
        <f>VLOOKUP($A332&amp;Z$1,Data!$A$2:$D$5000,4,FALSE)</f>
        <v>#N/A</v>
      </c>
      <c r="AA332" t="e">
        <f>VLOOKUP($A332&amp;AA$1,Data!$A$2:$D$5000,4,FALSE)</f>
        <v>#N/A</v>
      </c>
      <c r="AB332" t="e">
        <f>VLOOKUP($A332&amp;AB$1,Data!$A$2:$D$5000,4,FALSE)</f>
        <v>#N/A</v>
      </c>
      <c r="AC332" t="e">
        <f>VLOOKUP($A332&amp;AC$1,Data!$A$2:$D$5000,4,FALSE)</f>
        <v>#N/A</v>
      </c>
      <c r="AD332" t="e">
        <f>VLOOKUP($A332&amp;AD$1,Data!$A$2:$D$5000,4,FALSE)</f>
        <v>#N/A</v>
      </c>
      <c r="AE332" t="e">
        <f>VLOOKUP($A332&amp;AE$1,Data!$A$2:$D$5000,4,FALSE)</f>
        <v>#N/A</v>
      </c>
      <c r="AF332" t="e">
        <f>VLOOKUP($A332&amp;AF$1,Data!$A$2:$D$5000,4,FALSE)</f>
        <v>#N/A</v>
      </c>
      <c r="AG332" t="e">
        <f>VLOOKUP($A332&amp;AG$1,Data!$A$2:$D$5000,4,FALSE)</f>
        <v>#N/A</v>
      </c>
    </row>
    <row r="333" spans="1:33" hidden="1" x14ac:dyDescent="0.35">
      <c r="A333" s="22">
        <f t="shared" si="21"/>
        <v>332</v>
      </c>
      <c r="B333" t="s">
        <v>20</v>
      </c>
      <c r="C333" t="s">
        <v>22</v>
      </c>
      <c r="D333">
        <v>100</v>
      </c>
      <c r="E333" t="s">
        <v>17</v>
      </c>
      <c r="F333" s="5">
        <v>43831</v>
      </c>
      <c r="G333" s="5">
        <v>44562</v>
      </c>
      <c r="H333">
        <v>14</v>
      </c>
      <c r="I333">
        <v>9</v>
      </c>
      <c r="J333">
        <f t="shared" si="22"/>
        <v>30</v>
      </c>
      <c r="K333">
        <f t="shared" si="22"/>
        <v>70</v>
      </c>
      <c r="L333">
        <v>10000</v>
      </c>
      <c r="V333" t="e">
        <f>VLOOKUP($A333&amp;V$1,Data!$A$2:$D$5000,4,FALSE)</f>
        <v>#N/A</v>
      </c>
      <c r="W333" t="e">
        <f>VLOOKUP($A333&amp;W$1,Data!$A$2:$D$5000,4,FALSE)</f>
        <v>#N/A</v>
      </c>
      <c r="X333" t="e">
        <f>VLOOKUP($A333&amp;X$1,Data!$A$2:$D$5000,4,FALSE)</f>
        <v>#N/A</v>
      </c>
      <c r="Y333" t="e">
        <f>VLOOKUP($A333&amp;Y$1,Data!$A$2:$D$5000,4,FALSE)</f>
        <v>#N/A</v>
      </c>
      <c r="Z333" t="e">
        <f>VLOOKUP($A333&amp;Z$1,Data!$A$2:$D$5000,4,FALSE)</f>
        <v>#N/A</v>
      </c>
      <c r="AA333" t="e">
        <f>VLOOKUP($A333&amp;AA$1,Data!$A$2:$D$5000,4,FALSE)</f>
        <v>#N/A</v>
      </c>
      <c r="AB333" t="e">
        <f>VLOOKUP($A333&amp;AB$1,Data!$A$2:$D$5000,4,FALSE)</f>
        <v>#N/A</v>
      </c>
      <c r="AC333" t="e">
        <f>VLOOKUP($A333&amp;AC$1,Data!$A$2:$D$5000,4,FALSE)</f>
        <v>#N/A</v>
      </c>
      <c r="AD333" t="e">
        <f>VLOOKUP($A333&amp;AD$1,Data!$A$2:$D$5000,4,FALSE)</f>
        <v>#N/A</v>
      </c>
      <c r="AE333" t="e">
        <f>VLOOKUP($A333&amp;AE$1,Data!$A$2:$D$5000,4,FALSE)</f>
        <v>#N/A</v>
      </c>
      <c r="AF333" t="e">
        <f>VLOOKUP($A333&amp;AF$1,Data!$A$2:$D$5000,4,FALSE)</f>
        <v>#N/A</v>
      </c>
      <c r="AG333" t="e">
        <f>VLOOKUP($A333&amp;AG$1,Data!$A$2:$D$5000,4,FALSE)</f>
        <v>#N/A</v>
      </c>
    </row>
    <row r="334" spans="1:33" hidden="1" x14ac:dyDescent="0.35">
      <c r="A334" s="13">
        <f t="shared" si="21"/>
        <v>333</v>
      </c>
      <c r="B334" t="s">
        <v>20</v>
      </c>
      <c r="C334" t="s">
        <v>22</v>
      </c>
      <c r="D334">
        <v>200</v>
      </c>
      <c r="E334" t="s">
        <v>17</v>
      </c>
      <c r="F334" s="5">
        <v>43831</v>
      </c>
      <c r="G334" s="5">
        <v>44562</v>
      </c>
      <c r="H334">
        <v>14</v>
      </c>
      <c r="I334">
        <v>9</v>
      </c>
      <c r="J334">
        <f t="shared" si="22"/>
        <v>30</v>
      </c>
      <c r="K334">
        <f t="shared" si="22"/>
        <v>70</v>
      </c>
      <c r="L334">
        <v>10000</v>
      </c>
      <c r="V334" t="e">
        <f>VLOOKUP($A334&amp;V$1,Data!$A$2:$D$5000,4,FALSE)</f>
        <v>#N/A</v>
      </c>
      <c r="W334" t="e">
        <f>VLOOKUP($A334&amp;W$1,Data!$A$2:$D$5000,4,FALSE)</f>
        <v>#N/A</v>
      </c>
      <c r="X334" t="e">
        <f>VLOOKUP($A334&amp;X$1,Data!$A$2:$D$5000,4,FALSE)</f>
        <v>#N/A</v>
      </c>
      <c r="Y334" t="e">
        <f>VLOOKUP($A334&amp;Y$1,Data!$A$2:$D$5000,4,FALSE)</f>
        <v>#N/A</v>
      </c>
      <c r="Z334" t="e">
        <f>VLOOKUP($A334&amp;Z$1,Data!$A$2:$D$5000,4,FALSE)</f>
        <v>#N/A</v>
      </c>
      <c r="AA334" t="e">
        <f>VLOOKUP($A334&amp;AA$1,Data!$A$2:$D$5000,4,FALSE)</f>
        <v>#N/A</v>
      </c>
      <c r="AB334" t="e">
        <f>VLOOKUP($A334&amp;AB$1,Data!$A$2:$D$5000,4,FALSE)</f>
        <v>#N/A</v>
      </c>
      <c r="AC334" t="e">
        <f>VLOOKUP($A334&amp;AC$1,Data!$A$2:$D$5000,4,FALSE)</f>
        <v>#N/A</v>
      </c>
      <c r="AD334" t="e">
        <f>VLOOKUP($A334&amp;AD$1,Data!$A$2:$D$5000,4,FALSE)</f>
        <v>#N/A</v>
      </c>
      <c r="AE334" t="e">
        <f>VLOOKUP($A334&amp;AE$1,Data!$A$2:$D$5000,4,FALSE)</f>
        <v>#N/A</v>
      </c>
      <c r="AF334" t="e">
        <f>VLOOKUP($A334&amp;AF$1,Data!$A$2:$D$5000,4,FALSE)</f>
        <v>#N/A</v>
      </c>
      <c r="AG334" t="e">
        <f>VLOOKUP($A334&amp;AG$1,Data!$A$2:$D$5000,4,FALSE)</f>
        <v>#N/A</v>
      </c>
    </row>
    <row r="335" spans="1:33" hidden="1" x14ac:dyDescent="0.35">
      <c r="A335" s="19">
        <f t="shared" si="21"/>
        <v>334</v>
      </c>
      <c r="B335" t="s">
        <v>20</v>
      </c>
      <c r="C335" t="s">
        <v>3</v>
      </c>
      <c r="D335">
        <v>10</v>
      </c>
      <c r="E335" t="s">
        <v>17</v>
      </c>
      <c r="F335" s="5">
        <v>43831</v>
      </c>
      <c r="G335" s="5">
        <v>44562</v>
      </c>
      <c r="H335">
        <v>14</v>
      </c>
      <c r="I335">
        <v>9</v>
      </c>
      <c r="J335">
        <f t="shared" ref="J335:K350" si="23">J362</f>
        <v>32</v>
      </c>
      <c r="K335">
        <f t="shared" si="23"/>
        <v>68</v>
      </c>
      <c r="L335">
        <v>10000</v>
      </c>
    </row>
    <row r="336" spans="1:33" hidden="1" x14ac:dyDescent="0.35">
      <c r="A336" s="19">
        <f t="shared" si="21"/>
        <v>335</v>
      </c>
      <c r="B336" t="s">
        <v>20</v>
      </c>
      <c r="C336" t="s">
        <v>3</v>
      </c>
      <c r="D336">
        <v>100</v>
      </c>
      <c r="E336" t="s">
        <v>17</v>
      </c>
      <c r="F336" s="5">
        <v>43831</v>
      </c>
      <c r="G336" s="5">
        <v>44562</v>
      </c>
      <c r="H336">
        <v>14</v>
      </c>
      <c r="I336">
        <v>9</v>
      </c>
      <c r="J336">
        <f t="shared" si="23"/>
        <v>32</v>
      </c>
      <c r="K336">
        <f t="shared" si="23"/>
        <v>68</v>
      </c>
      <c r="L336">
        <v>10000</v>
      </c>
    </row>
    <row r="337" spans="1:12" hidden="1" x14ac:dyDescent="0.35">
      <c r="A337" s="19">
        <f t="shared" si="21"/>
        <v>336</v>
      </c>
      <c r="B337" t="s">
        <v>20</v>
      </c>
      <c r="C337" t="s">
        <v>3</v>
      </c>
      <c r="D337">
        <v>200</v>
      </c>
      <c r="E337" t="s">
        <v>17</v>
      </c>
      <c r="F337" s="5">
        <v>43831</v>
      </c>
      <c r="G337" s="5">
        <v>44562</v>
      </c>
      <c r="H337">
        <v>14</v>
      </c>
      <c r="I337">
        <v>9</v>
      </c>
      <c r="J337">
        <f t="shared" si="23"/>
        <v>32</v>
      </c>
      <c r="K337">
        <f t="shared" si="23"/>
        <v>68</v>
      </c>
      <c r="L337">
        <v>10000</v>
      </c>
    </row>
    <row r="338" spans="1:12" hidden="1" x14ac:dyDescent="0.35">
      <c r="A338" s="19">
        <f t="shared" si="21"/>
        <v>337</v>
      </c>
      <c r="B338" t="s">
        <v>20</v>
      </c>
      <c r="C338" t="s">
        <v>2</v>
      </c>
      <c r="D338">
        <v>10</v>
      </c>
      <c r="E338" t="s">
        <v>17</v>
      </c>
      <c r="F338" s="5">
        <v>43831</v>
      </c>
      <c r="G338" s="5">
        <v>44562</v>
      </c>
      <c r="H338">
        <v>14</v>
      </c>
      <c r="I338">
        <v>9</v>
      </c>
      <c r="J338">
        <f t="shared" si="23"/>
        <v>32</v>
      </c>
      <c r="K338">
        <f t="shared" si="23"/>
        <v>68</v>
      </c>
      <c r="L338">
        <v>10000</v>
      </c>
    </row>
    <row r="339" spans="1:12" hidden="1" x14ac:dyDescent="0.35">
      <c r="A339" s="19">
        <f t="shared" si="21"/>
        <v>338</v>
      </c>
      <c r="B339" t="s">
        <v>20</v>
      </c>
      <c r="C339" t="s">
        <v>2</v>
      </c>
      <c r="D339">
        <v>100</v>
      </c>
      <c r="E339" t="s">
        <v>17</v>
      </c>
      <c r="F339" s="5">
        <v>43831</v>
      </c>
      <c r="G339" s="5">
        <v>44562</v>
      </c>
      <c r="H339">
        <v>14</v>
      </c>
      <c r="I339">
        <v>9</v>
      </c>
      <c r="J339">
        <f t="shared" si="23"/>
        <v>32</v>
      </c>
      <c r="K339">
        <f t="shared" si="23"/>
        <v>68</v>
      </c>
      <c r="L339">
        <v>10000</v>
      </c>
    </row>
    <row r="340" spans="1:12" hidden="1" x14ac:dyDescent="0.35">
      <c r="A340" s="19">
        <f t="shared" si="21"/>
        <v>339</v>
      </c>
      <c r="B340" t="s">
        <v>20</v>
      </c>
      <c r="C340" t="s">
        <v>2</v>
      </c>
      <c r="D340">
        <v>200</v>
      </c>
      <c r="E340" t="s">
        <v>17</v>
      </c>
      <c r="F340" s="5">
        <v>43831</v>
      </c>
      <c r="G340" s="5">
        <v>44562</v>
      </c>
      <c r="H340">
        <v>14</v>
      </c>
      <c r="I340">
        <v>9</v>
      </c>
      <c r="J340">
        <f t="shared" si="23"/>
        <v>32</v>
      </c>
      <c r="K340">
        <f t="shared" si="23"/>
        <v>68</v>
      </c>
      <c r="L340">
        <v>10000</v>
      </c>
    </row>
    <row r="341" spans="1:12" hidden="1" x14ac:dyDescent="0.35">
      <c r="A341" s="19">
        <f t="shared" si="21"/>
        <v>340</v>
      </c>
      <c r="B341" t="s">
        <v>20</v>
      </c>
      <c r="C341" t="s">
        <v>22</v>
      </c>
      <c r="D341">
        <v>10</v>
      </c>
      <c r="E341" t="s">
        <v>17</v>
      </c>
      <c r="F341" s="5">
        <v>43831</v>
      </c>
      <c r="G341" s="5">
        <v>44562</v>
      </c>
      <c r="H341">
        <v>14</v>
      </c>
      <c r="I341">
        <v>9</v>
      </c>
      <c r="J341">
        <f t="shared" si="23"/>
        <v>32</v>
      </c>
      <c r="K341">
        <f t="shared" si="23"/>
        <v>68</v>
      </c>
      <c r="L341">
        <v>10000</v>
      </c>
    </row>
    <row r="342" spans="1:12" hidden="1" x14ac:dyDescent="0.35">
      <c r="A342" s="19">
        <f t="shared" si="21"/>
        <v>341</v>
      </c>
      <c r="B342" t="s">
        <v>20</v>
      </c>
      <c r="C342" t="s">
        <v>22</v>
      </c>
      <c r="D342">
        <v>100</v>
      </c>
      <c r="E342" t="s">
        <v>17</v>
      </c>
      <c r="F342" s="5">
        <v>43831</v>
      </c>
      <c r="G342" s="5">
        <v>44562</v>
      </c>
      <c r="H342">
        <v>14</v>
      </c>
      <c r="I342">
        <v>9</v>
      </c>
      <c r="J342">
        <f t="shared" si="23"/>
        <v>32</v>
      </c>
      <c r="K342">
        <f t="shared" si="23"/>
        <v>68</v>
      </c>
      <c r="L342">
        <v>10000</v>
      </c>
    </row>
    <row r="343" spans="1:12" hidden="1" x14ac:dyDescent="0.35">
      <c r="A343" s="19">
        <f t="shared" si="21"/>
        <v>342</v>
      </c>
      <c r="B343" t="s">
        <v>20</v>
      </c>
      <c r="C343" t="s">
        <v>22</v>
      </c>
      <c r="D343">
        <v>200</v>
      </c>
      <c r="E343" t="s">
        <v>17</v>
      </c>
      <c r="F343" s="5">
        <v>43831</v>
      </c>
      <c r="G343" s="5">
        <v>44562</v>
      </c>
      <c r="H343">
        <v>14</v>
      </c>
      <c r="I343">
        <v>9</v>
      </c>
      <c r="J343">
        <f t="shared" si="23"/>
        <v>32</v>
      </c>
      <c r="K343">
        <f t="shared" si="23"/>
        <v>68</v>
      </c>
      <c r="L343">
        <v>10000</v>
      </c>
    </row>
    <row r="344" spans="1:12" hidden="1" x14ac:dyDescent="0.35">
      <c r="A344" s="19">
        <f t="shared" si="21"/>
        <v>343</v>
      </c>
      <c r="B344" t="s">
        <v>20</v>
      </c>
      <c r="C344" t="s">
        <v>3</v>
      </c>
      <c r="D344">
        <v>10</v>
      </c>
      <c r="E344" t="s">
        <v>17</v>
      </c>
      <c r="F344" s="5">
        <v>43831</v>
      </c>
      <c r="G344" s="5">
        <v>44562</v>
      </c>
      <c r="H344">
        <v>14</v>
      </c>
      <c r="I344">
        <v>9</v>
      </c>
      <c r="J344">
        <f t="shared" si="23"/>
        <v>28</v>
      </c>
      <c r="K344">
        <f t="shared" si="23"/>
        <v>72</v>
      </c>
      <c r="L344">
        <v>10000</v>
      </c>
    </row>
    <row r="345" spans="1:12" hidden="1" x14ac:dyDescent="0.35">
      <c r="A345" s="19">
        <f t="shared" si="21"/>
        <v>344</v>
      </c>
      <c r="B345" t="s">
        <v>20</v>
      </c>
      <c r="C345" t="s">
        <v>3</v>
      </c>
      <c r="D345">
        <v>100</v>
      </c>
      <c r="E345" t="s">
        <v>17</v>
      </c>
      <c r="F345" s="5">
        <v>43831</v>
      </c>
      <c r="G345" s="5">
        <v>44562</v>
      </c>
      <c r="H345">
        <v>14</v>
      </c>
      <c r="I345">
        <v>9</v>
      </c>
      <c r="J345">
        <f t="shared" si="23"/>
        <v>28</v>
      </c>
      <c r="K345">
        <f t="shared" si="23"/>
        <v>72</v>
      </c>
      <c r="L345">
        <v>10000</v>
      </c>
    </row>
    <row r="346" spans="1:12" hidden="1" x14ac:dyDescent="0.35">
      <c r="A346" s="19">
        <f t="shared" si="21"/>
        <v>345</v>
      </c>
      <c r="B346" t="s">
        <v>20</v>
      </c>
      <c r="C346" t="s">
        <v>3</v>
      </c>
      <c r="D346">
        <v>200</v>
      </c>
      <c r="E346" t="s">
        <v>17</v>
      </c>
      <c r="F346" s="5">
        <v>43831</v>
      </c>
      <c r="G346" s="5">
        <v>44562</v>
      </c>
      <c r="H346">
        <v>14</v>
      </c>
      <c r="I346">
        <v>9</v>
      </c>
      <c r="J346">
        <f t="shared" si="23"/>
        <v>28</v>
      </c>
      <c r="K346">
        <f t="shared" si="23"/>
        <v>72</v>
      </c>
      <c r="L346">
        <v>10000</v>
      </c>
    </row>
    <row r="347" spans="1:12" hidden="1" x14ac:dyDescent="0.35">
      <c r="A347" s="19">
        <f t="shared" si="21"/>
        <v>346</v>
      </c>
      <c r="B347" t="s">
        <v>20</v>
      </c>
      <c r="C347" t="s">
        <v>2</v>
      </c>
      <c r="D347">
        <v>10</v>
      </c>
      <c r="E347" t="s">
        <v>17</v>
      </c>
      <c r="F347" s="5">
        <v>43831</v>
      </c>
      <c r="G347" s="5">
        <v>44562</v>
      </c>
      <c r="H347">
        <v>14</v>
      </c>
      <c r="I347">
        <v>9</v>
      </c>
      <c r="J347">
        <f t="shared" si="23"/>
        <v>28</v>
      </c>
      <c r="K347">
        <f t="shared" si="23"/>
        <v>72</v>
      </c>
      <c r="L347">
        <v>10000</v>
      </c>
    </row>
    <row r="348" spans="1:12" hidden="1" x14ac:dyDescent="0.35">
      <c r="A348" s="19">
        <f t="shared" si="21"/>
        <v>347</v>
      </c>
      <c r="B348" t="s">
        <v>20</v>
      </c>
      <c r="C348" t="s">
        <v>2</v>
      </c>
      <c r="D348">
        <v>100</v>
      </c>
      <c r="E348" t="s">
        <v>17</v>
      </c>
      <c r="F348" s="5">
        <v>43831</v>
      </c>
      <c r="G348" s="5">
        <v>44562</v>
      </c>
      <c r="H348">
        <v>14</v>
      </c>
      <c r="I348">
        <v>9</v>
      </c>
      <c r="J348">
        <f t="shared" si="23"/>
        <v>28</v>
      </c>
      <c r="K348">
        <f t="shared" si="23"/>
        <v>72</v>
      </c>
      <c r="L348">
        <v>10000</v>
      </c>
    </row>
    <row r="349" spans="1:12" hidden="1" x14ac:dyDescent="0.35">
      <c r="A349" s="19">
        <f t="shared" si="21"/>
        <v>348</v>
      </c>
      <c r="B349" t="s">
        <v>20</v>
      </c>
      <c r="C349" t="s">
        <v>2</v>
      </c>
      <c r="D349">
        <v>200</v>
      </c>
      <c r="E349" t="s">
        <v>17</v>
      </c>
      <c r="F349" s="5">
        <v>43831</v>
      </c>
      <c r="G349" s="5">
        <v>44562</v>
      </c>
      <c r="H349">
        <v>14</v>
      </c>
      <c r="I349">
        <v>9</v>
      </c>
      <c r="J349">
        <f t="shared" si="23"/>
        <v>28</v>
      </c>
      <c r="K349">
        <f t="shared" si="23"/>
        <v>72</v>
      </c>
      <c r="L349">
        <v>10000</v>
      </c>
    </row>
    <row r="350" spans="1:12" hidden="1" x14ac:dyDescent="0.35">
      <c r="A350" s="19">
        <f t="shared" si="21"/>
        <v>349</v>
      </c>
      <c r="B350" t="s">
        <v>20</v>
      </c>
      <c r="C350" t="s">
        <v>22</v>
      </c>
      <c r="D350">
        <v>10</v>
      </c>
      <c r="E350" t="s">
        <v>17</v>
      </c>
      <c r="F350" s="5">
        <v>43831</v>
      </c>
      <c r="G350" s="5">
        <v>44562</v>
      </c>
      <c r="H350">
        <v>14</v>
      </c>
      <c r="I350">
        <v>9</v>
      </c>
      <c r="J350">
        <f t="shared" si="23"/>
        <v>28</v>
      </c>
      <c r="K350">
        <f t="shared" si="23"/>
        <v>72</v>
      </c>
      <c r="L350">
        <v>10000</v>
      </c>
    </row>
    <row r="351" spans="1:12" hidden="1" x14ac:dyDescent="0.35">
      <c r="A351" s="19">
        <f t="shared" si="21"/>
        <v>350</v>
      </c>
      <c r="B351" t="s">
        <v>20</v>
      </c>
      <c r="C351" t="s">
        <v>22</v>
      </c>
      <c r="D351">
        <v>100</v>
      </c>
      <c r="E351" t="s">
        <v>17</v>
      </c>
      <c r="F351" s="5">
        <v>43831</v>
      </c>
      <c r="G351" s="5">
        <v>44562</v>
      </c>
      <c r="H351">
        <v>14</v>
      </c>
      <c r="I351">
        <v>9</v>
      </c>
      <c r="J351">
        <f t="shared" ref="J351:K351" si="24">J378</f>
        <v>28</v>
      </c>
      <c r="K351">
        <f t="shared" si="24"/>
        <v>72</v>
      </c>
      <c r="L351">
        <v>10000</v>
      </c>
    </row>
    <row r="352" spans="1:12" hidden="1" x14ac:dyDescent="0.35">
      <c r="A352" s="19">
        <f t="shared" si="21"/>
        <v>351</v>
      </c>
      <c r="B352" t="s">
        <v>20</v>
      </c>
      <c r="C352" t="s">
        <v>22</v>
      </c>
      <c r="D352">
        <v>200</v>
      </c>
      <c r="E352" t="s">
        <v>17</v>
      </c>
      <c r="F352" s="5">
        <v>43831</v>
      </c>
      <c r="G352" s="5">
        <v>44562</v>
      </c>
      <c r="H352">
        <v>14</v>
      </c>
      <c r="I352">
        <v>9</v>
      </c>
      <c r="J352">
        <f>J379</f>
        <v>28</v>
      </c>
      <c r="K352">
        <f>K379</f>
        <v>72</v>
      </c>
      <c r="L352">
        <v>10000</v>
      </c>
    </row>
    <row r="353" spans="1:33" hidden="1" x14ac:dyDescent="0.35">
      <c r="A353" s="13">
        <f t="shared" si="21"/>
        <v>352</v>
      </c>
      <c r="B353" t="s">
        <v>21</v>
      </c>
      <c r="C353" t="s">
        <v>3</v>
      </c>
      <c r="D353">
        <v>10</v>
      </c>
      <c r="E353" t="s">
        <v>17</v>
      </c>
      <c r="F353" s="5">
        <v>43831</v>
      </c>
      <c r="G353" s="5">
        <v>44562</v>
      </c>
      <c r="H353">
        <v>14</v>
      </c>
      <c r="I353">
        <v>9</v>
      </c>
      <c r="J353">
        <v>30</v>
      </c>
      <c r="K353">
        <v>70</v>
      </c>
      <c r="L353">
        <v>10000</v>
      </c>
      <c r="V353" t="e">
        <f>VLOOKUP($A353&amp;V$1,Data!$A$2:$D$5000,4,FALSE)</f>
        <v>#N/A</v>
      </c>
      <c r="W353" t="e">
        <f>VLOOKUP($A353&amp;W$1,Data!$A$2:$D$5000,4,FALSE)</f>
        <v>#N/A</v>
      </c>
      <c r="X353" t="e">
        <f>VLOOKUP($A353&amp;X$1,Data!$A$2:$D$5000,4,FALSE)</f>
        <v>#N/A</v>
      </c>
      <c r="Y353" t="e">
        <f>VLOOKUP($A353&amp;Y$1,Data!$A$2:$D$5000,4,FALSE)</f>
        <v>#N/A</v>
      </c>
      <c r="Z353" t="e">
        <f>VLOOKUP($A353&amp;Z$1,Data!$A$2:$D$5000,4,FALSE)</f>
        <v>#N/A</v>
      </c>
      <c r="AA353" t="e">
        <f>VLOOKUP($A353&amp;AA$1,Data!$A$2:$D$5000,4,FALSE)</f>
        <v>#N/A</v>
      </c>
      <c r="AB353" t="e">
        <f>VLOOKUP($A353&amp;AB$1,Data!$A$2:$D$5000,4,FALSE)</f>
        <v>#N/A</v>
      </c>
      <c r="AC353" t="e">
        <f>VLOOKUP($A353&amp;AC$1,Data!$A$2:$D$5000,4,FALSE)</f>
        <v>#N/A</v>
      </c>
      <c r="AD353" t="e">
        <f>VLOOKUP($A353&amp;AD$1,Data!$A$2:$D$5000,4,FALSE)</f>
        <v>#N/A</v>
      </c>
      <c r="AE353" t="e">
        <f>VLOOKUP($A353&amp;AE$1,Data!$A$2:$D$5000,4,FALSE)</f>
        <v>#N/A</v>
      </c>
      <c r="AF353" t="e">
        <f>VLOOKUP($A353&amp;AF$1,Data!$A$2:$D$5000,4,FALSE)</f>
        <v>#N/A</v>
      </c>
      <c r="AG353" t="e">
        <f>VLOOKUP($A353&amp;AG$1,Data!$A$2:$D$5000,4,FALSE)</f>
        <v>#N/A</v>
      </c>
    </row>
    <row r="354" spans="1:33" hidden="1" x14ac:dyDescent="0.35">
      <c r="A354" s="13">
        <f t="shared" si="21"/>
        <v>353</v>
      </c>
      <c r="B354" t="s">
        <v>21</v>
      </c>
      <c r="C354" t="s">
        <v>3</v>
      </c>
      <c r="D354">
        <v>100</v>
      </c>
      <c r="E354" t="s">
        <v>17</v>
      </c>
      <c r="F354" s="5">
        <v>43831</v>
      </c>
      <c r="G354" s="5">
        <v>44562</v>
      </c>
      <c r="H354">
        <v>14</v>
      </c>
      <c r="I354">
        <v>9</v>
      </c>
      <c r="J354">
        <v>30</v>
      </c>
      <c r="K354">
        <v>70</v>
      </c>
      <c r="L354">
        <v>10000</v>
      </c>
      <c r="V354" t="e">
        <f>VLOOKUP($A354&amp;V$1,Data!$A$2:$D$5000,4,FALSE)</f>
        <v>#N/A</v>
      </c>
      <c r="W354" t="e">
        <f>VLOOKUP($A354&amp;W$1,Data!$A$2:$D$5000,4,FALSE)</f>
        <v>#N/A</v>
      </c>
      <c r="X354" t="e">
        <f>VLOOKUP($A354&amp;X$1,Data!$A$2:$D$5000,4,FALSE)</f>
        <v>#N/A</v>
      </c>
      <c r="Y354" t="e">
        <f>VLOOKUP($A354&amp;Y$1,Data!$A$2:$D$5000,4,FALSE)</f>
        <v>#N/A</v>
      </c>
      <c r="Z354" t="e">
        <f>VLOOKUP($A354&amp;Z$1,Data!$A$2:$D$5000,4,FALSE)</f>
        <v>#N/A</v>
      </c>
      <c r="AA354" t="e">
        <f>VLOOKUP($A354&amp;AA$1,Data!$A$2:$D$5000,4,FALSE)</f>
        <v>#N/A</v>
      </c>
      <c r="AB354" t="e">
        <f>VLOOKUP($A354&amp;AB$1,Data!$A$2:$D$5000,4,FALSE)</f>
        <v>#N/A</v>
      </c>
      <c r="AC354" t="e">
        <f>VLOOKUP($A354&amp;AC$1,Data!$A$2:$D$5000,4,FALSE)</f>
        <v>#N/A</v>
      </c>
      <c r="AD354" t="e">
        <f>VLOOKUP($A354&amp;AD$1,Data!$A$2:$D$5000,4,FALSE)</f>
        <v>#N/A</v>
      </c>
      <c r="AE354" t="e">
        <f>VLOOKUP($A354&amp;AE$1,Data!$A$2:$D$5000,4,FALSE)</f>
        <v>#N/A</v>
      </c>
      <c r="AF354" t="e">
        <f>VLOOKUP($A354&amp;AF$1,Data!$A$2:$D$5000,4,FALSE)</f>
        <v>#N/A</v>
      </c>
      <c r="AG354" t="e">
        <f>VLOOKUP($A354&amp;AG$1,Data!$A$2:$D$5000,4,FALSE)</f>
        <v>#N/A</v>
      </c>
    </row>
    <row r="355" spans="1:33" hidden="1" x14ac:dyDescent="0.35">
      <c r="A355" s="13">
        <f t="shared" si="21"/>
        <v>354</v>
      </c>
      <c r="B355" t="s">
        <v>21</v>
      </c>
      <c r="C355" t="s">
        <v>3</v>
      </c>
      <c r="D355">
        <v>200</v>
      </c>
      <c r="E355" t="s">
        <v>17</v>
      </c>
      <c r="F355" s="5">
        <v>43831</v>
      </c>
      <c r="G355" s="5">
        <v>44562</v>
      </c>
      <c r="H355">
        <v>14</v>
      </c>
      <c r="I355">
        <v>9</v>
      </c>
      <c r="J355">
        <v>30</v>
      </c>
      <c r="K355">
        <v>70</v>
      </c>
      <c r="L355">
        <v>10000</v>
      </c>
      <c r="V355" t="e">
        <f>VLOOKUP($A355&amp;V$1,Data!$A$2:$D$5000,4,FALSE)</f>
        <v>#N/A</v>
      </c>
      <c r="W355" t="e">
        <f>VLOOKUP($A355&amp;W$1,Data!$A$2:$D$5000,4,FALSE)</f>
        <v>#N/A</v>
      </c>
      <c r="X355" t="e">
        <f>VLOOKUP($A355&amp;X$1,Data!$A$2:$D$5000,4,FALSE)</f>
        <v>#N/A</v>
      </c>
      <c r="Y355" t="e">
        <f>VLOOKUP($A355&amp;Y$1,Data!$A$2:$D$5000,4,FALSE)</f>
        <v>#N/A</v>
      </c>
      <c r="Z355" t="e">
        <f>VLOOKUP($A355&amp;Z$1,Data!$A$2:$D$5000,4,FALSE)</f>
        <v>#N/A</v>
      </c>
      <c r="AA355" t="e">
        <f>VLOOKUP($A355&amp;AA$1,Data!$A$2:$D$5000,4,FALSE)</f>
        <v>#N/A</v>
      </c>
      <c r="AB355" t="e">
        <f>VLOOKUP($A355&amp;AB$1,Data!$A$2:$D$5000,4,FALSE)</f>
        <v>#N/A</v>
      </c>
      <c r="AC355" t="e">
        <f>VLOOKUP($A355&amp;AC$1,Data!$A$2:$D$5000,4,FALSE)</f>
        <v>#N/A</v>
      </c>
      <c r="AD355" t="e">
        <f>VLOOKUP($A355&amp;AD$1,Data!$A$2:$D$5000,4,FALSE)</f>
        <v>#N/A</v>
      </c>
      <c r="AE355" t="e">
        <f>VLOOKUP($A355&amp;AE$1,Data!$A$2:$D$5000,4,FALSE)</f>
        <v>#N/A</v>
      </c>
      <c r="AF355" t="e">
        <f>VLOOKUP($A355&amp;AF$1,Data!$A$2:$D$5000,4,FALSE)</f>
        <v>#N/A</v>
      </c>
      <c r="AG355" t="e">
        <f>VLOOKUP($A355&amp;AG$1,Data!$A$2:$D$5000,4,FALSE)</f>
        <v>#N/A</v>
      </c>
    </row>
    <row r="356" spans="1:33" hidden="1" x14ac:dyDescent="0.35">
      <c r="A356" s="19">
        <f t="shared" si="21"/>
        <v>355</v>
      </c>
      <c r="B356" t="s">
        <v>21</v>
      </c>
      <c r="C356" t="s">
        <v>2</v>
      </c>
      <c r="D356">
        <v>10</v>
      </c>
      <c r="E356" t="s">
        <v>17</v>
      </c>
      <c r="F356" s="5">
        <v>43831</v>
      </c>
      <c r="G356" s="5">
        <v>44562</v>
      </c>
      <c r="H356">
        <v>14</v>
      </c>
      <c r="I356">
        <v>9</v>
      </c>
      <c r="J356">
        <v>30</v>
      </c>
      <c r="K356">
        <v>70</v>
      </c>
      <c r="L356">
        <v>10000</v>
      </c>
      <c r="V356" t="e">
        <f>VLOOKUP($A356&amp;V$1,Data!$A$2:$D$5000,4,FALSE)</f>
        <v>#N/A</v>
      </c>
      <c r="W356" t="e">
        <f>VLOOKUP($A356&amp;W$1,Data!$A$2:$D$5000,4,FALSE)</f>
        <v>#N/A</v>
      </c>
      <c r="X356" t="e">
        <f>VLOOKUP($A356&amp;X$1,Data!$A$2:$D$5000,4,FALSE)</f>
        <v>#N/A</v>
      </c>
      <c r="Y356" t="e">
        <f>VLOOKUP($A356&amp;Y$1,Data!$A$2:$D$5000,4,FALSE)</f>
        <v>#N/A</v>
      </c>
      <c r="Z356" t="e">
        <f>VLOOKUP($A356&amp;Z$1,Data!$A$2:$D$5000,4,FALSE)</f>
        <v>#N/A</v>
      </c>
      <c r="AA356" t="e">
        <f>VLOOKUP($A356&amp;AA$1,Data!$A$2:$D$5000,4,FALSE)</f>
        <v>#N/A</v>
      </c>
      <c r="AB356" t="e">
        <f>VLOOKUP($A356&amp;AB$1,Data!$A$2:$D$5000,4,FALSE)</f>
        <v>#N/A</v>
      </c>
      <c r="AC356" t="e">
        <f>VLOOKUP($A356&amp;AC$1,Data!$A$2:$D$5000,4,FALSE)</f>
        <v>#N/A</v>
      </c>
      <c r="AD356" t="e">
        <f>VLOOKUP($A356&amp;AD$1,Data!$A$2:$D$5000,4,FALSE)</f>
        <v>#N/A</v>
      </c>
      <c r="AE356" t="e">
        <f>VLOOKUP($A356&amp;AE$1,Data!$A$2:$D$5000,4,FALSE)</f>
        <v>#N/A</v>
      </c>
      <c r="AF356" t="e">
        <f>VLOOKUP($A356&amp;AF$1,Data!$A$2:$D$5000,4,FALSE)</f>
        <v>#N/A</v>
      </c>
      <c r="AG356" t="e">
        <f>VLOOKUP($A356&amp;AG$1,Data!$A$2:$D$5000,4,FALSE)</f>
        <v>#N/A</v>
      </c>
    </row>
    <row r="357" spans="1:33" hidden="1" x14ac:dyDescent="0.35">
      <c r="A357" s="19">
        <f t="shared" si="21"/>
        <v>356</v>
      </c>
      <c r="B357" t="s">
        <v>21</v>
      </c>
      <c r="C357" t="s">
        <v>2</v>
      </c>
      <c r="D357">
        <v>100</v>
      </c>
      <c r="E357" t="s">
        <v>17</v>
      </c>
      <c r="F357" s="5">
        <v>43831</v>
      </c>
      <c r="G357" s="5">
        <v>44562</v>
      </c>
      <c r="H357">
        <v>14</v>
      </c>
      <c r="I357">
        <v>9</v>
      </c>
      <c r="J357">
        <v>30</v>
      </c>
      <c r="K357">
        <v>70</v>
      </c>
      <c r="L357">
        <v>10000</v>
      </c>
      <c r="V357" t="e">
        <f>VLOOKUP($A357&amp;V$1,Data!$A$2:$D$5000,4,FALSE)</f>
        <v>#N/A</v>
      </c>
      <c r="W357" t="e">
        <f>VLOOKUP($A357&amp;W$1,Data!$A$2:$D$5000,4,FALSE)</f>
        <v>#N/A</v>
      </c>
      <c r="X357" t="e">
        <f>VLOOKUP($A357&amp;X$1,Data!$A$2:$D$5000,4,FALSE)</f>
        <v>#N/A</v>
      </c>
      <c r="Y357" t="e">
        <f>VLOOKUP($A357&amp;Y$1,Data!$A$2:$D$5000,4,FALSE)</f>
        <v>#N/A</v>
      </c>
      <c r="Z357" t="e">
        <f>VLOOKUP($A357&amp;Z$1,Data!$A$2:$D$5000,4,FALSE)</f>
        <v>#N/A</v>
      </c>
      <c r="AA357" t="e">
        <f>VLOOKUP($A357&amp;AA$1,Data!$A$2:$D$5000,4,FALSE)</f>
        <v>#N/A</v>
      </c>
      <c r="AB357" t="e">
        <f>VLOOKUP($A357&amp;AB$1,Data!$A$2:$D$5000,4,FALSE)</f>
        <v>#N/A</v>
      </c>
      <c r="AC357" t="e">
        <f>VLOOKUP($A357&amp;AC$1,Data!$A$2:$D$5000,4,FALSE)</f>
        <v>#N/A</v>
      </c>
      <c r="AD357" t="e">
        <f>VLOOKUP($A357&amp;AD$1,Data!$A$2:$D$5000,4,FALSE)</f>
        <v>#N/A</v>
      </c>
      <c r="AE357" t="e">
        <f>VLOOKUP($A357&amp;AE$1,Data!$A$2:$D$5000,4,FALSE)</f>
        <v>#N/A</v>
      </c>
      <c r="AF357" t="e">
        <f>VLOOKUP($A357&amp;AF$1,Data!$A$2:$D$5000,4,FALSE)</f>
        <v>#N/A</v>
      </c>
      <c r="AG357" t="e">
        <f>VLOOKUP($A357&amp;AG$1,Data!$A$2:$D$5000,4,FALSE)</f>
        <v>#N/A</v>
      </c>
    </row>
    <row r="358" spans="1:33" hidden="1" x14ac:dyDescent="0.35">
      <c r="A358" s="19">
        <f t="shared" si="21"/>
        <v>357</v>
      </c>
      <c r="B358" t="s">
        <v>21</v>
      </c>
      <c r="C358" t="s">
        <v>2</v>
      </c>
      <c r="D358">
        <v>200</v>
      </c>
      <c r="E358" t="s">
        <v>17</v>
      </c>
      <c r="F358" s="5">
        <v>43831</v>
      </c>
      <c r="G358" s="5">
        <v>44562</v>
      </c>
      <c r="H358">
        <v>14</v>
      </c>
      <c r="I358">
        <v>9</v>
      </c>
      <c r="J358">
        <v>30</v>
      </c>
      <c r="K358">
        <v>70</v>
      </c>
      <c r="L358">
        <v>10000</v>
      </c>
      <c r="V358" t="e">
        <f>VLOOKUP($A358&amp;V$1,Data!$A$2:$D$5000,4,FALSE)</f>
        <v>#N/A</v>
      </c>
      <c r="W358" t="e">
        <f>VLOOKUP($A358&amp;W$1,Data!$A$2:$D$5000,4,FALSE)</f>
        <v>#N/A</v>
      </c>
      <c r="X358" t="e">
        <f>VLOOKUP($A358&amp;X$1,Data!$A$2:$D$5000,4,FALSE)</f>
        <v>#N/A</v>
      </c>
      <c r="Y358" t="e">
        <f>VLOOKUP($A358&amp;Y$1,Data!$A$2:$D$5000,4,FALSE)</f>
        <v>#N/A</v>
      </c>
      <c r="Z358" t="e">
        <f>VLOOKUP($A358&amp;Z$1,Data!$A$2:$D$5000,4,FALSE)</f>
        <v>#N/A</v>
      </c>
      <c r="AA358" t="e">
        <f>VLOOKUP($A358&amp;AA$1,Data!$A$2:$D$5000,4,FALSE)</f>
        <v>#N/A</v>
      </c>
      <c r="AB358" t="e">
        <f>VLOOKUP($A358&amp;AB$1,Data!$A$2:$D$5000,4,FALSE)</f>
        <v>#N/A</v>
      </c>
      <c r="AC358" t="e">
        <f>VLOOKUP($A358&amp;AC$1,Data!$A$2:$D$5000,4,FALSE)</f>
        <v>#N/A</v>
      </c>
      <c r="AD358" t="e">
        <f>VLOOKUP($A358&amp;AD$1,Data!$A$2:$D$5000,4,FALSE)</f>
        <v>#N/A</v>
      </c>
      <c r="AE358" t="e">
        <f>VLOOKUP($A358&amp;AE$1,Data!$A$2:$D$5000,4,FALSE)</f>
        <v>#N/A</v>
      </c>
      <c r="AF358" t="e">
        <f>VLOOKUP($A358&amp;AF$1,Data!$A$2:$D$5000,4,FALSE)</f>
        <v>#N/A</v>
      </c>
      <c r="AG358" t="e">
        <f>VLOOKUP($A358&amp;AG$1,Data!$A$2:$D$5000,4,FALSE)</f>
        <v>#N/A</v>
      </c>
    </row>
    <row r="359" spans="1:33" hidden="1" x14ac:dyDescent="0.35">
      <c r="A359" s="19">
        <f t="shared" si="21"/>
        <v>358</v>
      </c>
      <c r="B359" t="s">
        <v>21</v>
      </c>
      <c r="C359" t="s">
        <v>22</v>
      </c>
      <c r="D359">
        <v>10</v>
      </c>
      <c r="E359" t="s">
        <v>17</v>
      </c>
      <c r="F359" s="5">
        <v>43831</v>
      </c>
      <c r="G359" s="5">
        <v>44562</v>
      </c>
      <c r="H359">
        <v>14</v>
      </c>
      <c r="I359">
        <v>9</v>
      </c>
      <c r="J359">
        <v>30</v>
      </c>
      <c r="K359">
        <v>70</v>
      </c>
      <c r="L359">
        <v>10000</v>
      </c>
      <c r="V359" t="e">
        <f>VLOOKUP($A359&amp;V$1,Data!$A$2:$D$5000,4,FALSE)</f>
        <v>#N/A</v>
      </c>
      <c r="W359" t="e">
        <f>VLOOKUP($A359&amp;W$1,Data!$A$2:$D$5000,4,FALSE)</f>
        <v>#N/A</v>
      </c>
      <c r="X359" t="e">
        <f>VLOOKUP($A359&amp;X$1,Data!$A$2:$D$5000,4,FALSE)</f>
        <v>#N/A</v>
      </c>
      <c r="Y359" t="e">
        <f>VLOOKUP($A359&amp;Y$1,Data!$A$2:$D$5000,4,FALSE)</f>
        <v>#N/A</v>
      </c>
      <c r="Z359" t="e">
        <f>VLOOKUP($A359&amp;Z$1,Data!$A$2:$D$5000,4,FALSE)</f>
        <v>#N/A</v>
      </c>
      <c r="AA359" t="e">
        <f>VLOOKUP($A359&amp;AA$1,Data!$A$2:$D$5000,4,FALSE)</f>
        <v>#N/A</v>
      </c>
      <c r="AB359" t="e">
        <f>VLOOKUP($A359&amp;AB$1,Data!$A$2:$D$5000,4,FALSE)</f>
        <v>#N/A</v>
      </c>
      <c r="AC359" t="e">
        <f>VLOOKUP($A359&amp;AC$1,Data!$A$2:$D$5000,4,FALSE)</f>
        <v>#N/A</v>
      </c>
      <c r="AD359" t="e">
        <f>VLOOKUP($A359&amp;AD$1,Data!$A$2:$D$5000,4,FALSE)</f>
        <v>#N/A</v>
      </c>
      <c r="AE359" t="e">
        <f>VLOOKUP($A359&amp;AE$1,Data!$A$2:$D$5000,4,FALSE)</f>
        <v>#N/A</v>
      </c>
      <c r="AF359" t="e">
        <f>VLOOKUP($A359&amp;AF$1,Data!$A$2:$D$5000,4,FALSE)</f>
        <v>#N/A</v>
      </c>
      <c r="AG359" t="e">
        <f>VLOOKUP($A359&amp;AG$1,Data!$A$2:$D$5000,4,FALSE)</f>
        <v>#N/A</v>
      </c>
    </row>
    <row r="360" spans="1:33" hidden="1" x14ac:dyDescent="0.35">
      <c r="A360" s="19">
        <f t="shared" si="21"/>
        <v>359</v>
      </c>
      <c r="B360" t="s">
        <v>21</v>
      </c>
      <c r="C360" t="s">
        <v>22</v>
      </c>
      <c r="D360">
        <v>100</v>
      </c>
      <c r="E360" t="s">
        <v>17</v>
      </c>
      <c r="F360" s="5">
        <v>43831</v>
      </c>
      <c r="G360" s="5">
        <v>44562</v>
      </c>
      <c r="H360">
        <v>14</v>
      </c>
      <c r="I360">
        <v>9</v>
      </c>
      <c r="J360">
        <v>30</v>
      </c>
      <c r="K360">
        <v>70</v>
      </c>
      <c r="L360">
        <v>10000</v>
      </c>
      <c r="V360" t="e">
        <f>VLOOKUP($A360&amp;V$1,Data!$A$2:$D$5000,4,FALSE)</f>
        <v>#N/A</v>
      </c>
      <c r="W360" t="e">
        <f>VLOOKUP($A360&amp;W$1,Data!$A$2:$D$5000,4,FALSE)</f>
        <v>#N/A</v>
      </c>
      <c r="X360" t="e">
        <f>VLOOKUP($A360&amp;X$1,Data!$A$2:$D$5000,4,FALSE)</f>
        <v>#N/A</v>
      </c>
      <c r="Y360" t="e">
        <f>VLOOKUP($A360&amp;Y$1,Data!$A$2:$D$5000,4,FALSE)</f>
        <v>#N/A</v>
      </c>
      <c r="Z360" t="e">
        <f>VLOOKUP($A360&amp;Z$1,Data!$A$2:$D$5000,4,FALSE)</f>
        <v>#N/A</v>
      </c>
      <c r="AA360" t="e">
        <f>VLOOKUP($A360&amp;AA$1,Data!$A$2:$D$5000,4,FALSE)</f>
        <v>#N/A</v>
      </c>
      <c r="AB360" t="e">
        <f>VLOOKUP($A360&amp;AB$1,Data!$A$2:$D$5000,4,FALSE)</f>
        <v>#N/A</v>
      </c>
      <c r="AC360" t="e">
        <f>VLOOKUP($A360&amp;AC$1,Data!$A$2:$D$5000,4,FALSE)</f>
        <v>#N/A</v>
      </c>
      <c r="AD360" t="e">
        <f>VLOOKUP($A360&amp;AD$1,Data!$A$2:$D$5000,4,FALSE)</f>
        <v>#N/A</v>
      </c>
      <c r="AE360" t="e">
        <f>VLOOKUP($A360&amp;AE$1,Data!$A$2:$D$5000,4,FALSE)</f>
        <v>#N/A</v>
      </c>
      <c r="AF360" t="e">
        <f>VLOOKUP($A360&amp;AF$1,Data!$A$2:$D$5000,4,FALSE)</f>
        <v>#N/A</v>
      </c>
      <c r="AG360" t="e">
        <f>VLOOKUP($A360&amp;AG$1,Data!$A$2:$D$5000,4,FALSE)</f>
        <v>#N/A</v>
      </c>
    </row>
    <row r="361" spans="1:33" hidden="1" x14ac:dyDescent="0.35">
      <c r="A361" s="19">
        <f t="shared" si="21"/>
        <v>360</v>
      </c>
      <c r="B361" t="s">
        <v>21</v>
      </c>
      <c r="C361" t="s">
        <v>22</v>
      </c>
      <c r="D361">
        <v>200</v>
      </c>
      <c r="E361" t="s">
        <v>17</v>
      </c>
      <c r="F361" s="5">
        <v>43831</v>
      </c>
      <c r="G361" s="5">
        <v>44562</v>
      </c>
      <c r="H361">
        <v>14</v>
      </c>
      <c r="I361">
        <v>9</v>
      </c>
      <c r="J361">
        <v>30</v>
      </c>
      <c r="K361">
        <v>70</v>
      </c>
      <c r="L361">
        <v>10000</v>
      </c>
      <c r="V361" t="e">
        <f>VLOOKUP($A361&amp;V$1,Data!$A$2:$D$5000,4,FALSE)</f>
        <v>#N/A</v>
      </c>
      <c r="W361" t="e">
        <f>VLOOKUP($A361&amp;W$1,Data!$A$2:$D$5000,4,FALSE)</f>
        <v>#N/A</v>
      </c>
      <c r="X361" t="e">
        <f>VLOOKUP($A361&amp;X$1,Data!$A$2:$D$5000,4,FALSE)</f>
        <v>#N/A</v>
      </c>
      <c r="Y361" t="e">
        <f>VLOOKUP($A361&amp;Y$1,Data!$A$2:$D$5000,4,FALSE)</f>
        <v>#N/A</v>
      </c>
      <c r="Z361" t="e">
        <f>VLOOKUP($A361&amp;Z$1,Data!$A$2:$D$5000,4,FALSE)</f>
        <v>#N/A</v>
      </c>
      <c r="AA361" t="e">
        <f>VLOOKUP($A361&amp;AA$1,Data!$A$2:$D$5000,4,FALSE)</f>
        <v>#N/A</v>
      </c>
      <c r="AB361" t="e">
        <f>VLOOKUP($A361&amp;AB$1,Data!$A$2:$D$5000,4,FALSE)</f>
        <v>#N/A</v>
      </c>
      <c r="AC361" t="e">
        <f>VLOOKUP($A361&amp;AC$1,Data!$A$2:$D$5000,4,FALSE)</f>
        <v>#N/A</v>
      </c>
      <c r="AD361" t="e">
        <f>VLOOKUP($A361&amp;AD$1,Data!$A$2:$D$5000,4,FALSE)</f>
        <v>#N/A</v>
      </c>
      <c r="AE361" t="e">
        <f>VLOOKUP($A361&amp;AE$1,Data!$A$2:$D$5000,4,FALSE)</f>
        <v>#N/A</v>
      </c>
      <c r="AF361" t="e">
        <f>VLOOKUP($A361&amp;AF$1,Data!$A$2:$D$5000,4,FALSE)</f>
        <v>#N/A</v>
      </c>
      <c r="AG361" t="e">
        <f>VLOOKUP($A361&amp;AG$1,Data!$A$2:$D$5000,4,FALSE)</f>
        <v>#N/A</v>
      </c>
    </row>
    <row r="362" spans="1:33" hidden="1" x14ac:dyDescent="0.35">
      <c r="A362" s="19">
        <f t="shared" si="21"/>
        <v>361</v>
      </c>
      <c r="B362" t="s">
        <v>21</v>
      </c>
      <c r="C362" t="s">
        <v>3</v>
      </c>
      <c r="D362">
        <v>10</v>
      </c>
      <c r="E362" t="s">
        <v>17</v>
      </c>
      <c r="F362" s="5">
        <v>43831</v>
      </c>
      <c r="G362" s="5">
        <v>44562</v>
      </c>
      <c r="H362">
        <v>14</v>
      </c>
      <c r="I362">
        <v>9</v>
      </c>
      <c r="J362">
        <v>32</v>
      </c>
      <c r="K362">
        <v>68</v>
      </c>
      <c r="L362">
        <v>10000</v>
      </c>
    </row>
    <row r="363" spans="1:33" hidden="1" x14ac:dyDescent="0.35">
      <c r="A363" s="19">
        <f t="shared" si="21"/>
        <v>362</v>
      </c>
      <c r="B363" t="s">
        <v>21</v>
      </c>
      <c r="C363" t="s">
        <v>3</v>
      </c>
      <c r="D363">
        <v>100</v>
      </c>
      <c r="E363" t="s">
        <v>17</v>
      </c>
      <c r="F363" s="5">
        <v>43831</v>
      </c>
      <c r="G363" s="5">
        <v>44562</v>
      </c>
      <c r="H363">
        <v>14</v>
      </c>
      <c r="I363">
        <v>9</v>
      </c>
      <c r="J363">
        <v>32</v>
      </c>
      <c r="K363">
        <v>68</v>
      </c>
      <c r="L363">
        <v>10000</v>
      </c>
    </row>
    <row r="364" spans="1:33" hidden="1" x14ac:dyDescent="0.35">
      <c r="A364" s="19">
        <f t="shared" si="21"/>
        <v>363</v>
      </c>
      <c r="B364" t="s">
        <v>21</v>
      </c>
      <c r="C364" t="s">
        <v>3</v>
      </c>
      <c r="D364">
        <v>200</v>
      </c>
      <c r="E364" t="s">
        <v>17</v>
      </c>
      <c r="F364" s="5">
        <v>43831</v>
      </c>
      <c r="G364" s="5">
        <v>44562</v>
      </c>
      <c r="H364">
        <v>14</v>
      </c>
      <c r="I364">
        <v>9</v>
      </c>
      <c r="J364">
        <v>32</v>
      </c>
      <c r="K364">
        <v>68</v>
      </c>
      <c r="L364">
        <v>10000</v>
      </c>
    </row>
    <row r="365" spans="1:33" hidden="1" x14ac:dyDescent="0.35">
      <c r="A365" s="19">
        <f t="shared" si="21"/>
        <v>364</v>
      </c>
      <c r="B365" t="s">
        <v>21</v>
      </c>
      <c r="C365" t="s">
        <v>2</v>
      </c>
      <c r="D365">
        <v>10</v>
      </c>
      <c r="E365" t="s">
        <v>17</v>
      </c>
      <c r="F365" s="5">
        <v>43831</v>
      </c>
      <c r="G365" s="5">
        <v>44562</v>
      </c>
      <c r="H365">
        <v>14</v>
      </c>
      <c r="I365">
        <v>9</v>
      </c>
      <c r="J365">
        <v>32</v>
      </c>
      <c r="K365">
        <v>68</v>
      </c>
      <c r="L365">
        <v>10000</v>
      </c>
    </row>
    <row r="366" spans="1:33" hidden="1" x14ac:dyDescent="0.35">
      <c r="A366" s="19">
        <f t="shared" si="21"/>
        <v>365</v>
      </c>
      <c r="B366" t="s">
        <v>21</v>
      </c>
      <c r="C366" t="s">
        <v>2</v>
      </c>
      <c r="D366">
        <v>100</v>
      </c>
      <c r="E366" t="s">
        <v>17</v>
      </c>
      <c r="F366" s="5">
        <v>43831</v>
      </c>
      <c r="G366" s="5">
        <v>44562</v>
      </c>
      <c r="H366">
        <v>14</v>
      </c>
      <c r="I366">
        <v>9</v>
      </c>
      <c r="J366">
        <v>32</v>
      </c>
      <c r="K366">
        <v>68</v>
      </c>
      <c r="L366">
        <v>10000</v>
      </c>
    </row>
    <row r="367" spans="1:33" hidden="1" x14ac:dyDescent="0.35">
      <c r="A367" s="19">
        <f t="shared" si="21"/>
        <v>366</v>
      </c>
      <c r="B367" t="s">
        <v>21</v>
      </c>
      <c r="C367" t="s">
        <v>2</v>
      </c>
      <c r="D367">
        <v>200</v>
      </c>
      <c r="E367" t="s">
        <v>17</v>
      </c>
      <c r="F367" s="5">
        <v>43831</v>
      </c>
      <c r="G367" s="5">
        <v>44562</v>
      </c>
      <c r="H367">
        <v>14</v>
      </c>
      <c r="I367">
        <v>9</v>
      </c>
      <c r="J367">
        <v>32</v>
      </c>
      <c r="K367">
        <v>68</v>
      </c>
      <c r="L367">
        <v>10000</v>
      </c>
    </row>
    <row r="368" spans="1:33" hidden="1" x14ac:dyDescent="0.35">
      <c r="A368" s="19">
        <f t="shared" ref="A368:A379" si="25">A367+1</f>
        <v>367</v>
      </c>
      <c r="B368" t="s">
        <v>21</v>
      </c>
      <c r="C368" t="s">
        <v>22</v>
      </c>
      <c r="D368">
        <v>10</v>
      </c>
      <c r="E368" t="s">
        <v>17</v>
      </c>
      <c r="F368" s="5">
        <v>43831</v>
      </c>
      <c r="G368" s="5">
        <v>44562</v>
      </c>
      <c r="H368">
        <v>14</v>
      </c>
      <c r="I368">
        <v>9</v>
      </c>
      <c r="J368">
        <v>32</v>
      </c>
      <c r="K368">
        <v>68</v>
      </c>
      <c r="L368">
        <v>10000</v>
      </c>
    </row>
    <row r="369" spans="1:12" hidden="1" x14ac:dyDescent="0.35">
      <c r="A369" s="19">
        <f t="shared" si="25"/>
        <v>368</v>
      </c>
      <c r="B369" t="s">
        <v>21</v>
      </c>
      <c r="C369" t="s">
        <v>22</v>
      </c>
      <c r="D369">
        <v>100</v>
      </c>
      <c r="E369" t="s">
        <v>17</v>
      </c>
      <c r="F369" s="5">
        <v>43831</v>
      </c>
      <c r="G369" s="5">
        <v>44562</v>
      </c>
      <c r="H369">
        <v>14</v>
      </c>
      <c r="I369">
        <v>9</v>
      </c>
      <c r="J369">
        <v>32</v>
      </c>
      <c r="K369">
        <v>68</v>
      </c>
      <c r="L369">
        <v>10000</v>
      </c>
    </row>
    <row r="370" spans="1:12" hidden="1" x14ac:dyDescent="0.35">
      <c r="A370" s="19">
        <f t="shared" si="25"/>
        <v>369</v>
      </c>
      <c r="B370" t="s">
        <v>21</v>
      </c>
      <c r="C370" t="s">
        <v>22</v>
      </c>
      <c r="D370">
        <v>200</v>
      </c>
      <c r="E370" t="s">
        <v>17</v>
      </c>
      <c r="F370" s="5">
        <v>43831</v>
      </c>
      <c r="G370" s="5">
        <v>44562</v>
      </c>
      <c r="H370">
        <v>14</v>
      </c>
      <c r="I370">
        <v>9</v>
      </c>
      <c r="J370">
        <v>32</v>
      </c>
      <c r="K370">
        <v>68</v>
      </c>
      <c r="L370">
        <v>10000</v>
      </c>
    </row>
    <row r="371" spans="1:12" hidden="1" x14ac:dyDescent="0.35">
      <c r="A371" s="19">
        <f t="shared" si="25"/>
        <v>370</v>
      </c>
      <c r="B371" t="s">
        <v>21</v>
      </c>
      <c r="C371" t="s">
        <v>3</v>
      </c>
      <c r="D371">
        <v>10</v>
      </c>
      <c r="E371" t="s">
        <v>17</v>
      </c>
      <c r="F371" s="5">
        <v>43831</v>
      </c>
      <c r="G371" s="5">
        <v>44562</v>
      </c>
      <c r="H371">
        <v>14</v>
      </c>
      <c r="I371">
        <v>9</v>
      </c>
      <c r="J371">
        <v>28</v>
      </c>
      <c r="K371">
        <v>72</v>
      </c>
      <c r="L371">
        <v>10000</v>
      </c>
    </row>
    <row r="372" spans="1:12" hidden="1" x14ac:dyDescent="0.35">
      <c r="A372" s="19">
        <f t="shared" si="25"/>
        <v>371</v>
      </c>
      <c r="B372" t="s">
        <v>21</v>
      </c>
      <c r="C372" t="s">
        <v>3</v>
      </c>
      <c r="D372">
        <v>100</v>
      </c>
      <c r="E372" t="s">
        <v>17</v>
      </c>
      <c r="F372" s="5">
        <v>43831</v>
      </c>
      <c r="G372" s="5">
        <v>44562</v>
      </c>
      <c r="H372">
        <v>14</v>
      </c>
      <c r="I372">
        <v>9</v>
      </c>
      <c r="J372">
        <v>28</v>
      </c>
      <c r="K372">
        <v>72</v>
      </c>
      <c r="L372">
        <v>10000</v>
      </c>
    </row>
    <row r="373" spans="1:12" hidden="1" x14ac:dyDescent="0.35">
      <c r="A373" s="19">
        <f t="shared" si="25"/>
        <v>372</v>
      </c>
      <c r="B373" t="s">
        <v>21</v>
      </c>
      <c r="C373" t="s">
        <v>3</v>
      </c>
      <c r="D373">
        <v>200</v>
      </c>
      <c r="E373" t="s">
        <v>17</v>
      </c>
      <c r="F373" s="5">
        <v>43831</v>
      </c>
      <c r="G373" s="5">
        <v>44562</v>
      </c>
      <c r="H373">
        <v>14</v>
      </c>
      <c r="I373">
        <v>9</v>
      </c>
      <c r="J373">
        <v>28</v>
      </c>
      <c r="K373">
        <v>72</v>
      </c>
      <c r="L373">
        <v>10000</v>
      </c>
    </row>
    <row r="374" spans="1:12" hidden="1" x14ac:dyDescent="0.35">
      <c r="A374" s="19">
        <f t="shared" si="25"/>
        <v>373</v>
      </c>
      <c r="B374" t="s">
        <v>21</v>
      </c>
      <c r="C374" t="s">
        <v>2</v>
      </c>
      <c r="D374">
        <v>10</v>
      </c>
      <c r="E374" t="s">
        <v>17</v>
      </c>
      <c r="F374" s="5">
        <v>43831</v>
      </c>
      <c r="G374" s="5">
        <v>44562</v>
      </c>
      <c r="H374">
        <v>14</v>
      </c>
      <c r="I374">
        <v>9</v>
      </c>
      <c r="J374">
        <v>28</v>
      </c>
      <c r="K374">
        <v>72</v>
      </c>
      <c r="L374">
        <v>10000</v>
      </c>
    </row>
    <row r="375" spans="1:12" hidden="1" x14ac:dyDescent="0.35">
      <c r="A375" s="19">
        <f t="shared" si="25"/>
        <v>374</v>
      </c>
      <c r="B375" t="s">
        <v>21</v>
      </c>
      <c r="C375" t="s">
        <v>2</v>
      </c>
      <c r="D375">
        <v>100</v>
      </c>
      <c r="E375" t="s">
        <v>17</v>
      </c>
      <c r="F375" s="5">
        <v>43831</v>
      </c>
      <c r="G375" s="5">
        <v>44562</v>
      </c>
      <c r="H375">
        <v>14</v>
      </c>
      <c r="I375">
        <v>9</v>
      </c>
      <c r="J375">
        <v>28</v>
      </c>
      <c r="K375">
        <v>72</v>
      </c>
      <c r="L375">
        <v>10000</v>
      </c>
    </row>
    <row r="376" spans="1:12" hidden="1" x14ac:dyDescent="0.35">
      <c r="A376" s="19">
        <f t="shared" si="25"/>
        <v>375</v>
      </c>
      <c r="B376" t="s">
        <v>21</v>
      </c>
      <c r="C376" t="s">
        <v>2</v>
      </c>
      <c r="D376">
        <v>200</v>
      </c>
      <c r="E376" t="s">
        <v>17</v>
      </c>
      <c r="F376" s="5">
        <v>43831</v>
      </c>
      <c r="G376" s="5">
        <v>44562</v>
      </c>
      <c r="H376">
        <v>14</v>
      </c>
      <c r="I376">
        <v>9</v>
      </c>
      <c r="J376">
        <v>28</v>
      </c>
      <c r="K376">
        <v>72</v>
      </c>
      <c r="L376">
        <v>10000</v>
      </c>
    </row>
    <row r="377" spans="1:12" hidden="1" x14ac:dyDescent="0.35">
      <c r="A377" s="19">
        <f t="shared" si="25"/>
        <v>376</v>
      </c>
      <c r="B377" t="s">
        <v>21</v>
      </c>
      <c r="C377" t="s">
        <v>22</v>
      </c>
      <c r="D377">
        <v>10</v>
      </c>
      <c r="E377" t="s">
        <v>17</v>
      </c>
      <c r="F377" s="5">
        <v>43831</v>
      </c>
      <c r="G377" s="5">
        <v>44562</v>
      </c>
      <c r="H377">
        <v>14</v>
      </c>
      <c r="I377">
        <v>9</v>
      </c>
      <c r="J377">
        <v>28</v>
      </c>
      <c r="K377">
        <v>72</v>
      </c>
      <c r="L377">
        <v>10000</v>
      </c>
    </row>
    <row r="378" spans="1:12" hidden="1" x14ac:dyDescent="0.35">
      <c r="A378" s="19">
        <f t="shared" si="25"/>
        <v>377</v>
      </c>
      <c r="B378" t="s">
        <v>21</v>
      </c>
      <c r="C378" t="s">
        <v>22</v>
      </c>
      <c r="D378">
        <v>100</v>
      </c>
      <c r="E378" t="s">
        <v>17</v>
      </c>
      <c r="F378" s="5">
        <v>43831</v>
      </c>
      <c r="G378" s="5">
        <v>44562</v>
      </c>
      <c r="H378">
        <v>14</v>
      </c>
      <c r="I378">
        <v>9</v>
      </c>
      <c r="J378">
        <v>28</v>
      </c>
      <c r="K378">
        <v>72</v>
      </c>
      <c r="L378">
        <v>10000</v>
      </c>
    </row>
    <row r="379" spans="1:12" hidden="1" x14ac:dyDescent="0.35">
      <c r="A379" s="19">
        <f t="shared" si="25"/>
        <v>378</v>
      </c>
      <c r="B379" t="s">
        <v>21</v>
      </c>
      <c r="C379" t="s">
        <v>22</v>
      </c>
      <c r="D379">
        <v>200</v>
      </c>
      <c r="E379" t="s">
        <v>17</v>
      </c>
      <c r="F379" s="5">
        <v>43831</v>
      </c>
      <c r="G379" s="5">
        <v>44562</v>
      </c>
      <c r="H379">
        <v>14</v>
      </c>
      <c r="I379">
        <v>9</v>
      </c>
      <c r="J379">
        <v>28</v>
      </c>
      <c r="K379">
        <v>72</v>
      </c>
      <c r="L379">
        <v>10000</v>
      </c>
    </row>
  </sheetData>
  <autoFilter ref="A1:V379" xr:uid="{8D04EEA1-3C45-4C84-84E4-8EA17A4E9583}">
    <filterColumn colId="9">
      <filters>
        <filter val="30"/>
      </filters>
    </filterColumn>
    <filterColumn colId="12">
      <customFilters>
        <customFilter operator="greaterThan" val="0.7"/>
      </customFilters>
    </filterColumn>
  </autoFilter>
  <conditionalFormatting sqref="M2:M199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:N19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:Y19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5:M253 M218:M226 M272:M299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5:N253 N218:N226 N272:N29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00:M307 M326:M334 M353:M36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00:N307 N326:N334 N353:N3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9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9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529D-640E-47F0-8293-653E941B649C}">
  <sheetPr codeName="Sheet4"/>
  <dimension ref="A1:D5089"/>
  <sheetViews>
    <sheetView tabSelected="1" workbookViewId="0">
      <selection activeCell="C1" sqref="C1"/>
    </sheetView>
  </sheetViews>
  <sheetFormatPr defaultRowHeight="14.5" x14ac:dyDescent="0.35"/>
  <cols>
    <col min="1" max="1" width="28.36328125" bestFit="1" customWidth="1"/>
    <col min="3" max="3" width="60.08984375" customWidth="1"/>
    <col min="4" max="4" width="19.90625" customWidth="1"/>
  </cols>
  <sheetData>
    <row r="1" spans="1:4" x14ac:dyDescent="0.35">
      <c r="A1" s="14" t="s">
        <v>51</v>
      </c>
      <c r="B1" s="14" t="s">
        <v>48</v>
      </c>
      <c r="C1" s="14" t="s">
        <v>49</v>
      </c>
      <c r="D1" s="14" t="s">
        <v>50</v>
      </c>
    </row>
    <row r="2" spans="1:4" x14ac:dyDescent="0.35">
      <c r="A2" t="str">
        <f>B2&amp;C2</f>
        <v>1PSR</v>
      </c>
      <c r="B2">
        <v>1</v>
      </c>
      <c r="C2" t="s">
        <v>27</v>
      </c>
      <c r="D2" s="6">
        <v>0.74255000000000004</v>
      </c>
    </row>
    <row r="3" spans="1:4" x14ac:dyDescent="0.35">
      <c r="A3" t="str">
        <f t="shared" ref="A3:A66" si="0">B3&amp;C3</f>
        <v>1Sharpe Ratio</v>
      </c>
      <c r="B3">
        <v>1</v>
      </c>
      <c r="C3" t="s">
        <v>1</v>
      </c>
      <c r="D3" s="6">
        <v>1.5649999999999999</v>
      </c>
    </row>
    <row r="4" spans="1:4" x14ac:dyDescent="0.35">
      <c r="A4" t="str">
        <f t="shared" si="0"/>
        <v>1Total Trades</v>
      </c>
      <c r="B4">
        <v>1</v>
      </c>
      <c r="C4" t="s">
        <v>28</v>
      </c>
      <c r="D4" s="6">
        <v>312</v>
      </c>
    </row>
    <row r="5" spans="1:4" x14ac:dyDescent="0.35">
      <c r="A5" t="str">
        <f t="shared" si="0"/>
        <v>1Average Win</v>
      </c>
      <c r="B5">
        <v>1</v>
      </c>
      <c r="C5" t="s">
        <v>25</v>
      </c>
      <c r="D5" s="6">
        <v>2.8999999999999998E-3</v>
      </c>
    </row>
    <row r="6" spans="1:4" x14ac:dyDescent="0.35">
      <c r="A6" t="str">
        <f t="shared" si="0"/>
        <v>1Average Loss</v>
      </c>
      <c r="B6">
        <v>1</v>
      </c>
      <c r="C6" t="s">
        <v>29</v>
      </c>
      <c r="D6" s="6">
        <v>-1.1000000000000001E-3</v>
      </c>
    </row>
    <row r="7" spans="1:4" x14ac:dyDescent="0.35">
      <c r="A7" t="str">
        <f t="shared" si="0"/>
        <v>1Compounding Annual Return</v>
      </c>
      <c r="B7">
        <v>1</v>
      </c>
      <c r="C7" t="s">
        <v>30</v>
      </c>
      <c r="D7" s="6">
        <v>2.1080000000000002E-2</v>
      </c>
    </row>
    <row r="8" spans="1:4" x14ac:dyDescent="0.35">
      <c r="A8" t="str">
        <f t="shared" si="0"/>
        <v>1Drawdown</v>
      </c>
      <c r="B8">
        <v>1</v>
      </c>
      <c r="C8" t="s">
        <v>8</v>
      </c>
      <c r="D8" s="6">
        <v>6.0000000000000001E-3</v>
      </c>
    </row>
    <row r="9" spans="1:4" x14ac:dyDescent="0.35">
      <c r="A9" t="str">
        <f t="shared" si="0"/>
        <v>1Expectancy</v>
      </c>
      <c r="B9">
        <v>1</v>
      </c>
      <c r="C9" t="s">
        <v>31</v>
      </c>
      <c r="D9" s="6">
        <v>1.149</v>
      </c>
    </row>
    <row r="10" spans="1:4" x14ac:dyDescent="0.35">
      <c r="A10" t="str">
        <f t="shared" si="0"/>
        <v>1Net Profit</v>
      </c>
      <c r="B10">
        <v>1</v>
      </c>
      <c r="C10" t="s">
        <v>32</v>
      </c>
      <c r="D10" s="6">
        <v>1.3520000000000001E-2</v>
      </c>
    </row>
    <row r="11" spans="1:4" x14ac:dyDescent="0.35">
      <c r="A11" t="str">
        <f t="shared" si="0"/>
        <v>1Loss Rate</v>
      </c>
      <c r="B11">
        <v>1</v>
      </c>
      <c r="C11" t="s">
        <v>33</v>
      </c>
      <c r="D11" s="6">
        <v>0.4</v>
      </c>
    </row>
    <row r="12" spans="1:4" x14ac:dyDescent="0.35">
      <c r="A12" t="str">
        <f t="shared" si="0"/>
        <v>1Win Rate</v>
      </c>
      <c r="B12">
        <v>1</v>
      </c>
      <c r="C12" t="s">
        <v>34</v>
      </c>
      <c r="D12" s="6">
        <v>0.6</v>
      </c>
    </row>
    <row r="13" spans="1:4" x14ac:dyDescent="0.35">
      <c r="A13" t="str">
        <f t="shared" si="0"/>
        <v>1Profit-Loss Ratio</v>
      </c>
      <c r="B13">
        <v>1</v>
      </c>
      <c r="C13" t="s">
        <v>26</v>
      </c>
      <c r="D13" s="6">
        <v>2.58</v>
      </c>
    </row>
    <row r="14" spans="1:4" x14ac:dyDescent="0.35">
      <c r="A14" t="str">
        <f t="shared" si="0"/>
        <v>1Alpha</v>
      </c>
      <c r="B14">
        <v>1</v>
      </c>
      <c r="C14" t="s">
        <v>23</v>
      </c>
      <c r="D14" s="6">
        <v>1.4E-2</v>
      </c>
    </row>
    <row r="15" spans="1:4" x14ac:dyDescent="0.35">
      <c r="A15" t="str">
        <f t="shared" si="0"/>
        <v>1Beta</v>
      </c>
      <c r="B15">
        <v>1</v>
      </c>
      <c r="C15" t="s">
        <v>24</v>
      </c>
      <c r="D15" s="6">
        <v>5.0000000000000001E-3</v>
      </c>
    </row>
    <row r="16" spans="1:4" x14ac:dyDescent="0.35">
      <c r="A16" t="str">
        <f t="shared" si="0"/>
        <v>1Annual Standard Deviation</v>
      </c>
      <c r="B16">
        <v>1</v>
      </c>
      <c r="C16" t="s">
        <v>35</v>
      </c>
      <c r="D16" s="6">
        <v>8.9999999999999993E-3</v>
      </c>
    </row>
    <row r="17" spans="1:4" x14ac:dyDescent="0.35">
      <c r="A17" t="str">
        <f t="shared" si="0"/>
        <v>1Annual Variance</v>
      </c>
      <c r="B17">
        <v>1</v>
      </c>
      <c r="C17" t="s">
        <v>36</v>
      </c>
      <c r="D17" s="6">
        <v>0</v>
      </c>
    </row>
    <row r="18" spans="1:4" x14ac:dyDescent="0.35">
      <c r="A18" t="str">
        <f t="shared" si="0"/>
        <v>1Information Ratio</v>
      </c>
      <c r="B18">
        <v>1</v>
      </c>
      <c r="C18" t="s">
        <v>37</v>
      </c>
      <c r="D18" s="6">
        <v>-0.73599999999999999</v>
      </c>
    </row>
    <row r="19" spans="1:4" x14ac:dyDescent="0.35">
      <c r="A19" t="str">
        <f t="shared" si="0"/>
        <v>1Tracking Error</v>
      </c>
      <c r="B19">
        <v>1</v>
      </c>
      <c r="C19" t="s">
        <v>38</v>
      </c>
      <c r="D19" s="6">
        <v>6.7000000000000004E-2</v>
      </c>
    </row>
    <row r="20" spans="1:4" x14ac:dyDescent="0.35">
      <c r="A20" t="str">
        <f t="shared" si="0"/>
        <v>1Treynor Ratio</v>
      </c>
      <c r="B20">
        <v>1</v>
      </c>
      <c r="C20" t="s">
        <v>39</v>
      </c>
      <c r="D20" s="6">
        <v>3.1120000000000001</v>
      </c>
    </row>
    <row r="21" spans="1:4" x14ac:dyDescent="0.35">
      <c r="A21" t="str">
        <f t="shared" si="0"/>
        <v>1Total Fees</v>
      </c>
      <c r="B21">
        <v>1</v>
      </c>
      <c r="C21" t="s">
        <v>40</v>
      </c>
      <c r="D21" s="6">
        <v>0</v>
      </c>
    </row>
    <row r="22" spans="1:4" x14ac:dyDescent="0.35">
      <c r="A22" t="str">
        <f t="shared" si="0"/>
        <v>1Estimated Strategy Capacity</v>
      </c>
      <c r="B22">
        <v>1</v>
      </c>
      <c r="C22" t="s">
        <v>41</v>
      </c>
      <c r="D22" s="6">
        <v>470000000</v>
      </c>
    </row>
    <row r="23" spans="1:4" x14ac:dyDescent="0.35">
      <c r="A23" t="str">
        <f t="shared" si="0"/>
        <v>2PSR</v>
      </c>
      <c r="B23">
        <v>2</v>
      </c>
      <c r="C23" t="s">
        <v>27</v>
      </c>
      <c r="D23" s="6">
        <v>0.74880999999999998</v>
      </c>
    </row>
    <row r="24" spans="1:4" x14ac:dyDescent="0.35">
      <c r="A24" t="str">
        <f t="shared" si="0"/>
        <v>2Sharpe Ratio</v>
      </c>
      <c r="B24">
        <v>2</v>
      </c>
      <c r="C24" t="s">
        <v>1</v>
      </c>
      <c r="D24" s="6">
        <v>1.681</v>
      </c>
    </row>
    <row r="25" spans="1:4" x14ac:dyDescent="0.35">
      <c r="A25" t="str">
        <f t="shared" si="0"/>
        <v>2Total Trades</v>
      </c>
      <c r="B25">
        <v>2</v>
      </c>
      <c r="C25" t="s">
        <v>28</v>
      </c>
      <c r="D25" s="6">
        <v>312</v>
      </c>
    </row>
    <row r="26" spans="1:4" x14ac:dyDescent="0.35">
      <c r="A26" t="str">
        <f t="shared" si="0"/>
        <v>2Average Win</v>
      </c>
      <c r="B26">
        <v>2</v>
      </c>
      <c r="C26" t="s">
        <v>25</v>
      </c>
      <c r="D26" s="6">
        <v>2.8400000000000002E-2</v>
      </c>
    </row>
    <row r="27" spans="1:4" x14ac:dyDescent="0.35">
      <c r="A27" t="str">
        <f t="shared" si="0"/>
        <v>2Average Loss</v>
      </c>
      <c r="B27">
        <v>2</v>
      </c>
      <c r="C27" t="s">
        <v>29</v>
      </c>
      <c r="D27" s="6">
        <v>-1.0699999999999999E-2</v>
      </c>
    </row>
    <row r="28" spans="1:4" x14ac:dyDescent="0.35">
      <c r="A28" t="str">
        <f t="shared" si="0"/>
        <v>2Compounding Annual Return</v>
      </c>
      <c r="B28">
        <v>2</v>
      </c>
      <c r="C28" t="s">
        <v>30</v>
      </c>
      <c r="D28" s="6">
        <v>0.21772</v>
      </c>
    </row>
    <row r="29" spans="1:4" x14ac:dyDescent="0.35">
      <c r="A29" t="str">
        <f t="shared" si="0"/>
        <v>2Drawdown</v>
      </c>
      <c r="B29">
        <v>2</v>
      </c>
      <c r="C29" t="s">
        <v>8</v>
      </c>
      <c r="D29" s="6">
        <v>5.6000000000000001E-2</v>
      </c>
    </row>
    <row r="30" spans="1:4" x14ac:dyDescent="0.35">
      <c r="A30" t="str">
        <f t="shared" si="0"/>
        <v>2Expectancy</v>
      </c>
      <c r="B30">
        <v>2</v>
      </c>
      <c r="C30" t="s">
        <v>31</v>
      </c>
      <c r="D30" s="6">
        <v>1.1910000000000001</v>
      </c>
    </row>
    <row r="31" spans="1:4" x14ac:dyDescent="0.35">
      <c r="A31" t="str">
        <f t="shared" si="0"/>
        <v>2Net Profit</v>
      </c>
      <c r="B31">
        <v>2</v>
      </c>
      <c r="C31" t="s">
        <v>32</v>
      </c>
      <c r="D31" s="6">
        <v>0.13519</v>
      </c>
    </row>
    <row r="32" spans="1:4" x14ac:dyDescent="0.35">
      <c r="A32" t="str">
        <f t="shared" si="0"/>
        <v>2Loss Rate</v>
      </c>
      <c r="B32">
        <v>2</v>
      </c>
      <c r="C32" t="s">
        <v>33</v>
      </c>
      <c r="D32" s="6">
        <v>0.4</v>
      </c>
    </row>
    <row r="33" spans="1:4" x14ac:dyDescent="0.35">
      <c r="A33" t="str">
        <f t="shared" si="0"/>
        <v>2Win Rate</v>
      </c>
      <c r="B33">
        <v>2</v>
      </c>
      <c r="C33" t="s">
        <v>34</v>
      </c>
      <c r="D33" s="6">
        <v>0.6</v>
      </c>
    </row>
    <row r="34" spans="1:4" x14ac:dyDescent="0.35">
      <c r="A34" t="str">
        <f t="shared" si="0"/>
        <v>2Profit-Loss Ratio</v>
      </c>
      <c r="B34">
        <v>2</v>
      </c>
      <c r="C34" t="s">
        <v>26</v>
      </c>
      <c r="D34" s="6">
        <v>2.65</v>
      </c>
    </row>
    <row r="35" spans="1:4" x14ac:dyDescent="0.35">
      <c r="A35" t="str">
        <f t="shared" si="0"/>
        <v>2Alpha</v>
      </c>
      <c r="B35">
        <v>2</v>
      </c>
      <c r="C35" t="s">
        <v>23</v>
      </c>
      <c r="D35" s="6">
        <v>0.14799999999999999</v>
      </c>
    </row>
    <row r="36" spans="1:4" x14ac:dyDescent="0.35">
      <c r="A36" t="str">
        <f t="shared" si="0"/>
        <v>2Beta</v>
      </c>
      <c r="B36">
        <v>2</v>
      </c>
      <c r="C36" t="s">
        <v>24</v>
      </c>
      <c r="D36" s="6">
        <v>4.5999999999999999E-2</v>
      </c>
    </row>
    <row r="37" spans="1:4" x14ac:dyDescent="0.35">
      <c r="A37" t="str">
        <f t="shared" si="0"/>
        <v>2Annual Standard Deviation</v>
      </c>
      <c r="B37">
        <v>2</v>
      </c>
      <c r="C37" t="s">
        <v>35</v>
      </c>
      <c r="D37" s="6">
        <v>0.09</v>
      </c>
    </row>
    <row r="38" spans="1:4" x14ac:dyDescent="0.35">
      <c r="A38" t="str">
        <f t="shared" si="0"/>
        <v>2Annual Variance</v>
      </c>
      <c r="B38">
        <v>2</v>
      </c>
      <c r="C38" t="s">
        <v>36</v>
      </c>
      <c r="D38" s="6">
        <v>8.0000000000000002E-3</v>
      </c>
    </row>
    <row r="39" spans="1:4" x14ac:dyDescent="0.35">
      <c r="A39" t="str">
        <f t="shared" si="0"/>
        <v>2Information Ratio</v>
      </c>
      <c r="B39">
        <v>2</v>
      </c>
      <c r="C39" t="s">
        <v>37</v>
      </c>
      <c r="D39" s="6">
        <v>0.78800000000000003</v>
      </c>
    </row>
    <row r="40" spans="1:4" x14ac:dyDescent="0.35">
      <c r="A40" t="str">
        <f t="shared" si="0"/>
        <v>2Tracking Error</v>
      </c>
      <c r="B40">
        <v>2</v>
      </c>
      <c r="C40" t="s">
        <v>38</v>
      </c>
      <c r="D40" s="6">
        <v>0.11</v>
      </c>
    </row>
    <row r="41" spans="1:4" x14ac:dyDescent="0.35">
      <c r="A41" t="str">
        <f t="shared" si="0"/>
        <v>2Treynor Ratio</v>
      </c>
      <c r="B41">
        <v>2</v>
      </c>
      <c r="C41" t="s">
        <v>39</v>
      </c>
      <c r="D41" s="6">
        <v>3.2970000000000002</v>
      </c>
    </row>
    <row r="42" spans="1:4" x14ac:dyDescent="0.35">
      <c r="A42" t="str">
        <f t="shared" si="0"/>
        <v>2Total Fees</v>
      </c>
      <c r="B42">
        <v>2</v>
      </c>
      <c r="C42" t="s">
        <v>40</v>
      </c>
      <c r="D42" s="6">
        <v>0</v>
      </c>
    </row>
    <row r="43" spans="1:4" x14ac:dyDescent="0.35">
      <c r="A43" t="str">
        <f t="shared" si="0"/>
        <v>2Estimated Strategy Capacity</v>
      </c>
      <c r="B43">
        <v>2</v>
      </c>
      <c r="C43" t="s">
        <v>41</v>
      </c>
      <c r="D43" s="6">
        <v>57000000</v>
      </c>
    </row>
    <row r="44" spans="1:4" x14ac:dyDescent="0.35">
      <c r="A44" t="str">
        <f t="shared" si="0"/>
        <v>3PSR</v>
      </c>
      <c r="B44">
        <v>3</v>
      </c>
      <c r="C44" t="s">
        <v>27</v>
      </c>
      <c r="D44" s="6">
        <v>0.77280000000000004</v>
      </c>
    </row>
    <row r="45" spans="1:4" x14ac:dyDescent="0.35">
      <c r="A45" t="str">
        <f t="shared" si="0"/>
        <v>3Sharpe Ratio</v>
      </c>
      <c r="B45">
        <v>3</v>
      </c>
      <c r="C45" t="s">
        <v>1</v>
      </c>
      <c r="D45" s="6">
        <v>2.2429999999999999</v>
      </c>
    </row>
    <row r="46" spans="1:4" x14ac:dyDescent="0.35">
      <c r="A46" t="str">
        <f t="shared" si="0"/>
        <v>3Total Trades</v>
      </c>
      <c r="B46">
        <v>3</v>
      </c>
      <c r="C46" t="s">
        <v>28</v>
      </c>
      <c r="D46" s="6">
        <v>312</v>
      </c>
    </row>
    <row r="47" spans="1:4" x14ac:dyDescent="0.35">
      <c r="A47" t="str">
        <f t="shared" si="0"/>
        <v>3Average Win</v>
      </c>
      <c r="B47">
        <v>3</v>
      </c>
      <c r="C47" t="s">
        <v>25</v>
      </c>
      <c r="D47" s="6">
        <v>0.1236</v>
      </c>
    </row>
    <row r="48" spans="1:4" x14ac:dyDescent="0.35">
      <c r="A48" t="str">
        <f t="shared" si="0"/>
        <v>3Average Loss</v>
      </c>
      <c r="B48">
        <v>3</v>
      </c>
      <c r="C48" t="s">
        <v>29</v>
      </c>
      <c r="D48" s="6">
        <v>-4.24E-2</v>
      </c>
    </row>
    <row r="49" spans="1:4" x14ac:dyDescent="0.35">
      <c r="A49" t="str">
        <f t="shared" si="0"/>
        <v>3Compounding Annual Return</v>
      </c>
      <c r="B49">
        <v>3</v>
      </c>
      <c r="C49" t="s">
        <v>30</v>
      </c>
      <c r="D49" s="6">
        <v>1.2304200000000001</v>
      </c>
    </row>
    <row r="50" spans="1:4" x14ac:dyDescent="0.35">
      <c r="A50" t="str">
        <f t="shared" si="0"/>
        <v>3Drawdown</v>
      </c>
      <c r="B50">
        <v>3</v>
      </c>
      <c r="C50" t="s">
        <v>8</v>
      </c>
      <c r="D50" s="6">
        <v>0.22900000000000001</v>
      </c>
    </row>
    <row r="51" spans="1:4" x14ac:dyDescent="0.35">
      <c r="A51" t="str">
        <f t="shared" si="0"/>
        <v>3Expectancy</v>
      </c>
      <c r="B51">
        <v>3</v>
      </c>
      <c r="C51" t="s">
        <v>31</v>
      </c>
      <c r="D51" s="6">
        <v>1.351</v>
      </c>
    </row>
    <row r="52" spans="1:4" x14ac:dyDescent="0.35">
      <c r="A52" t="str">
        <f t="shared" si="0"/>
        <v>3Net Profit</v>
      </c>
      <c r="B52">
        <v>3</v>
      </c>
      <c r="C52" t="s">
        <v>32</v>
      </c>
      <c r="D52" s="6">
        <v>0.67596000000000001</v>
      </c>
    </row>
    <row r="53" spans="1:4" x14ac:dyDescent="0.35">
      <c r="A53" t="str">
        <f t="shared" si="0"/>
        <v>3Loss Rate</v>
      </c>
      <c r="B53">
        <v>3</v>
      </c>
      <c r="C53" t="s">
        <v>33</v>
      </c>
      <c r="D53" s="6">
        <v>0.4</v>
      </c>
    </row>
    <row r="54" spans="1:4" x14ac:dyDescent="0.35">
      <c r="A54" t="str">
        <f t="shared" si="0"/>
        <v>3Win Rate</v>
      </c>
      <c r="B54">
        <v>3</v>
      </c>
      <c r="C54" t="s">
        <v>34</v>
      </c>
      <c r="D54" s="6">
        <v>0.6</v>
      </c>
    </row>
    <row r="55" spans="1:4" x14ac:dyDescent="0.35">
      <c r="A55" t="str">
        <f t="shared" si="0"/>
        <v>3Profit-Loss Ratio</v>
      </c>
      <c r="B55">
        <v>3</v>
      </c>
      <c r="C55" t="s">
        <v>26</v>
      </c>
      <c r="D55" s="6">
        <v>2.92</v>
      </c>
    </row>
    <row r="56" spans="1:4" x14ac:dyDescent="0.35">
      <c r="A56" t="str">
        <f t="shared" si="0"/>
        <v>3Alpha</v>
      </c>
      <c r="B56">
        <v>3</v>
      </c>
      <c r="C56" t="s">
        <v>23</v>
      </c>
      <c r="D56" s="6">
        <v>0.85599999999999998</v>
      </c>
    </row>
    <row r="57" spans="1:4" x14ac:dyDescent="0.35">
      <c r="A57" t="str">
        <f t="shared" si="0"/>
        <v>3Beta</v>
      </c>
      <c r="B57">
        <v>3</v>
      </c>
      <c r="C57" t="s">
        <v>24</v>
      </c>
      <c r="D57" s="6">
        <v>0.20499999999999999</v>
      </c>
    </row>
    <row r="58" spans="1:4" x14ac:dyDescent="0.35">
      <c r="A58" t="str">
        <f t="shared" si="0"/>
        <v>3Annual Standard Deviation</v>
      </c>
      <c r="B58">
        <v>3</v>
      </c>
      <c r="C58" t="s">
        <v>35</v>
      </c>
      <c r="D58" s="6">
        <v>0.38800000000000001</v>
      </c>
    </row>
    <row r="59" spans="1:4" x14ac:dyDescent="0.35">
      <c r="A59" t="str">
        <f t="shared" si="0"/>
        <v>3Annual Variance</v>
      </c>
      <c r="B59">
        <v>3</v>
      </c>
      <c r="C59" t="s">
        <v>36</v>
      </c>
      <c r="D59" s="6">
        <v>0.15</v>
      </c>
    </row>
    <row r="60" spans="1:4" x14ac:dyDescent="0.35">
      <c r="A60" t="str">
        <f t="shared" si="0"/>
        <v>3Information Ratio</v>
      </c>
      <c r="B60">
        <v>3</v>
      </c>
      <c r="C60" t="s">
        <v>37</v>
      </c>
      <c r="D60" s="6">
        <v>2.0590000000000002</v>
      </c>
    </row>
    <row r="61" spans="1:4" x14ac:dyDescent="0.35">
      <c r="A61" t="str">
        <f t="shared" si="0"/>
        <v>3Tracking Error</v>
      </c>
      <c r="B61">
        <v>3</v>
      </c>
      <c r="C61" t="s">
        <v>38</v>
      </c>
      <c r="D61" s="6">
        <v>0.39100000000000001</v>
      </c>
    </row>
    <row r="62" spans="1:4" x14ac:dyDescent="0.35">
      <c r="A62" t="str">
        <f t="shared" si="0"/>
        <v>3Treynor Ratio</v>
      </c>
      <c r="B62">
        <v>3</v>
      </c>
      <c r="C62" t="s">
        <v>39</v>
      </c>
      <c r="D62" s="6">
        <v>4.2450000000000001</v>
      </c>
    </row>
    <row r="63" spans="1:4" x14ac:dyDescent="0.35">
      <c r="A63" t="str">
        <f t="shared" si="0"/>
        <v>3Total Fees</v>
      </c>
      <c r="B63">
        <v>3</v>
      </c>
      <c r="C63" t="s">
        <v>40</v>
      </c>
      <c r="D63" s="6">
        <v>0</v>
      </c>
    </row>
    <row r="64" spans="1:4" x14ac:dyDescent="0.35">
      <c r="A64" t="str">
        <f t="shared" si="0"/>
        <v>3Estimated Strategy Capacity</v>
      </c>
      <c r="B64">
        <v>3</v>
      </c>
      <c r="C64" t="s">
        <v>41</v>
      </c>
      <c r="D64" s="6">
        <v>20000000</v>
      </c>
    </row>
    <row r="65" spans="1:4" x14ac:dyDescent="0.35">
      <c r="A65" t="str">
        <f t="shared" si="0"/>
        <v>4PSR</v>
      </c>
      <c r="B65">
        <v>4</v>
      </c>
      <c r="C65" t="s">
        <v>27</v>
      </c>
      <c r="D65" s="6">
        <v>5.8100000000000001E-3</v>
      </c>
    </row>
    <row r="66" spans="1:4" x14ac:dyDescent="0.35">
      <c r="A66" t="str">
        <f t="shared" si="0"/>
        <v>4Sharpe Ratio</v>
      </c>
      <c r="B66">
        <v>4</v>
      </c>
      <c r="C66" t="s">
        <v>1</v>
      </c>
      <c r="D66" s="6">
        <v>-1.57</v>
      </c>
    </row>
    <row r="67" spans="1:4" x14ac:dyDescent="0.35">
      <c r="A67" t="str">
        <f t="shared" ref="A67:A130" si="1">B67&amp;C67</f>
        <v>4Total Trades</v>
      </c>
      <c r="B67">
        <v>4</v>
      </c>
      <c r="C67" t="s">
        <v>28</v>
      </c>
      <c r="D67" s="6">
        <v>198</v>
      </c>
    </row>
    <row r="68" spans="1:4" x14ac:dyDescent="0.35">
      <c r="A68" t="str">
        <f t="shared" si="1"/>
        <v>4Average Win</v>
      </c>
      <c r="B68">
        <v>4</v>
      </c>
      <c r="C68" t="s">
        <v>25</v>
      </c>
      <c r="D68" s="6">
        <v>1.1999999999999999E-3</v>
      </c>
    </row>
    <row r="69" spans="1:4" x14ac:dyDescent="0.35">
      <c r="A69" t="str">
        <f t="shared" si="1"/>
        <v>4Average Loss</v>
      </c>
      <c r="B69">
        <v>4</v>
      </c>
      <c r="C69" t="s">
        <v>29</v>
      </c>
      <c r="D69" s="6">
        <v>-3.7000000000000002E-3</v>
      </c>
    </row>
    <row r="70" spans="1:4" x14ac:dyDescent="0.35">
      <c r="A70" t="str">
        <f t="shared" si="1"/>
        <v>4Compounding Annual Return</v>
      </c>
      <c r="B70">
        <v>4</v>
      </c>
      <c r="C70" t="s">
        <v>30</v>
      </c>
      <c r="D70" s="6">
        <v>-1.9720000000000001E-2</v>
      </c>
    </row>
    <row r="71" spans="1:4" x14ac:dyDescent="0.35">
      <c r="A71" t="str">
        <f t="shared" si="1"/>
        <v>4Drawdown</v>
      </c>
      <c r="B71">
        <v>4</v>
      </c>
      <c r="C71" t="s">
        <v>8</v>
      </c>
      <c r="D71" s="6">
        <v>1.6E-2</v>
      </c>
    </row>
    <row r="72" spans="1:4" x14ac:dyDescent="0.35">
      <c r="A72" t="str">
        <f t="shared" si="1"/>
        <v>4Expectancy</v>
      </c>
      <c r="B72">
        <v>4</v>
      </c>
      <c r="C72" t="s">
        <v>31</v>
      </c>
      <c r="D72" s="6">
        <v>-0.56200000000000006</v>
      </c>
    </row>
    <row r="73" spans="1:4" x14ac:dyDescent="0.35">
      <c r="A73" t="str">
        <f t="shared" si="1"/>
        <v>4Net Profit</v>
      </c>
      <c r="B73">
        <v>4</v>
      </c>
      <c r="C73" t="s">
        <v>32</v>
      </c>
      <c r="D73" s="6">
        <v>-1.274E-2</v>
      </c>
    </row>
    <row r="74" spans="1:4" x14ac:dyDescent="0.35">
      <c r="A74" t="str">
        <f t="shared" si="1"/>
        <v>4Loss Rate</v>
      </c>
      <c r="B74">
        <v>4</v>
      </c>
      <c r="C74" t="s">
        <v>33</v>
      </c>
      <c r="D74" s="6">
        <v>0.67</v>
      </c>
    </row>
    <row r="75" spans="1:4" x14ac:dyDescent="0.35">
      <c r="A75" t="str">
        <f t="shared" si="1"/>
        <v>4Win Rate</v>
      </c>
      <c r="B75">
        <v>4</v>
      </c>
      <c r="C75" t="s">
        <v>34</v>
      </c>
      <c r="D75" s="6">
        <v>0.33</v>
      </c>
    </row>
    <row r="76" spans="1:4" x14ac:dyDescent="0.35">
      <c r="A76" t="str">
        <f t="shared" si="1"/>
        <v>4Profit-Loss Ratio</v>
      </c>
      <c r="B76">
        <v>4</v>
      </c>
      <c r="C76" t="s">
        <v>26</v>
      </c>
      <c r="D76" s="6">
        <v>0.31</v>
      </c>
    </row>
    <row r="77" spans="1:4" x14ac:dyDescent="0.35">
      <c r="A77" t="str">
        <f t="shared" si="1"/>
        <v>4Alpha</v>
      </c>
      <c r="B77">
        <v>4</v>
      </c>
      <c r="C77" t="s">
        <v>23</v>
      </c>
      <c r="D77" s="6">
        <v>-1.4999999999999999E-2</v>
      </c>
    </row>
    <row r="78" spans="1:4" x14ac:dyDescent="0.35">
      <c r="A78" t="str">
        <f t="shared" si="1"/>
        <v>4Beta</v>
      </c>
      <c r="B78">
        <v>4</v>
      </c>
      <c r="C78" t="s">
        <v>24</v>
      </c>
      <c r="D78" s="6">
        <v>2.3E-2</v>
      </c>
    </row>
    <row r="79" spans="1:4" x14ac:dyDescent="0.35">
      <c r="A79" t="str">
        <f t="shared" si="1"/>
        <v>4Annual Standard Deviation</v>
      </c>
      <c r="B79">
        <v>4</v>
      </c>
      <c r="C79" t="s">
        <v>35</v>
      </c>
      <c r="D79" s="6">
        <v>8.9999999999999993E-3</v>
      </c>
    </row>
    <row r="80" spans="1:4" x14ac:dyDescent="0.35">
      <c r="A80" t="str">
        <f t="shared" si="1"/>
        <v>4Annual Variance</v>
      </c>
      <c r="B80">
        <v>4</v>
      </c>
      <c r="C80" t="s">
        <v>36</v>
      </c>
      <c r="D80" s="6">
        <v>0</v>
      </c>
    </row>
    <row r="81" spans="1:4" x14ac:dyDescent="0.35">
      <c r="A81" t="str">
        <f t="shared" si="1"/>
        <v>4Information Ratio</v>
      </c>
      <c r="B81">
        <v>4</v>
      </c>
      <c r="C81" t="s">
        <v>37</v>
      </c>
      <c r="D81" s="6">
        <v>-1.18</v>
      </c>
    </row>
    <row r="82" spans="1:4" x14ac:dyDescent="0.35">
      <c r="A82" t="str">
        <f t="shared" si="1"/>
        <v>4Tracking Error</v>
      </c>
      <c r="B82">
        <v>4</v>
      </c>
      <c r="C82" t="s">
        <v>38</v>
      </c>
      <c r="D82" s="6">
        <v>6.6000000000000003E-2</v>
      </c>
    </row>
    <row r="83" spans="1:4" x14ac:dyDescent="0.35">
      <c r="A83" t="str">
        <f t="shared" si="1"/>
        <v>4Treynor Ratio</v>
      </c>
      <c r="B83">
        <v>4</v>
      </c>
      <c r="C83" t="s">
        <v>39</v>
      </c>
      <c r="D83" s="6">
        <v>-0.58799999999999997</v>
      </c>
    </row>
    <row r="84" spans="1:4" x14ac:dyDescent="0.35">
      <c r="A84" t="str">
        <f t="shared" si="1"/>
        <v>4Total Fees</v>
      </c>
      <c r="B84">
        <v>4</v>
      </c>
      <c r="C84" t="s">
        <v>40</v>
      </c>
      <c r="D84" s="6">
        <v>0</v>
      </c>
    </row>
    <row r="85" spans="1:4" x14ac:dyDescent="0.35">
      <c r="A85" t="str">
        <f t="shared" si="1"/>
        <v>4Estimated Strategy Capacity</v>
      </c>
      <c r="B85">
        <v>4</v>
      </c>
      <c r="C85" t="s">
        <v>41</v>
      </c>
      <c r="D85" s="6">
        <v>95000000</v>
      </c>
    </row>
    <row r="86" spans="1:4" x14ac:dyDescent="0.35">
      <c r="A86" t="str">
        <f t="shared" si="1"/>
        <v>5PSR</v>
      </c>
      <c r="B86">
        <v>5</v>
      </c>
      <c r="C86" t="s">
        <v>27</v>
      </c>
      <c r="D86" s="6">
        <v>5.9800000000000001E-3</v>
      </c>
    </row>
    <row r="87" spans="1:4" x14ac:dyDescent="0.35">
      <c r="A87" t="str">
        <f t="shared" si="1"/>
        <v>5Sharpe Ratio</v>
      </c>
      <c r="B87">
        <v>5</v>
      </c>
      <c r="C87" t="s">
        <v>1</v>
      </c>
      <c r="D87" s="6">
        <v>-1.4610000000000001</v>
      </c>
    </row>
    <row r="88" spans="1:4" x14ac:dyDescent="0.35">
      <c r="A88" t="str">
        <f t="shared" si="1"/>
        <v>5Total Trades</v>
      </c>
      <c r="B88">
        <v>5</v>
      </c>
      <c r="C88" t="s">
        <v>28</v>
      </c>
      <c r="D88" s="6">
        <v>198</v>
      </c>
    </row>
    <row r="89" spans="1:4" x14ac:dyDescent="0.35">
      <c r="A89" t="str">
        <f t="shared" si="1"/>
        <v>5Average Win</v>
      </c>
      <c r="B89">
        <v>5</v>
      </c>
      <c r="C89" t="s">
        <v>25</v>
      </c>
      <c r="D89" s="6">
        <v>1.17E-2</v>
      </c>
    </row>
    <row r="90" spans="1:4" x14ac:dyDescent="0.35">
      <c r="A90" t="str">
        <f t="shared" si="1"/>
        <v>5Average Loss</v>
      </c>
      <c r="B90">
        <v>5</v>
      </c>
      <c r="C90" t="s">
        <v>29</v>
      </c>
      <c r="D90" s="6">
        <v>-3.8199999999999998E-2</v>
      </c>
    </row>
    <row r="91" spans="1:4" x14ac:dyDescent="0.35">
      <c r="A91" t="str">
        <f t="shared" si="1"/>
        <v>5Compounding Annual Return</v>
      </c>
      <c r="B91">
        <v>5</v>
      </c>
      <c r="C91" t="s">
        <v>30</v>
      </c>
      <c r="D91" s="6">
        <v>-0.19076000000000001</v>
      </c>
    </row>
    <row r="92" spans="1:4" x14ac:dyDescent="0.35">
      <c r="A92" t="str">
        <f t="shared" si="1"/>
        <v>5Drawdown</v>
      </c>
      <c r="B92">
        <v>5</v>
      </c>
      <c r="C92" t="s">
        <v>8</v>
      </c>
      <c r="D92" s="6">
        <v>0.159</v>
      </c>
    </row>
    <row r="93" spans="1:4" x14ac:dyDescent="0.35">
      <c r="A93" t="str">
        <f t="shared" si="1"/>
        <v>5Expectancy</v>
      </c>
      <c r="B93">
        <v>5</v>
      </c>
      <c r="C93" t="s">
        <v>31</v>
      </c>
      <c r="D93" s="6">
        <v>-0.56499999999999995</v>
      </c>
    </row>
    <row r="94" spans="1:4" x14ac:dyDescent="0.35">
      <c r="A94" t="str">
        <f t="shared" si="1"/>
        <v>5Net Profit</v>
      </c>
      <c r="B94">
        <v>5</v>
      </c>
      <c r="C94" t="s">
        <v>32</v>
      </c>
      <c r="D94" s="6">
        <v>-0.12737000000000001</v>
      </c>
    </row>
    <row r="95" spans="1:4" x14ac:dyDescent="0.35">
      <c r="A95" t="str">
        <f t="shared" si="1"/>
        <v>5Loss Rate</v>
      </c>
      <c r="B95">
        <v>5</v>
      </c>
      <c r="C95" t="s">
        <v>33</v>
      </c>
      <c r="D95" s="6">
        <v>0.67</v>
      </c>
    </row>
    <row r="96" spans="1:4" x14ac:dyDescent="0.35">
      <c r="A96" t="str">
        <f t="shared" si="1"/>
        <v>5Win Rate</v>
      </c>
      <c r="B96">
        <v>5</v>
      </c>
      <c r="C96" t="s">
        <v>34</v>
      </c>
      <c r="D96" s="6">
        <v>0.33</v>
      </c>
    </row>
    <row r="97" spans="1:4" x14ac:dyDescent="0.35">
      <c r="A97" t="str">
        <f t="shared" si="1"/>
        <v>5Profit-Loss Ratio</v>
      </c>
      <c r="B97">
        <v>5</v>
      </c>
      <c r="C97" t="s">
        <v>26</v>
      </c>
      <c r="D97" s="6">
        <v>0.31</v>
      </c>
    </row>
    <row r="98" spans="1:4" x14ac:dyDescent="0.35">
      <c r="A98" t="str">
        <f t="shared" si="1"/>
        <v>5Alpha</v>
      </c>
      <c r="B98">
        <v>5</v>
      </c>
      <c r="C98" t="s">
        <v>23</v>
      </c>
      <c r="D98" s="6">
        <v>-0.14899999999999999</v>
      </c>
    </row>
    <row r="99" spans="1:4" x14ac:dyDescent="0.35">
      <c r="A99" t="str">
        <f t="shared" si="1"/>
        <v>5Beta</v>
      </c>
      <c r="B99">
        <v>5</v>
      </c>
      <c r="C99" t="s">
        <v>24</v>
      </c>
      <c r="D99" s="6">
        <v>0.24399999999999999</v>
      </c>
    </row>
    <row r="100" spans="1:4" x14ac:dyDescent="0.35">
      <c r="A100" t="str">
        <f t="shared" si="1"/>
        <v>5Annual Standard Deviation</v>
      </c>
      <c r="B100">
        <v>5</v>
      </c>
      <c r="C100" t="s">
        <v>35</v>
      </c>
      <c r="D100" s="6">
        <v>9.0999999999999998E-2</v>
      </c>
    </row>
    <row r="101" spans="1:4" x14ac:dyDescent="0.35">
      <c r="A101" t="str">
        <f t="shared" si="1"/>
        <v>5Annual Variance</v>
      </c>
      <c r="B101">
        <v>5</v>
      </c>
      <c r="C101" t="s">
        <v>36</v>
      </c>
      <c r="D101" s="6">
        <v>8.0000000000000002E-3</v>
      </c>
    </row>
    <row r="102" spans="1:4" x14ac:dyDescent="0.35">
      <c r="A102" t="str">
        <f t="shared" si="1"/>
        <v>5Information Ratio</v>
      </c>
      <c r="B102">
        <v>5</v>
      </c>
      <c r="C102" t="s">
        <v>37</v>
      </c>
      <c r="D102" s="6">
        <v>-1.917</v>
      </c>
    </row>
    <row r="103" spans="1:4" x14ac:dyDescent="0.35">
      <c r="A103" t="str">
        <f t="shared" si="1"/>
        <v>5Tracking Error</v>
      </c>
      <c r="B103">
        <v>5</v>
      </c>
      <c r="C103" t="s">
        <v>38</v>
      </c>
      <c r="D103" s="6">
        <v>0.10299999999999999</v>
      </c>
    </row>
    <row r="104" spans="1:4" x14ac:dyDescent="0.35">
      <c r="A104" t="str">
        <f t="shared" si="1"/>
        <v>5Treynor Ratio</v>
      </c>
      <c r="B104">
        <v>5</v>
      </c>
      <c r="C104" t="s">
        <v>39</v>
      </c>
      <c r="D104" s="6">
        <v>-0.54500000000000004</v>
      </c>
    </row>
    <row r="105" spans="1:4" x14ac:dyDescent="0.35">
      <c r="A105" t="str">
        <f t="shared" si="1"/>
        <v>5Total Fees</v>
      </c>
      <c r="B105">
        <v>5</v>
      </c>
      <c r="C105" t="s">
        <v>40</v>
      </c>
      <c r="D105" s="6">
        <v>0</v>
      </c>
    </row>
    <row r="106" spans="1:4" x14ac:dyDescent="0.35">
      <c r="A106" t="str">
        <f t="shared" si="1"/>
        <v>5Estimated Strategy Capacity</v>
      </c>
      <c r="B106">
        <v>5</v>
      </c>
      <c r="C106" t="s">
        <v>41</v>
      </c>
      <c r="D106" s="6">
        <v>13000000</v>
      </c>
    </row>
    <row r="107" spans="1:4" x14ac:dyDescent="0.35">
      <c r="A107" t="str">
        <f t="shared" si="1"/>
        <v>6PSR</v>
      </c>
      <c r="B107">
        <v>6</v>
      </c>
      <c r="C107" t="s">
        <v>27</v>
      </c>
      <c r="D107" s="6">
        <v>1.468E-2</v>
      </c>
    </row>
    <row r="108" spans="1:4" x14ac:dyDescent="0.35">
      <c r="A108" t="str">
        <f t="shared" si="1"/>
        <v>6Sharpe Ratio</v>
      </c>
      <c r="B108">
        <v>6</v>
      </c>
      <c r="C108" t="s">
        <v>1</v>
      </c>
      <c r="D108" s="6">
        <v>-0.93700000000000006</v>
      </c>
    </row>
    <row r="109" spans="1:4" x14ac:dyDescent="0.35">
      <c r="A109" t="str">
        <f t="shared" si="1"/>
        <v>6Total Trades</v>
      </c>
      <c r="B109">
        <v>6</v>
      </c>
      <c r="C109" t="s">
        <v>28</v>
      </c>
      <c r="D109" s="6">
        <v>195</v>
      </c>
    </row>
    <row r="110" spans="1:4" x14ac:dyDescent="0.35">
      <c r="A110" t="str">
        <f t="shared" si="1"/>
        <v>6Average Win</v>
      </c>
      <c r="B110">
        <v>6</v>
      </c>
      <c r="C110" t="s">
        <v>25</v>
      </c>
      <c r="D110" s="6">
        <v>5.9900000000000002E-2</v>
      </c>
    </row>
    <row r="111" spans="1:4" x14ac:dyDescent="0.35">
      <c r="A111" t="str">
        <f t="shared" si="1"/>
        <v>6Average Loss</v>
      </c>
      <c r="B111">
        <v>6</v>
      </c>
      <c r="C111" t="s">
        <v>29</v>
      </c>
      <c r="D111" s="6">
        <v>-0.19839999999999999</v>
      </c>
    </row>
    <row r="112" spans="1:4" x14ac:dyDescent="0.35">
      <c r="A112" t="str">
        <f t="shared" si="1"/>
        <v>6Compounding Annual Return</v>
      </c>
      <c r="B112">
        <v>6</v>
      </c>
      <c r="C112" t="s">
        <v>30</v>
      </c>
      <c r="D112" s="6">
        <v>-0.72033999999999998</v>
      </c>
    </row>
    <row r="113" spans="1:4" x14ac:dyDescent="0.35">
      <c r="A113" t="str">
        <f t="shared" si="1"/>
        <v>6Drawdown</v>
      </c>
      <c r="B113">
        <v>6</v>
      </c>
      <c r="C113" t="s">
        <v>8</v>
      </c>
      <c r="D113" s="6">
        <v>0.63400000000000001</v>
      </c>
    </row>
    <row r="114" spans="1:4" x14ac:dyDescent="0.35">
      <c r="A114" t="str">
        <f t="shared" si="1"/>
        <v>6Expectancy</v>
      </c>
      <c r="B114">
        <v>6</v>
      </c>
      <c r="C114" t="s">
        <v>31</v>
      </c>
      <c r="D114" s="6">
        <v>-0.56599999999999995</v>
      </c>
    </row>
    <row r="115" spans="1:4" x14ac:dyDescent="0.35">
      <c r="A115" t="str">
        <f t="shared" si="1"/>
        <v>6Net Profit</v>
      </c>
      <c r="B115">
        <v>6</v>
      </c>
      <c r="C115" t="s">
        <v>32</v>
      </c>
      <c r="D115" s="6">
        <v>-0.55966000000000005</v>
      </c>
    </row>
    <row r="116" spans="1:4" x14ac:dyDescent="0.35">
      <c r="A116" t="str">
        <f t="shared" si="1"/>
        <v>6Loss Rate</v>
      </c>
      <c r="B116">
        <v>6</v>
      </c>
      <c r="C116" t="s">
        <v>33</v>
      </c>
      <c r="D116" s="6">
        <v>0.67</v>
      </c>
    </row>
    <row r="117" spans="1:4" x14ac:dyDescent="0.35">
      <c r="A117" t="str">
        <f t="shared" si="1"/>
        <v>6Win Rate</v>
      </c>
      <c r="B117">
        <v>6</v>
      </c>
      <c r="C117" t="s">
        <v>34</v>
      </c>
      <c r="D117" s="6">
        <v>0.33</v>
      </c>
    </row>
    <row r="118" spans="1:4" x14ac:dyDescent="0.35">
      <c r="A118" t="str">
        <f t="shared" si="1"/>
        <v>6Profit-Loss Ratio</v>
      </c>
      <c r="B118">
        <v>6</v>
      </c>
      <c r="C118" t="s">
        <v>26</v>
      </c>
      <c r="D118" s="6">
        <v>0.3</v>
      </c>
    </row>
    <row r="119" spans="1:4" x14ac:dyDescent="0.35">
      <c r="A119" t="str">
        <f t="shared" si="1"/>
        <v>6Alpha</v>
      </c>
      <c r="B119">
        <v>6</v>
      </c>
      <c r="C119" t="s">
        <v>23</v>
      </c>
      <c r="D119" s="6">
        <v>-0.61599999999999999</v>
      </c>
    </row>
    <row r="120" spans="1:4" x14ac:dyDescent="0.35">
      <c r="A120" t="str">
        <f t="shared" si="1"/>
        <v>6Beta</v>
      </c>
      <c r="B120">
        <v>6</v>
      </c>
      <c r="C120" t="s">
        <v>24</v>
      </c>
      <c r="D120" s="6">
        <v>1.53</v>
      </c>
    </row>
    <row r="121" spans="1:4" x14ac:dyDescent="0.35">
      <c r="A121" t="str">
        <f t="shared" si="1"/>
        <v>6Annual Standard Deviation</v>
      </c>
      <c r="B121">
        <v>6</v>
      </c>
      <c r="C121" t="s">
        <v>35</v>
      </c>
      <c r="D121" s="6">
        <v>0.55300000000000005</v>
      </c>
    </row>
    <row r="122" spans="1:4" x14ac:dyDescent="0.35">
      <c r="A122" t="str">
        <f t="shared" si="1"/>
        <v>6Annual Variance</v>
      </c>
      <c r="B122">
        <v>6</v>
      </c>
      <c r="C122" t="s">
        <v>36</v>
      </c>
      <c r="D122" s="6">
        <v>0.30499999999999999</v>
      </c>
    </row>
    <row r="123" spans="1:4" x14ac:dyDescent="0.35">
      <c r="A123" t="str">
        <f t="shared" si="1"/>
        <v>6Information Ratio</v>
      </c>
      <c r="B123">
        <v>6</v>
      </c>
      <c r="C123" t="s">
        <v>37</v>
      </c>
      <c r="D123" s="6">
        <v>-1.069</v>
      </c>
    </row>
    <row r="124" spans="1:4" x14ac:dyDescent="0.35">
      <c r="A124" t="str">
        <f t="shared" si="1"/>
        <v>6Tracking Error</v>
      </c>
      <c r="B124">
        <v>6</v>
      </c>
      <c r="C124" t="s">
        <v>38</v>
      </c>
      <c r="D124" s="6">
        <v>0.54400000000000004</v>
      </c>
    </row>
    <row r="125" spans="1:4" x14ac:dyDescent="0.35">
      <c r="A125" t="str">
        <f t="shared" si="1"/>
        <v>6Treynor Ratio</v>
      </c>
      <c r="B125">
        <v>6</v>
      </c>
      <c r="C125" t="s">
        <v>39</v>
      </c>
      <c r="D125" s="6">
        <v>-0.33800000000000002</v>
      </c>
    </row>
    <row r="126" spans="1:4" x14ac:dyDescent="0.35">
      <c r="A126" t="str">
        <f t="shared" si="1"/>
        <v>6Total Fees</v>
      </c>
      <c r="B126">
        <v>6</v>
      </c>
      <c r="C126" t="s">
        <v>40</v>
      </c>
      <c r="D126" s="6">
        <v>0</v>
      </c>
    </row>
    <row r="127" spans="1:4" x14ac:dyDescent="0.35">
      <c r="A127" t="str">
        <f t="shared" si="1"/>
        <v>6Estimated Strategy Capacity</v>
      </c>
      <c r="B127">
        <v>6</v>
      </c>
      <c r="C127" t="s">
        <v>41</v>
      </c>
      <c r="D127" s="6">
        <v>3000000</v>
      </c>
    </row>
    <row r="128" spans="1:4" x14ac:dyDescent="0.35">
      <c r="A128" t="str">
        <f t="shared" si="1"/>
        <v>6EURGBP 8G</v>
      </c>
      <c r="B128">
        <v>6</v>
      </c>
      <c r="C128" t="s">
        <v>43</v>
      </c>
      <c r="D128" s="6">
        <v>0</v>
      </c>
    </row>
    <row r="129" spans="1:4" x14ac:dyDescent="0.35">
      <c r="A129" t="str">
        <f t="shared" si="1"/>
        <v>7PSR</v>
      </c>
      <c r="B129">
        <v>7</v>
      </c>
      <c r="C129" t="s">
        <v>27</v>
      </c>
      <c r="D129" s="6">
        <v>1.554E-2</v>
      </c>
    </row>
    <row r="130" spans="1:4" x14ac:dyDescent="0.35">
      <c r="A130" t="str">
        <f t="shared" si="1"/>
        <v>7Sharpe Ratio</v>
      </c>
      <c r="B130">
        <v>7</v>
      </c>
      <c r="C130" t="s">
        <v>1</v>
      </c>
      <c r="D130" s="6">
        <v>-1.2050000000000001</v>
      </c>
    </row>
    <row r="131" spans="1:4" x14ac:dyDescent="0.35">
      <c r="A131" t="str">
        <f t="shared" ref="A131:A194" si="2">B131&amp;C131</f>
        <v>7Total Trades</v>
      </c>
      <c r="B131">
        <v>7</v>
      </c>
      <c r="C131" t="s">
        <v>28</v>
      </c>
      <c r="D131" s="6">
        <v>136</v>
      </c>
    </row>
    <row r="132" spans="1:4" x14ac:dyDescent="0.35">
      <c r="A132" t="str">
        <f t="shared" si="2"/>
        <v>7Average Win</v>
      </c>
      <c r="B132">
        <v>7</v>
      </c>
      <c r="C132" t="s">
        <v>25</v>
      </c>
      <c r="D132" s="6">
        <v>4.7000000000000002E-3</v>
      </c>
    </row>
    <row r="133" spans="1:4" x14ac:dyDescent="0.35">
      <c r="A133" t="str">
        <f t="shared" si="2"/>
        <v>7Average Loss</v>
      </c>
      <c r="B133">
        <v>7</v>
      </c>
      <c r="C133" t="s">
        <v>29</v>
      </c>
      <c r="D133" s="6">
        <v>-1.2999999999999999E-2</v>
      </c>
    </row>
    <row r="134" spans="1:4" x14ac:dyDescent="0.35">
      <c r="A134" t="str">
        <f t="shared" si="2"/>
        <v>7Compounding Annual Return</v>
      </c>
      <c r="B134">
        <v>7</v>
      </c>
      <c r="C134" t="s">
        <v>30</v>
      </c>
      <c r="D134" s="6">
        <v>-2.512E-2</v>
      </c>
    </row>
    <row r="135" spans="1:4" x14ac:dyDescent="0.35">
      <c r="A135" t="str">
        <f t="shared" si="2"/>
        <v>7Drawdown</v>
      </c>
      <c r="B135">
        <v>7</v>
      </c>
      <c r="C135" t="s">
        <v>8</v>
      </c>
      <c r="D135" s="6">
        <v>2.7E-2</v>
      </c>
    </row>
    <row r="136" spans="1:4" x14ac:dyDescent="0.35">
      <c r="A136" t="str">
        <f t="shared" si="2"/>
        <v>7Expectancy</v>
      </c>
      <c r="B136">
        <v>7</v>
      </c>
      <c r="C136" t="s">
        <v>31</v>
      </c>
      <c r="D136" s="6">
        <v>-0.32</v>
      </c>
    </row>
    <row r="137" spans="1:4" x14ac:dyDescent="0.35">
      <c r="A137" t="str">
        <f t="shared" si="2"/>
        <v>7Net Profit</v>
      </c>
      <c r="B137">
        <v>7</v>
      </c>
      <c r="C137" t="s">
        <v>32</v>
      </c>
      <c r="D137" s="6">
        <v>-1.6240000000000001E-2</v>
      </c>
    </row>
    <row r="138" spans="1:4" x14ac:dyDescent="0.35">
      <c r="A138" t="str">
        <f t="shared" si="2"/>
        <v>7Loss Rate</v>
      </c>
      <c r="B138">
        <v>7</v>
      </c>
      <c r="C138" t="s">
        <v>33</v>
      </c>
      <c r="D138" s="6">
        <v>0.5</v>
      </c>
    </row>
    <row r="139" spans="1:4" x14ac:dyDescent="0.35">
      <c r="A139" t="str">
        <f t="shared" si="2"/>
        <v>7Win Rate</v>
      </c>
      <c r="B139">
        <v>7</v>
      </c>
      <c r="C139" t="s">
        <v>34</v>
      </c>
      <c r="D139" s="6">
        <v>0.5</v>
      </c>
    </row>
    <row r="140" spans="1:4" x14ac:dyDescent="0.35">
      <c r="A140" t="str">
        <f t="shared" si="2"/>
        <v>7Profit-Loss Ratio</v>
      </c>
      <c r="B140">
        <v>7</v>
      </c>
      <c r="C140" t="s">
        <v>26</v>
      </c>
      <c r="D140" s="6">
        <v>0.36</v>
      </c>
    </row>
    <row r="141" spans="1:4" x14ac:dyDescent="0.35">
      <c r="A141" t="str">
        <f t="shared" si="2"/>
        <v>7Alpha</v>
      </c>
      <c r="B141">
        <v>7</v>
      </c>
      <c r="C141" t="s">
        <v>23</v>
      </c>
      <c r="D141" s="6">
        <v>-1.9E-2</v>
      </c>
    </row>
    <row r="142" spans="1:4" x14ac:dyDescent="0.35">
      <c r="A142" t="str">
        <f t="shared" si="2"/>
        <v>7Beta</v>
      </c>
      <c r="B142">
        <v>7</v>
      </c>
      <c r="C142" t="s">
        <v>24</v>
      </c>
      <c r="D142" s="6">
        <v>1.7999999999999999E-2</v>
      </c>
    </row>
    <row r="143" spans="1:4" x14ac:dyDescent="0.35">
      <c r="A143" t="str">
        <f t="shared" si="2"/>
        <v>7Annual Standard Deviation</v>
      </c>
      <c r="B143">
        <v>7</v>
      </c>
      <c r="C143" t="s">
        <v>35</v>
      </c>
      <c r="D143" s="6">
        <v>1.4E-2</v>
      </c>
    </row>
    <row r="144" spans="1:4" x14ac:dyDescent="0.35">
      <c r="A144" t="str">
        <f t="shared" si="2"/>
        <v>7Annual Variance</v>
      </c>
      <c r="B144">
        <v>7</v>
      </c>
      <c r="C144" t="s">
        <v>36</v>
      </c>
      <c r="D144" s="6">
        <v>0</v>
      </c>
    </row>
    <row r="145" spans="1:4" x14ac:dyDescent="0.35">
      <c r="A145" t="str">
        <f t="shared" si="2"/>
        <v>7Information Ratio</v>
      </c>
      <c r="B145">
        <v>7</v>
      </c>
      <c r="C145" t="s">
        <v>37</v>
      </c>
      <c r="D145" s="6">
        <v>-1.212</v>
      </c>
    </row>
    <row r="146" spans="1:4" x14ac:dyDescent="0.35">
      <c r="A146" t="str">
        <f t="shared" si="2"/>
        <v>7Tracking Error</v>
      </c>
      <c r="B146">
        <v>7</v>
      </c>
      <c r="C146" t="s">
        <v>38</v>
      </c>
      <c r="D146" s="6">
        <v>6.7000000000000004E-2</v>
      </c>
    </row>
    <row r="147" spans="1:4" x14ac:dyDescent="0.35">
      <c r="A147" t="str">
        <f t="shared" si="2"/>
        <v>7Treynor Ratio</v>
      </c>
      <c r="B147">
        <v>7</v>
      </c>
      <c r="C147" t="s">
        <v>39</v>
      </c>
      <c r="D147" s="6">
        <v>-0.96299999999999997</v>
      </c>
    </row>
    <row r="148" spans="1:4" x14ac:dyDescent="0.35">
      <c r="A148" t="str">
        <f t="shared" si="2"/>
        <v>7Total Fees</v>
      </c>
      <c r="B148">
        <v>7</v>
      </c>
      <c r="C148" t="s">
        <v>40</v>
      </c>
      <c r="D148" s="6">
        <v>0</v>
      </c>
    </row>
    <row r="149" spans="1:4" x14ac:dyDescent="0.35">
      <c r="A149" t="str">
        <f t="shared" si="2"/>
        <v>7Estimated Strategy Capacity</v>
      </c>
      <c r="B149">
        <v>7</v>
      </c>
      <c r="C149" t="s">
        <v>41</v>
      </c>
      <c r="D149" s="6">
        <v>240000000</v>
      </c>
    </row>
    <row r="150" spans="1:4" x14ac:dyDescent="0.35">
      <c r="A150" t="str">
        <f t="shared" si="2"/>
        <v>7EURGBP 8G</v>
      </c>
      <c r="B150">
        <v>7</v>
      </c>
      <c r="C150" t="s">
        <v>43</v>
      </c>
      <c r="D150" s="6">
        <v>0</v>
      </c>
    </row>
    <row r="151" spans="1:4" x14ac:dyDescent="0.35">
      <c r="A151" t="str">
        <f t="shared" si="2"/>
        <v>8PSR</v>
      </c>
      <c r="B151">
        <v>8</v>
      </c>
      <c r="C151" t="s">
        <v>27</v>
      </c>
      <c r="D151" s="6">
        <v>1.626E-2</v>
      </c>
    </row>
    <row r="152" spans="1:4" x14ac:dyDescent="0.35">
      <c r="A152" t="str">
        <f t="shared" si="2"/>
        <v>8Sharpe Ratio</v>
      </c>
      <c r="B152">
        <v>8</v>
      </c>
      <c r="C152" t="s">
        <v>1</v>
      </c>
      <c r="D152" s="6">
        <v>-1.1040000000000001</v>
      </c>
    </row>
    <row r="153" spans="1:4" x14ac:dyDescent="0.35">
      <c r="A153" t="str">
        <f t="shared" si="2"/>
        <v>8Total Trades</v>
      </c>
      <c r="B153">
        <v>8</v>
      </c>
      <c r="C153" t="s">
        <v>28</v>
      </c>
      <c r="D153" s="6">
        <v>136</v>
      </c>
    </row>
    <row r="154" spans="1:4" x14ac:dyDescent="0.35">
      <c r="A154" t="str">
        <f t="shared" si="2"/>
        <v>8Average Win</v>
      </c>
      <c r="B154">
        <v>8</v>
      </c>
      <c r="C154" t="s">
        <v>25</v>
      </c>
      <c r="D154" s="6">
        <v>4.6100000000000002E-2</v>
      </c>
    </row>
    <row r="155" spans="1:4" x14ac:dyDescent="0.35">
      <c r="A155" t="str">
        <f t="shared" si="2"/>
        <v>8Average Loss</v>
      </c>
      <c r="B155">
        <v>8</v>
      </c>
      <c r="C155" t="s">
        <v>29</v>
      </c>
      <c r="D155" s="6">
        <v>-0.12509999999999999</v>
      </c>
    </row>
    <row r="156" spans="1:4" x14ac:dyDescent="0.35">
      <c r="A156" t="str">
        <f t="shared" si="2"/>
        <v>8Compounding Annual Return</v>
      </c>
      <c r="B156">
        <v>8</v>
      </c>
      <c r="C156" t="s">
        <v>30</v>
      </c>
      <c r="D156" s="6">
        <v>-0.24071000000000001</v>
      </c>
    </row>
    <row r="157" spans="1:4" x14ac:dyDescent="0.35">
      <c r="A157" t="str">
        <f t="shared" si="2"/>
        <v>8Drawdown</v>
      </c>
      <c r="B157">
        <v>8</v>
      </c>
      <c r="C157" t="s">
        <v>8</v>
      </c>
      <c r="D157" s="6">
        <v>0.245</v>
      </c>
    </row>
    <row r="158" spans="1:4" x14ac:dyDescent="0.35">
      <c r="A158" t="str">
        <f t="shared" si="2"/>
        <v>8Expectancy</v>
      </c>
      <c r="B158">
        <v>8</v>
      </c>
      <c r="C158" t="s">
        <v>31</v>
      </c>
      <c r="D158" s="6">
        <v>-0.316</v>
      </c>
    </row>
    <row r="159" spans="1:4" x14ac:dyDescent="0.35">
      <c r="A159" t="str">
        <f t="shared" si="2"/>
        <v>8Net Profit</v>
      </c>
      <c r="B159">
        <v>8</v>
      </c>
      <c r="C159" t="s">
        <v>32</v>
      </c>
      <c r="D159" s="6">
        <v>-0.16244</v>
      </c>
    </row>
    <row r="160" spans="1:4" x14ac:dyDescent="0.35">
      <c r="A160" t="str">
        <f t="shared" si="2"/>
        <v>8Loss Rate</v>
      </c>
      <c r="B160">
        <v>8</v>
      </c>
      <c r="C160" t="s">
        <v>33</v>
      </c>
      <c r="D160" s="6">
        <v>0.5</v>
      </c>
    </row>
    <row r="161" spans="1:4" x14ac:dyDescent="0.35">
      <c r="A161" t="str">
        <f t="shared" si="2"/>
        <v>8Win Rate</v>
      </c>
      <c r="B161">
        <v>8</v>
      </c>
      <c r="C161" t="s">
        <v>34</v>
      </c>
      <c r="D161" s="6">
        <v>0.5</v>
      </c>
    </row>
    <row r="162" spans="1:4" x14ac:dyDescent="0.35">
      <c r="A162" t="str">
        <f t="shared" si="2"/>
        <v>8Profit-Loss Ratio</v>
      </c>
      <c r="B162">
        <v>8</v>
      </c>
      <c r="C162" t="s">
        <v>26</v>
      </c>
      <c r="D162" s="6">
        <v>0.37</v>
      </c>
    </row>
    <row r="163" spans="1:4" x14ac:dyDescent="0.35">
      <c r="A163" t="str">
        <f t="shared" si="2"/>
        <v>8Alpha</v>
      </c>
      <c r="B163">
        <v>8</v>
      </c>
      <c r="C163" t="s">
        <v>23</v>
      </c>
      <c r="D163" s="6">
        <v>-0.17599999999999999</v>
      </c>
    </row>
    <row r="164" spans="1:4" x14ac:dyDescent="0.35">
      <c r="A164" t="str">
        <f t="shared" si="2"/>
        <v>8Beta</v>
      </c>
      <c r="B164">
        <v>8</v>
      </c>
      <c r="C164" t="s">
        <v>24</v>
      </c>
      <c r="D164" s="6">
        <v>0.183</v>
      </c>
    </row>
    <row r="165" spans="1:4" x14ac:dyDescent="0.35">
      <c r="A165" t="str">
        <f t="shared" si="2"/>
        <v>8Annual Standard Deviation</v>
      </c>
      <c r="B165">
        <v>8</v>
      </c>
      <c r="C165" t="s">
        <v>35</v>
      </c>
      <c r="D165" s="6">
        <v>0.14899999999999999</v>
      </c>
    </row>
    <row r="166" spans="1:4" x14ac:dyDescent="0.35">
      <c r="A166" t="str">
        <f t="shared" si="2"/>
        <v>8Annual Variance</v>
      </c>
      <c r="B166">
        <v>8</v>
      </c>
      <c r="C166" t="s">
        <v>36</v>
      </c>
      <c r="D166" s="6">
        <v>2.1999999999999999E-2</v>
      </c>
    </row>
    <row r="167" spans="1:4" x14ac:dyDescent="0.35">
      <c r="A167" t="str">
        <f t="shared" si="2"/>
        <v>8Information Ratio</v>
      </c>
      <c r="B167">
        <v>8</v>
      </c>
      <c r="C167" t="s">
        <v>37</v>
      </c>
      <c r="D167" s="6">
        <v>-1.444</v>
      </c>
    </row>
    <row r="168" spans="1:4" x14ac:dyDescent="0.35">
      <c r="A168" t="str">
        <f t="shared" si="2"/>
        <v>8Tracking Error</v>
      </c>
      <c r="B168">
        <v>8</v>
      </c>
      <c r="C168" t="s">
        <v>38</v>
      </c>
      <c r="D168" s="6">
        <v>0.158</v>
      </c>
    </row>
    <row r="169" spans="1:4" x14ac:dyDescent="0.35">
      <c r="A169" t="str">
        <f t="shared" si="2"/>
        <v>8Treynor Ratio</v>
      </c>
      <c r="B169">
        <v>8</v>
      </c>
      <c r="C169" t="s">
        <v>39</v>
      </c>
      <c r="D169" s="6">
        <v>-0.89800000000000002</v>
      </c>
    </row>
    <row r="170" spans="1:4" x14ac:dyDescent="0.35">
      <c r="A170" t="str">
        <f t="shared" si="2"/>
        <v>8Total Fees</v>
      </c>
      <c r="B170">
        <v>8</v>
      </c>
      <c r="C170" t="s">
        <v>40</v>
      </c>
      <c r="D170" s="6">
        <v>0</v>
      </c>
    </row>
    <row r="171" spans="1:4" x14ac:dyDescent="0.35">
      <c r="A171" t="str">
        <f t="shared" si="2"/>
        <v>8Estimated Strategy Capacity</v>
      </c>
      <c r="B171">
        <v>8</v>
      </c>
      <c r="C171" t="s">
        <v>41</v>
      </c>
      <c r="D171" s="6">
        <v>23000000</v>
      </c>
    </row>
    <row r="172" spans="1:4" x14ac:dyDescent="0.35">
      <c r="A172" t="str">
        <f t="shared" si="2"/>
        <v>34PSR</v>
      </c>
      <c r="B172">
        <v>34</v>
      </c>
      <c r="C172" t="s">
        <v>27</v>
      </c>
      <c r="D172" s="6">
        <v>0.22356999999999999</v>
      </c>
    </row>
    <row r="173" spans="1:4" x14ac:dyDescent="0.35">
      <c r="A173" t="str">
        <f t="shared" si="2"/>
        <v>34Sharpe Ratio</v>
      </c>
      <c r="B173">
        <v>34</v>
      </c>
      <c r="C173" t="s">
        <v>1</v>
      </c>
      <c r="D173" s="6">
        <v>0.23699999999999999</v>
      </c>
    </row>
    <row r="174" spans="1:4" x14ac:dyDescent="0.35">
      <c r="A174" t="str">
        <f t="shared" si="2"/>
        <v>34Total Trades</v>
      </c>
      <c r="B174">
        <v>34</v>
      </c>
      <c r="C174" t="s">
        <v>28</v>
      </c>
      <c r="D174" s="6">
        <v>317</v>
      </c>
    </row>
    <row r="175" spans="1:4" x14ac:dyDescent="0.35">
      <c r="A175" t="str">
        <f t="shared" si="2"/>
        <v>34Average Win</v>
      </c>
      <c r="B175">
        <v>34</v>
      </c>
      <c r="C175" t="s">
        <v>25</v>
      </c>
      <c r="D175" s="6">
        <v>1.6999999999999999E-3</v>
      </c>
    </row>
    <row r="176" spans="1:4" x14ac:dyDescent="0.35">
      <c r="A176" t="str">
        <f t="shared" si="2"/>
        <v>34Average Loss</v>
      </c>
      <c r="B176">
        <v>34</v>
      </c>
      <c r="C176" t="s">
        <v>29</v>
      </c>
      <c r="D176" s="6">
        <v>-8.0000000000000004E-4</v>
      </c>
    </row>
    <row r="177" spans="1:4" x14ac:dyDescent="0.35">
      <c r="A177" t="str">
        <f t="shared" si="2"/>
        <v>34Compounding Annual Return</v>
      </c>
      <c r="B177">
        <v>34</v>
      </c>
      <c r="C177" t="s">
        <v>30</v>
      </c>
      <c r="D177" s="6">
        <v>3.1199999999999999E-3</v>
      </c>
    </row>
    <row r="178" spans="1:4" x14ac:dyDescent="0.35">
      <c r="A178" t="str">
        <f t="shared" si="2"/>
        <v>34Drawdown</v>
      </c>
      <c r="B178">
        <v>34</v>
      </c>
      <c r="C178" t="s">
        <v>8</v>
      </c>
      <c r="D178" s="6">
        <v>5.0000000000000001E-3</v>
      </c>
    </row>
    <row r="179" spans="1:4" x14ac:dyDescent="0.35">
      <c r="A179" t="str">
        <f t="shared" si="2"/>
        <v>34Expectancy</v>
      </c>
      <c r="B179">
        <v>34</v>
      </c>
      <c r="C179" t="s">
        <v>31</v>
      </c>
      <c r="D179" s="6">
        <v>0.28699999999999998</v>
      </c>
    </row>
    <row r="180" spans="1:4" x14ac:dyDescent="0.35">
      <c r="A180" t="str">
        <f t="shared" si="2"/>
        <v>34Net Profit</v>
      </c>
      <c r="B180">
        <v>34</v>
      </c>
      <c r="C180" t="s">
        <v>32</v>
      </c>
      <c r="D180" s="6">
        <v>2.0100000000000001E-3</v>
      </c>
    </row>
    <row r="181" spans="1:4" x14ac:dyDescent="0.35">
      <c r="A181" t="str">
        <f t="shared" si="2"/>
        <v>34Loss Rate</v>
      </c>
      <c r="B181">
        <v>34</v>
      </c>
      <c r="C181" t="s">
        <v>33</v>
      </c>
      <c r="D181" s="6">
        <v>0.6</v>
      </c>
    </row>
    <row r="182" spans="1:4" x14ac:dyDescent="0.35">
      <c r="A182" t="str">
        <f t="shared" si="2"/>
        <v>34Win Rate</v>
      </c>
      <c r="B182">
        <v>34</v>
      </c>
      <c r="C182" t="s">
        <v>34</v>
      </c>
      <c r="D182" s="6">
        <v>0.4</v>
      </c>
    </row>
    <row r="183" spans="1:4" x14ac:dyDescent="0.35">
      <c r="A183" t="str">
        <f t="shared" si="2"/>
        <v>34Profit-Loss Ratio</v>
      </c>
      <c r="B183">
        <v>34</v>
      </c>
      <c r="C183" t="s">
        <v>26</v>
      </c>
      <c r="D183" s="6">
        <v>2.2200000000000002</v>
      </c>
    </row>
    <row r="184" spans="1:4" x14ac:dyDescent="0.35">
      <c r="A184" t="str">
        <f t="shared" si="2"/>
        <v>34Alpha</v>
      </c>
      <c r="B184">
        <v>34</v>
      </c>
      <c r="C184" t="s">
        <v>23</v>
      </c>
      <c r="D184" s="6">
        <v>0</v>
      </c>
    </row>
    <row r="185" spans="1:4" x14ac:dyDescent="0.35">
      <c r="A185" t="str">
        <f t="shared" si="2"/>
        <v>34Beta</v>
      </c>
      <c r="B185">
        <v>34</v>
      </c>
      <c r="C185" t="s">
        <v>24</v>
      </c>
      <c r="D185" s="6">
        <v>4.2000000000000003E-2</v>
      </c>
    </row>
    <row r="186" spans="1:4" x14ac:dyDescent="0.35">
      <c r="A186" t="str">
        <f t="shared" si="2"/>
        <v>34Annual Standard Deviation</v>
      </c>
      <c r="B186">
        <v>34</v>
      </c>
      <c r="C186" t="s">
        <v>35</v>
      </c>
      <c r="D186" s="6">
        <v>8.9999999999999993E-3</v>
      </c>
    </row>
    <row r="187" spans="1:4" x14ac:dyDescent="0.35">
      <c r="A187" t="str">
        <f t="shared" si="2"/>
        <v>34Annual Variance</v>
      </c>
      <c r="B187">
        <v>34</v>
      </c>
      <c r="C187" t="s">
        <v>36</v>
      </c>
      <c r="D187" s="6">
        <v>0</v>
      </c>
    </row>
    <row r="188" spans="1:4" x14ac:dyDescent="0.35">
      <c r="A188" t="str">
        <f t="shared" si="2"/>
        <v>34Information Ratio</v>
      </c>
      <c r="B188">
        <v>34</v>
      </c>
      <c r="C188" t="s">
        <v>37</v>
      </c>
      <c r="D188" s="6">
        <v>-0.95699999999999996</v>
      </c>
    </row>
    <row r="189" spans="1:4" x14ac:dyDescent="0.35">
      <c r="A189" t="str">
        <f t="shared" si="2"/>
        <v>34Tracking Error</v>
      </c>
      <c r="B189">
        <v>34</v>
      </c>
      <c r="C189" t="s">
        <v>38</v>
      </c>
      <c r="D189" s="6">
        <v>6.5000000000000002E-2</v>
      </c>
    </row>
    <row r="190" spans="1:4" x14ac:dyDescent="0.35">
      <c r="A190" t="str">
        <f t="shared" si="2"/>
        <v>34Treynor Ratio</v>
      </c>
      <c r="B190">
        <v>34</v>
      </c>
      <c r="C190" t="s">
        <v>39</v>
      </c>
      <c r="D190" s="6">
        <v>5.2999999999999999E-2</v>
      </c>
    </row>
    <row r="191" spans="1:4" x14ac:dyDescent="0.35">
      <c r="A191" t="str">
        <f t="shared" si="2"/>
        <v>34Total Fees</v>
      </c>
      <c r="B191">
        <v>34</v>
      </c>
      <c r="C191" t="s">
        <v>40</v>
      </c>
      <c r="D191" s="6">
        <v>0</v>
      </c>
    </row>
    <row r="192" spans="1:4" x14ac:dyDescent="0.35">
      <c r="A192" t="str">
        <f t="shared" si="2"/>
        <v>34Estimated Strategy Capacity</v>
      </c>
      <c r="B192">
        <v>34</v>
      </c>
      <c r="C192" t="s">
        <v>41</v>
      </c>
      <c r="D192" s="6">
        <v>230000000</v>
      </c>
    </row>
    <row r="193" spans="1:4" x14ac:dyDescent="0.35">
      <c r="A193" t="str">
        <f t="shared" si="2"/>
        <v>28PSR</v>
      </c>
      <c r="B193">
        <v>28</v>
      </c>
      <c r="C193" t="s">
        <v>27</v>
      </c>
      <c r="D193" s="6">
        <v>1.125E-2</v>
      </c>
    </row>
    <row r="194" spans="1:4" x14ac:dyDescent="0.35">
      <c r="A194" t="str">
        <f t="shared" si="2"/>
        <v>28Sharpe Ratio</v>
      </c>
      <c r="B194">
        <v>28</v>
      </c>
      <c r="C194" t="s">
        <v>1</v>
      </c>
      <c r="D194" s="6">
        <v>-1.2729999999999999</v>
      </c>
    </row>
    <row r="195" spans="1:4" x14ac:dyDescent="0.35">
      <c r="A195" t="str">
        <f t="shared" ref="A195:A258" si="3">B195&amp;C195</f>
        <v>28Total Trades</v>
      </c>
      <c r="B195">
        <v>28</v>
      </c>
      <c r="C195" t="s">
        <v>28</v>
      </c>
      <c r="D195" s="6">
        <v>764</v>
      </c>
    </row>
    <row r="196" spans="1:4" x14ac:dyDescent="0.35">
      <c r="A196" t="str">
        <f t="shared" si="3"/>
        <v>28Average Win</v>
      </c>
      <c r="B196">
        <v>28</v>
      </c>
      <c r="C196" t="s">
        <v>25</v>
      </c>
      <c r="D196" s="6">
        <v>8.0000000000000004E-4</v>
      </c>
    </row>
    <row r="197" spans="1:4" x14ac:dyDescent="0.35">
      <c r="A197" t="str">
        <f t="shared" si="3"/>
        <v>28Average Loss</v>
      </c>
      <c r="B197">
        <v>28</v>
      </c>
      <c r="C197" t="s">
        <v>29</v>
      </c>
      <c r="D197" s="6">
        <v>-1.1999999999999999E-3</v>
      </c>
    </row>
    <row r="198" spans="1:4" x14ac:dyDescent="0.35">
      <c r="A198" t="str">
        <f t="shared" si="3"/>
        <v>28Compounding Annual Return</v>
      </c>
      <c r="B198">
        <v>28</v>
      </c>
      <c r="C198" t="s">
        <v>30</v>
      </c>
      <c r="D198" s="6">
        <v>-1.6959999999999999E-2</v>
      </c>
    </row>
    <row r="199" spans="1:4" x14ac:dyDescent="0.35">
      <c r="A199" t="str">
        <f t="shared" si="3"/>
        <v>28Drawdown</v>
      </c>
      <c r="B199">
        <v>28</v>
      </c>
      <c r="C199" t="s">
        <v>8</v>
      </c>
      <c r="D199" s="6">
        <v>1.6E-2</v>
      </c>
    </row>
    <row r="200" spans="1:4" x14ac:dyDescent="0.35">
      <c r="A200" t="str">
        <f t="shared" si="3"/>
        <v>28Expectancy</v>
      </c>
      <c r="B200">
        <v>28</v>
      </c>
      <c r="C200" t="s">
        <v>31</v>
      </c>
      <c r="D200" s="6">
        <v>-0.35599999999999998</v>
      </c>
    </row>
    <row r="201" spans="1:4" x14ac:dyDescent="0.35">
      <c r="A201" t="str">
        <f t="shared" si="3"/>
        <v>28Net Profit</v>
      </c>
      <c r="B201">
        <v>28</v>
      </c>
      <c r="C201" t="s">
        <v>32</v>
      </c>
      <c r="D201" s="6">
        <v>-1.095E-2</v>
      </c>
    </row>
    <row r="202" spans="1:4" x14ac:dyDescent="0.35">
      <c r="A202" t="str">
        <f t="shared" si="3"/>
        <v>28Loss Rate</v>
      </c>
      <c r="B202">
        <v>28</v>
      </c>
      <c r="C202" t="s">
        <v>33</v>
      </c>
      <c r="D202" s="6">
        <v>0.6</v>
      </c>
    </row>
    <row r="203" spans="1:4" x14ac:dyDescent="0.35">
      <c r="A203" t="str">
        <f t="shared" si="3"/>
        <v>28Win Rate</v>
      </c>
      <c r="B203">
        <v>28</v>
      </c>
      <c r="C203" t="s">
        <v>34</v>
      </c>
      <c r="D203" s="6">
        <v>0.4</v>
      </c>
    </row>
    <row r="204" spans="1:4" x14ac:dyDescent="0.35">
      <c r="A204" t="str">
        <f t="shared" si="3"/>
        <v>28Profit-Loss Ratio</v>
      </c>
      <c r="B204">
        <v>28</v>
      </c>
      <c r="C204" t="s">
        <v>26</v>
      </c>
      <c r="D204" s="6">
        <v>0.61</v>
      </c>
    </row>
    <row r="205" spans="1:4" x14ac:dyDescent="0.35">
      <c r="A205" t="str">
        <f t="shared" si="3"/>
        <v>28Alpha</v>
      </c>
      <c r="B205">
        <v>28</v>
      </c>
      <c r="C205" t="s">
        <v>23</v>
      </c>
      <c r="D205" s="6">
        <v>-1.4E-2</v>
      </c>
    </row>
    <row r="206" spans="1:4" x14ac:dyDescent="0.35">
      <c r="A206" t="str">
        <f t="shared" si="3"/>
        <v>28Beta</v>
      </c>
      <c r="B206">
        <v>28</v>
      </c>
      <c r="C206" t="s">
        <v>24</v>
      </c>
      <c r="D206" s="6">
        <v>3.3000000000000002E-2</v>
      </c>
    </row>
    <row r="207" spans="1:4" x14ac:dyDescent="0.35">
      <c r="A207" t="str">
        <f t="shared" si="3"/>
        <v>28Annual Standard Deviation</v>
      </c>
      <c r="B207">
        <v>28</v>
      </c>
      <c r="C207" t="s">
        <v>35</v>
      </c>
      <c r="D207" s="6">
        <v>8.9999999999999993E-3</v>
      </c>
    </row>
    <row r="208" spans="1:4" x14ac:dyDescent="0.35">
      <c r="A208" t="str">
        <f t="shared" si="3"/>
        <v>28Annual Variance</v>
      </c>
      <c r="B208">
        <v>28</v>
      </c>
      <c r="C208" t="s">
        <v>36</v>
      </c>
      <c r="D208" s="6">
        <v>0</v>
      </c>
    </row>
    <row r="209" spans="1:4" x14ac:dyDescent="0.35">
      <c r="A209" t="str">
        <f t="shared" si="3"/>
        <v>28Information Ratio</v>
      </c>
      <c r="B209">
        <v>28</v>
      </c>
      <c r="C209" t="s">
        <v>37</v>
      </c>
      <c r="D209" s="6">
        <v>-1.161</v>
      </c>
    </row>
    <row r="210" spans="1:4" x14ac:dyDescent="0.35">
      <c r="A210" t="str">
        <f t="shared" si="3"/>
        <v>28Tracking Error</v>
      </c>
      <c r="B210">
        <v>28</v>
      </c>
      <c r="C210" t="s">
        <v>38</v>
      </c>
      <c r="D210" s="6">
        <v>6.5000000000000002E-2</v>
      </c>
    </row>
    <row r="211" spans="1:4" x14ac:dyDescent="0.35">
      <c r="A211" t="str">
        <f t="shared" si="3"/>
        <v>28Treynor Ratio</v>
      </c>
      <c r="B211">
        <v>28</v>
      </c>
      <c r="C211" t="s">
        <v>39</v>
      </c>
      <c r="D211" s="6">
        <v>-0.35799999999999998</v>
      </c>
    </row>
    <row r="212" spans="1:4" x14ac:dyDescent="0.35">
      <c r="A212" t="str">
        <f t="shared" si="3"/>
        <v>28Total Fees</v>
      </c>
      <c r="B212">
        <v>28</v>
      </c>
      <c r="C212" t="s">
        <v>40</v>
      </c>
      <c r="D212" s="6">
        <v>0</v>
      </c>
    </row>
    <row r="213" spans="1:4" x14ac:dyDescent="0.35">
      <c r="A213" t="str">
        <f t="shared" si="3"/>
        <v>28Estimated Strategy Capacity</v>
      </c>
      <c r="B213">
        <v>28</v>
      </c>
      <c r="C213" t="s">
        <v>41</v>
      </c>
      <c r="D213" s="6">
        <v>230000000</v>
      </c>
    </row>
    <row r="214" spans="1:4" x14ac:dyDescent="0.35">
      <c r="A214" t="str">
        <f t="shared" si="3"/>
        <v>29PSR</v>
      </c>
      <c r="B214">
        <v>29</v>
      </c>
      <c r="C214" t="s">
        <v>27</v>
      </c>
      <c r="D214" s="6">
        <v>1.3780000000000001E-2</v>
      </c>
    </row>
    <row r="215" spans="1:4" x14ac:dyDescent="0.35">
      <c r="A215" t="str">
        <f t="shared" si="3"/>
        <v>29Sharpe Ratio</v>
      </c>
      <c r="B215">
        <v>29</v>
      </c>
      <c r="C215" t="s">
        <v>1</v>
      </c>
      <c r="D215" s="6">
        <v>-1.1679999999999999</v>
      </c>
    </row>
    <row r="216" spans="1:4" x14ac:dyDescent="0.35">
      <c r="A216" t="str">
        <f t="shared" si="3"/>
        <v>29Total Trades</v>
      </c>
      <c r="B216">
        <v>29</v>
      </c>
      <c r="C216" t="s">
        <v>28</v>
      </c>
      <c r="D216" s="6">
        <v>764</v>
      </c>
    </row>
    <row r="217" spans="1:4" x14ac:dyDescent="0.35">
      <c r="A217" t="str">
        <f t="shared" si="3"/>
        <v>29Average Win</v>
      </c>
      <c r="B217">
        <v>29</v>
      </c>
      <c r="C217" t="s">
        <v>25</v>
      </c>
      <c r="D217" s="6">
        <v>7.9000000000000008E-3</v>
      </c>
    </row>
    <row r="218" spans="1:4" x14ac:dyDescent="0.35">
      <c r="A218" t="str">
        <f t="shared" si="3"/>
        <v>29Average Loss</v>
      </c>
      <c r="B218">
        <v>29</v>
      </c>
      <c r="C218" t="s">
        <v>29</v>
      </c>
      <c r="D218" s="6">
        <v>-1.2699999999999999E-2</v>
      </c>
    </row>
    <row r="219" spans="1:4" x14ac:dyDescent="0.35">
      <c r="A219" t="str">
        <f t="shared" si="3"/>
        <v>29Compounding Annual Return</v>
      </c>
      <c r="B219">
        <v>29</v>
      </c>
      <c r="C219" t="s">
        <v>30</v>
      </c>
      <c r="D219" s="6">
        <v>-0.16483999999999999</v>
      </c>
    </row>
    <row r="220" spans="1:4" x14ac:dyDescent="0.35">
      <c r="A220" t="str">
        <f t="shared" si="3"/>
        <v>29Drawdown</v>
      </c>
      <c r="B220">
        <v>29</v>
      </c>
      <c r="C220" t="s">
        <v>8</v>
      </c>
      <c r="D220" s="6">
        <v>0.155</v>
      </c>
    </row>
    <row r="221" spans="1:4" x14ac:dyDescent="0.35">
      <c r="A221" t="str">
        <f t="shared" si="3"/>
        <v>29Expectancy</v>
      </c>
      <c r="B221">
        <v>29</v>
      </c>
      <c r="C221" t="s">
        <v>31</v>
      </c>
      <c r="D221" s="6">
        <v>-0.35299999999999998</v>
      </c>
    </row>
    <row r="222" spans="1:4" x14ac:dyDescent="0.35">
      <c r="A222" t="str">
        <f t="shared" si="3"/>
        <v>29Net Profit</v>
      </c>
      <c r="B222">
        <v>29</v>
      </c>
      <c r="C222" t="s">
        <v>32</v>
      </c>
      <c r="D222" s="6">
        <v>-0.10947999999999999</v>
      </c>
    </row>
    <row r="223" spans="1:4" x14ac:dyDescent="0.35">
      <c r="A223" t="str">
        <f t="shared" si="3"/>
        <v>29Loss Rate</v>
      </c>
      <c r="B223">
        <v>29</v>
      </c>
      <c r="C223" t="s">
        <v>33</v>
      </c>
      <c r="D223" s="6">
        <v>0.6</v>
      </c>
    </row>
    <row r="224" spans="1:4" x14ac:dyDescent="0.35">
      <c r="A224" t="str">
        <f t="shared" si="3"/>
        <v>29Win Rate</v>
      </c>
      <c r="B224">
        <v>29</v>
      </c>
      <c r="C224" t="s">
        <v>34</v>
      </c>
      <c r="D224" s="6">
        <v>0.4</v>
      </c>
    </row>
    <row r="225" spans="1:4" x14ac:dyDescent="0.35">
      <c r="A225" t="str">
        <f t="shared" si="3"/>
        <v>29Profit-Loss Ratio</v>
      </c>
      <c r="B225">
        <v>29</v>
      </c>
      <c r="C225" t="s">
        <v>26</v>
      </c>
      <c r="D225" s="6">
        <v>0.62</v>
      </c>
    </row>
    <row r="226" spans="1:4" x14ac:dyDescent="0.35">
      <c r="A226" t="str">
        <f t="shared" si="3"/>
        <v>29Alpha</v>
      </c>
      <c r="B226">
        <v>29</v>
      </c>
      <c r="C226" t="s">
        <v>23</v>
      </c>
      <c r="D226" s="6">
        <v>-0.13500000000000001</v>
      </c>
    </row>
    <row r="227" spans="1:4" x14ac:dyDescent="0.35">
      <c r="A227" t="str">
        <f t="shared" si="3"/>
        <v>29Beta</v>
      </c>
      <c r="B227">
        <v>29</v>
      </c>
      <c r="C227" t="s">
        <v>24</v>
      </c>
      <c r="D227" s="6">
        <v>0.34599999999999997</v>
      </c>
    </row>
    <row r="228" spans="1:4" x14ac:dyDescent="0.35">
      <c r="A228" t="str">
        <f t="shared" si="3"/>
        <v>29Annual Standard Deviation</v>
      </c>
      <c r="B228">
        <v>29</v>
      </c>
      <c r="C228" t="s">
        <v>35</v>
      </c>
      <c r="D228" s="6">
        <v>9.7000000000000003E-2</v>
      </c>
    </row>
    <row r="229" spans="1:4" x14ac:dyDescent="0.35">
      <c r="A229" t="str">
        <f t="shared" si="3"/>
        <v>29Annual Variance</v>
      </c>
      <c r="B229">
        <v>29</v>
      </c>
      <c r="C229" t="s">
        <v>36</v>
      </c>
      <c r="D229" s="6">
        <v>8.9999999999999993E-3</v>
      </c>
    </row>
    <row r="230" spans="1:4" x14ac:dyDescent="0.35">
      <c r="A230" t="str">
        <f t="shared" si="3"/>
        <v>29Information Ratio</v>
      </c>
      <c r="B230">
        <v>29</v>
      </c>
      <c r="C230" t="s">
        <v>37</v>
      </c>
      <c r="D230" s="6">
        <v>-1.708</v>
      </c>
    </row>
    <row r="231" spans="1:4" x14ac:dyDescent="0.35">
      <c r="A231" t="str">
        <f t="shared" si="3"/>
        <v>29Tracking Error</v>
      </c>
      <c r="B231">
        <v>29</v>
      </c>
      <c r="C231" t="s">
        <v>38</v>
      </c>
      <c r="D231" s="6">
        <v>0.104</v>
      </c>
    </row>
    <row r="232" spans="1:4" x14ac:dyDescent="0.35">
      <c r="A232" t="str">
        <f t="shared" si="3"/>
        <v>29Treynor Ratio</v>
      </c>
      <c r="B232">
        <v>29</v>
      </c>
      <c r="C232" t="s">
        <v>39</v>
      </c>
      <c r="D232" s="6">
        <v>-0.32700000000000001</v>
      </c>
    </row>
    <row r="233" spans="1:4" x14ac:dyDescent="0.35">
      <c r="A233" t="str">
        <f t="shared" si="3"/>
        <v>29Total Fees</v>
      </c>
      <c r="B233">
        <v>29</v>
      </c>
      <c r="C233" t="s">
        <v>40</v>
      </c>
      <c r="D233" s="6">
        <v>0</v>
      </c>
    </row>
    <row r="234" spans="1:4" x14ac:dyDescent="0.35">
      <c r="A234" t="str">
        <f t="shared" si="3"/>
        <v>29Estimated Strategy Capacity</v>
      </c>
      <c r="B234">
        <v>29</v>
      </c>
      <c r="C234" t="s">
        <v>41</v>
      </c>
      <c r="D234" s="6">
        <v>22000000</v>
      </c>
    </row>
    <row r="235" spans="1:4" x14ac:dyDescent="0.35">
      <c r="A235" t="str">
        <f t="shared" si="3"/>
        <v>30PSR</v>
      </c>
      <c r="B235">
        <v>30</v>
      </c>
      <c r="C235" t="s">
        <v>27</v>
      </c>
      <c r="D235" s="6">
        <v>4.7910000000000001E-2</v>
      </c>
    </row>
    <row r="236" spans="1:4" x14ac:dyDescent="0.35">
      <c r="A236" t="str">
        <f t="shared" si="3"/>
        <v>30Sharpe Ratio</v>
      </c>
      <c r="B236">
        <v>30</v>
      </c>
      <c r="C236" t="s">
        <v>1</v>
      </c>
      <c r="D236" s="6">
        <v>-0.61899999999999999</v>
      </c>
    </row>
    <row r="237" spans="1:4" x14ac:dyDescent="0.35">
      <c r="A237" t="str">
        <f t="shared" si="3"/>
        <v>30Total Trades</v>
      </c>
      <c r="B237">
        <v>30</v>
      </c>
      <c r="C237" t="s">
        <v>28</v>
      </c>
      <c r="D237" s="6">
        <v>764</v>
      </c>
    </row>
    <row r="238" spans="1:4" x14ac:dyDescent="0.35">
      <c r="A238" t="str">
        <f t="shared" si="3"/>
        <v>30Average Win</v>
      </c>
      <c r="B238">
        <v>30</v>
      </c>
      <c r="C238" t="s">
        <v>25</v>
      </c>
      <c r="D238" s="6">
        <v>5.0900000000000001E-2</v>
      </c>
    </row>
    <row r="239" spans="1:4" x14ac:dyDescent="0.35">
      <c r="A239" t="str">
        <f t="shared" si="3"/>
        <v>30Average Loss</v>
      </c>
      <c r="B239">
        <v>30</v>
      </c>
      <c r="C239" t="s">
        <v>29</v>
      </c>
      <c r="D239" s="6">
        <v>-7.8899999999999998E-2</v>
      </c>
    </row>
    <row r="240" spans="1:4" x14ac:dyDescent="0.35">
      <c r="A240" t="str">
        <f t="shared" si="3"/>
        <v>30Compounding Annual Return</v>
      </c>
      <c r="B240">
        <v>30</v>
      </c>
      <c r="C240" t="s">
        <v>30</v>
      </c>
      <c r="D240" s="6">
        <v>-0.70816000000000001</v>
      </c>
    </row>
    <row r="241" spans="1:4" x14ac:dyDescent="0.35">
      <c r="A241" t="str">
        <f t="shared" si="3"/>
        <v>30Drawdown</v>
      </c>
      <c r="B241">
        <v>30</v>
      </c>
      <c r="C241" t="s">
        <v>8</v>
      </c>
      <c r="D241" s="6">
        <v>0.70899999999999996</v>
      </c>
    </row>
    <row r="242" spans="1:4" x14ac:dyDescent="0.35">
      <c r="A242" t="str">
        <f t="shared" si="3"/>
        <v>30Expectancy</v>
      </c>
      <c r="B242">
        <v>30</v>
      </c>
      <c r="C242" t="s">
        <v>31</v>
      </c>
      <c r="D242" s="6">
        <v>-0.34200000000000003</v>
      </c>
    </row>
    <row r="243" spans="1:4" x14ac:dyDescent="0.35">
      <c r="A243" t="str">
        <f t="shared" si="3"/>
        <v>30Net Profit</v>
      </c>
      <c r="B243">
        <v>30</v>
      </c>
      <c r="C243" t="s">
        <v>32</v>
      </c>
      <c r="D243" s="6">
        <v>-0.54740999999999995</v>
      </c>
    </row>
    <row r="244" spans="1:4" x14ac:dyDescent="0.35">
      <c r="A244" t="str">
        <f t="shared" si="3"/>
        <v>30Loss Rate</v>
      </c>
      <c r="B244">
        <v>30</v>
      </c>
      <c r="C244" t="s">
        <v>33</v>
      </c>
      <c r="D244" s="6">
        <v>0.6</v>
      </c>
    </row>
    <row r="245" spans="1:4" x14ac:dyDescent="0.35">
      <c r="A245" t="str">
        <f t="shared" si="3"/>
        <v>30Win Rate</v>
      </c>
      <c r="B245">
        <v>30</v>
      </c>
      <c r="C245" t="s">
        <v>34</v>
      </c>
      <c r="D245" s="6">
        <v>0.4</v>
      </c>
    </row>
    <row r="246" spans="1:4" x14ac:dyDescent="0.35">
      <c r="A246" t="str">
        <f t="shared" si="3"/>
        <v>30Profit-Loss Ratio</v>
      </c>
      <c r="B246">
        <v>30</v>
      </c>
      <c r="C246" t="s">
        <v>26</v>
      </c>
      <c r="D246" s="6">
        <v>0.65</v>
      </c>
    </row>
    <row r="247" spans="1:4" x14ac:dyDescent="0.35">
      <c r="A247" t="str">
        <f t="shared" si="3"/>
        <v>30Alpha</v>
      </c>
      <c r="B247">
        <v>30</v>
      </c>
      <c r="C247" t="s">
        <v>23</v>
      </c>
      <c r="D247" s="6">
        <v>-0.61199999999999999</v>
      </c>
    </row>
    <row r="248" spans="1:4" x14ac:dyDescent="0.35">
      <c r="A248" t="str">
        <f t="shared" si="3"/>
        <v>30Beta</v>
      </c>
      <c r="B248">
        <v>30</v>
      </c>
      <c r="C248" t="s">
        <v>24</v>
      </c>
      <c r="D248" s="6">
        <v>2.528</v>
      </c>
    </row>
    <row r="249" spans="1:4" x14ac:dyDescent="0.35">
      <c r="A249" t="str">
        <f t="shared" si="3"/>
        <v>30Annual Standard Deviation</v>
      </c>
      <c r="B249">
        <v>30</v>
      </c>
      <c r="C249" t="s">
        <v>35</v>
      </c>
      <c r="D249" s="6">
        <v>0.72599999999999998</v>
      </c>
    </row>
    <row r="250" spans="1:4" x14ac:dyDescent="0.35">
      <c r="A250" t="str">
        <f t="shared" si="3"/>
        <v>30Annual Variance</v>
      </c>
      <c r="B250">
        <v>30</v>
      </c>
      <c r="C250" t="s">
        <v>36</v>
      </c>
      <c r="D250" s="6">
        <v>0.52800000000000002</v>
      </c>
    </row>
    <row r="251" spans="1:4" x14ac:dyDescent="0.35">
      <c r="A251" t="str">
        <f t="shared" si="3"/>
        <v>30Information Ratio</v>
      </c>
      <c r="B251">
        <v>30</v>
      </c>
      <c r="C251" t="s">
        <v>37</v>
      </c>
      <c r="D251" s="6">
        <v>-0.71899999999999997</v>
      </c>
    </row>
    <row r="252" spans="1:4" x14ac:dyDescent="0.35">
      <c r="A252" t="str">
        <f t="shared" si="3"/>
        <v>30Tracking Error</v>
      </c>
      <c r="B252">
        <v>30</v>
      </c>
      <c r="C252" t="s">
        <v>38</v>
      </c>
      <c r="D252" s="6">
        <v>0.71399999999999997</v>
      </c>
    </row>
    <row r="253" spans="1:4" x14ac:dyDescent="0.35">
      <c r="A253" t="str">
        <f t="shared" si="3"/>
        <v>30Treynor Ratio</v>
      </c>
      <c r="B253">
        <v>30</v>
      </c>
      <c r="C253" t="s">
        <v>39</v>
      </c>
      <c r="D253" s="6">
        <v>-0.17799999999999999</v>
      </c>
    </row>
    <row r="254" spans="1:4" x14ac:dyDescent="0.35">
      <c r="A254" t="str">
        <f t="shared" si="3"/>
        <v>30Total Fees</v>
      </c>
      <c r="B254">
        <v>30</v>
      </c>
      <c r="C254" t="s">
        <v>40</v>
      </c>
      <c r="D254" s="6">
        <v>0</v>
      </c>
    </row>
    <row r="255" spans="1:4" x14ac:dyDescent="0.35">
      <c r="A255" t="str">
        <f t="shared" si="3"/>
        <v>30Estimated Strategy Capacity</v>
      </c>
      <c r="B255">
        <v>30</v>
      </c>
      <c r="C255" t="s">
        <v>41</v>
      </c>
      <c r="D255" s="6">
        <v>3300000</v>
      </c>
    </row>
    <row r="256" spans="1:4" x14ac:dyDescent="0.35">
      <c r="A256" t="str">
        <f t="shared" si="3"/>
        <v>31PSR</v>
      </c>
      <c r="B256">
        <v>31</v>
      </c>
      <c r="C256" t="s">
        <v>27</v>
      </c>
      <c r="D256" s="6">
        <v>4.5999999999999999E-2</v>
      </c>
    </row>
    <row r="257" spans="1:4" x14ac:dyDescent="0.35">
      <c r="A257" t="str">
        <f t="shared" si="3"/>
        <v>31Sharpe Ratio</v>
      </c>
      <c r="B257">
        <v>31</v>
      </c>
      <c r="C257" t="s">
        <v>1</v>
      </c>
      <c r="D257" s="6">
        <v>-0.76900000000000002</v>
      </c>
    </row>
    <row r="258" spans="1:4" x14ac:dyDescent="0.35">
      <c r="A258" t="str">
        <f t="shared" si="3"/>
        <v>31Total Trades</v>
      </c>
      <c r="B258">
        <v>31</v>
      </c>
      <c r="C258" t="s">
        <v>28</v>
      </c>
      <c r="D258" s="6">
        <v>459</v>
      </c>
    </row>
    <row r="259" spans="1:4" x14ac:dyDescent="0.35">
      <c r="A259" t="str">
        <f t="shared" ref="A259:A322" si="4">B259&amp;C259</f>
        <v>31Average Win</v>
      </c>
      <c r="B259">
        <v>31</v>
      </c>
      <c r="C259" t="s">
        <v>25</v>
      </c>
      <c r="D259" s="6">
        <v>6.9999999999999999E-4</v>
      </c>
    </row>
    <row r="260" spans="1:4" x14ac:dyDescent="0.35">
      <c r="A260" t="str">
        <f t="shared" si="4"/>
        <v>31Average Loss</v>
      </c>
      <c r="B260">
        <v>31</v>
      </c>
      <c r="C260" t="s">
        <v>29</v>
      </c>
      <c r="D260" s="6">
        <v>-1.4E-3</v>
      </c>
    </row>
    <row r="261" spans="1:4" x14ac:dyDescent="0.35">
      <c r="A261" t="str">
        <f t="shared" si="4"/>
        <v>31Compounding Annual Return</v>
      </c>
      <c r="B261">
        <v>31</v>
      </c>
      <c r="C261" t="s">
        <v>30</v>
      </c>
      <c r="D261" s="6">
        <v>-1.0160000000000001E-2</v>
      </c>
    </row>
    <row r="262" spans="1:4" x14ac:dyDescent="0.35">
      <c r="A262" t="str">
        <f t="shared" si="4"/>
        <v>31Drawdown</v>
      </c>
      <c r="B262">
        <v>31</v>
      </c>
      <c r="C262" t="s">
        <v>8</v>
      </c>
      <c r="D262" s="6">
        <v>1.4E-2</v>
      </c>
    </row>
    <row r="263" spans="1:4" x14ac:dyDescent="0.35">
      <c r="A263" t="str">
        <f t="shared" si="4"/>
        <v>31Expectancy</v>
      </c>
      <c r="B263">
        <v>31</v>
      </c>
      <c r="C263" t="s">
        <v>31</v>
      </c>
      <c r="D263" s="6">
        <v>-0.30199999999999999</v>
      </c>
    </row>
    <row r="264" spans="1:4" x14ac:dyDescent="0.35">
      <c r="A264" t="str">
        <f t="shared" si="4"/>
        <v>31Net Profit</v>
      </c>
      <c r="B264">
        <v>31</v>
      </c>
      <c r="C264" t="s">
        <v>32</v>
      </c>
      <c r="D264" s="6">
        <v>-6.5500000000000003E-3</v>
      </c>
    </row>
    <row r="265" spans="1:4" x14ac:dyDescent="0.35">
      <c r="A265" t="str">
        <f t="shared" si="4"/>
        <v>31Loss Rate</v>
      </c>
      <c r="B265">
        <v>31</v>
      </c>
      <c r="C265" t="s">
        <v>33</v>
      </c>
      <c r="D265" s="6">
        <v>0.53</v>
      </c>
    </row>
    <row r="266" spans="1:4" x14ac:dyDescent="0.35">
      <c r="A266" t="str">
        <f t="shared" si="4"/>
        <v>31Win Rate</v>
      </c>
      <c r="B266">
        <v>31</v>
      </c>
      <c r="C266" t="s">
        <v>34</v>
      </c>
      <c r="D266" s="6">
        <v>0.47</v>
      </c>
    </row>
    <row r="267" spans="1:4" x14ac:dyDescent="0.35">
      <c r="A267" t="str">
        <f t="shared" si="4"/>
        <v>31Profit-Loss Ratio</v>
      </c>
      <c r="B267">
        <v>31</v>
      </c>
      <c r="C267" t="s">
        <v>26</v>
      </c>
      <c r="D267" s="6">
        <v>0.5</v>
      </c>
    </row>
    <row r="268" spans="1:4" x14ac:dyDescent="0.35">
      <c r="A268" t="str">
        <f t="shared" si="4"/>
        <v>31Alpha</v>
      </c>
      <c r="B268">
        <v>31</v>
      </c>
      <c r="C268" t="s">
        <v>23</v>
      </c>
      <c r="D268" s="6">
        <v>-8.9999999999999993E-3</v>
      </c>
    </row>
    <row r="269" spans="1:4" x14ac:dyDescent="0.35">
      <c r="A269" t="str">
        <f t="shared" si="4"/>
        <v>31Beta</v>
      </c>
      <c r="B269">
        <v>31</v>
      </c>
      <c r="C269" t="s">
        <v>24</v>
      </c>
      <c r="D269" s="6">
        <v>3.6999999999999998E-2</v>
      </c>
    </row>
    <row r="270" spans="1:4" x14ac:dyDescent="0.35">
      <c r="A270" t="str">
        <f t="shared" si="4"/>
        <v>31Annual Standard Deviation</v>
      </c>
      <c r="B270">
        <v>31</v>
      </c>
      <c r="C270" t="s">
        <v>35</v>
      </c>
      <c r="D270" s="6">
        <v>8.9999999999999993E-3</v>
      </c>
    </row>
    <row r="271" spans="1:4" x14ac:dyDescent="0.35">
      <c r="A271" t="str">
        <f t="shared" si="4"/>
        <v>31Annual Variance</v>
      </c>
      <c r="B271">
        <v>31</v>
      </c>
      <c r="C271" t="s">
        <v>36</v>
      </c>
      <c r="D271" s="6">
        <v>0</v>
      </c>
    </row>
    <row r="272" spans="1:4" x14ac:dyDescent="0.35">
      <c r="A272" t="str">
        <f t="shared" si="4"/>
        <v>31Information Ratio</v>
      </c>
      <c r="B272">
        <v>31</v>
      </c>
      <c r="C272" t="s">
        <v>37</v>
      </c>
      <c r="D272" s="6">
        <v>-1.0940000000000001</v>
      </c>
    </row>
    <row r="273" spans="1:4" x14ac:dyDescent="0.35">
      <c r="A273" t="str">
        <f t="shared" si="4"/>
        <v>31Tracking Error</v>
      </c>
      <c r="B273">
        <v>31</v>
      </c>
      <c r="C273" t="s">
        <v>38</v>
      </c>
      <c r="D273" s="6">
        <v>6.5000000000000002E-2</v>
      </c>
    </row>
    <row r="274" spans="1:4" x14ac:dyDescent="0.35">
      <c r="A274" t="str">
        <f t="shared" si="4"/>
        <v>31Treynor Ratio</v>
      </c>
      <c r="B274">
        <v>31</v>
      </c>
      <c r="C274" t="s">
        <v>39</v>
      </c>
      <c r="D274" s="6">
        <v>-0.188</v>
      </c>
    </row>
    <row r="275" spans="1:4" x14ac:dyDescent="0.35">
      <c r="A275" t="str">
        <f t="shared" si="4"/>
        <v>31Total Fees</v>
      </c>
      <c r="B275">
        <v>31</v>
      </c>
      <c r="C275" t="s">
        <v>40</v>
      </c>
      <c r="D275" s="6">
        <v>0</v>
      </c>
    </row>
    <row r="276" spans="1:4" x14ac:dyDescent="0.35">
      <c r="A276" t="str">
        <f t="shared" si="4"/>
        <v>31Estimated Strategy Capacity</v>
      </c>
      <c r="B276">
        <v>31</v>
      </c>
      <c r="C276" t="s">
        <v>41</v>
      </c>
      <c r="D276" s="6">
        <v>1300000000</v>
      </c>
    </row>
    <row r="277" spans="1:4" x14ac:dyDescent="0.35">
      <c r="A277" t="str">
        <f t="shared" si="4"/>
        <v>31AUDUSD 8G</v>
      </c>
      <c r="B277">
        <v>31</v>
      </c>
      <c r="C277" t="s">
        <v>44</v>
      </c>
      <c r="D277" s="6">
        <v>0</v>
      </c>
    </row>
    <row r="278" spans="1:4" x14ac:dyDescent="0.35">
      <c r="A278" t="str">
        <f t="shared" si="4"/>
        <v>32PSR</v>
      </c>
      <c r="B278">
        <v>32</v>
      </c>
      <c r="C278" t="s">
        <v>27</v>
      </c>
      <c r="D278" s="6">
        <v>5.142E-2</v>
      </c>
    </row>
    <row r="279" spans="1:4" x14ac:dyDescent="0.35">
      <c r="A279" t="str">
        <f t="shared" si="4"/>
        <v>32Sharpe Ratio</v>
      </c>
      <c r="B279">
        <v>32</v>
      </c>
      <c r="C279" t="s">
        <v>1</v>
      </c>
      <c r="D279" s="6">
        <v>-0.7</v>
      </c>
    </row>
    <row r="280" spans="1:4" x14ac:dyDescent="0.35">
      <c r="A280" t="str">
        <f t="shared" si="4"/>
        <v>32Total Trades</v>
      </c>
      <c r="B280">
        <v>32</v>
      </c>
      <c r="C280" t="s">
        <v>28</v>
      </c>
      <c r="D280" s="6">
        <v>459</v>
      </c>
    </row>
    <row r="281" spans="1:4" x14ac:dyDescent="0.35">
      <c r="A281" t="str">
        <f t="shared" si="4"/>
        <v>32Average Win</v>
      </c>
      <c r="B281">
        <v>32</v>
      </c>
      <c r="C281" t="s">
        <v>25</v>
      </c>
      <c r="D281" s="6">
        <v>7.3000000000000001E-3</v>
      </c>
    </row>
    <row r="282" spans="1:4" x14ac:dyDescent="0.35">
      <c r="A282" t="str">
        <f t="shared" si="4"/>
        <v>32Average Loss</v>
      </c>
      <c r="B282">
        <v>32</v>
      </c>
      <c r="C282" t="s">
        <v>29</v>
      </c>
      <c r="D282" s="6">
        <v>-1.47E-2</v>
      </c>
    </row>
    <row r="283" spans="1:4" x14ac:dyDescent="0.35">
      <c r="A283" t="str">
        <f t="shared" si="4"/>
        <v>32Compounding Annual Return</v>
      </c>
      <c r="B283">
        <v>32</v>
      </c>
      <c r="C283" t="s">
        <v>30</v>
      </c>
      <c r="D283" s="6">
        <v>-9.9900000000000003E-2</v>
      </c>
    </row>
    <row r="284" spans="1:4" x14ac:dyDescent="0.35">
      <c r="A284" t="str">
        <f t="shared" si="4"/>
        <v>32Drawdown</v>
      </c>
      <c r="B284">
        <v>32</v>
      </c>
      <c r="C284" t="s">
        <v>8</v>
      </c>
      <c r="D284" s="6">
        <v>0.13700000000000001</v>
      </c>
    </row>
    <row r="285" spans="1:4" x14ac:dyDescent="0.35">
      <c r="A285" t="str">
        <f t="shared" si="4"/>
        <v>32Expectancy</v>
      </c>
      <c r="B285">
        <v>32</v>
      </c>
      <c r="C285" t="s">
        <v>31</v>
      </c>
      <c r="D285" s="6">
        <v>-0.3</v>
      </c>
    </row>
    <row r="286" spans="1:4" x14ac:dyDescent="0.35">
      <c r="A286" t="str">
        <f t="shared" si="4"/>
        <v>32Net Profit</v>
      </c>
      <c r="B286">
        <v>32</v>
      </c>
      <c r="C286" t="s">
        <v>32</v>
      </c>
      <c r="D286" s="6">
        <v>-6.5509999999999999E-2</v>
      </c>
    </row>
    <row r="287" spans="1:4" x14ac:dyDescent="0.35">
      <c r="A287" t="str">
        <f t="shared" si="4"/>
        <v>32Loss Rate</v>
      </c>
      <c r="B287">
        <v>32</v>
      </c>
      <c r="C287" t="s">
        <v>33</v>
      </c>
      <c r="D287" s="6">
        <v>0.53</v>
      </c>
    </row>
    <row r="288" spans="1:4" x14ac:dyDescent="0.35">
      <c r="A288" t="str">
        <f t="shared" si="4"/>
        <v>32Win Rate</v>
      </c>
      <c r="B288">
        <v>32</v>
      </c>
      <c r="C288" t="s">
        <v>34</v>
      </c>
      <c r="D288" s="6">
        <v>0.47</v>
      </c>
    </row>
    <row r="289" spans="1:4" x14ac:dyDescent="0.35">
      <c r="A289" t="str">
        <f t="shared" si="4"/>
        <v>32PSR</v>
      </c>
      <c r="B289">
        <v>32</v>
      </c>
      <c r="C289" t="s">
        <v>27</v>
      </c>
      <c r="D289" s="6">
        <v>0.5</v>
      </c>
    </row>
    <row r="290" spans="1:4" x14ac:dyDescent="0.35">
      <c r="A290" t="str">
        <f t="shared" si="4"/>
        <v>32Alpha</v>
      </c>
      <c r="B290">
        <v>32</v>
      </c>
      <c r="C290" t="s">
        <v>23</v>
      </c>
      <c r="D290" s="6">
        <v>-9.0999999999999998E-2</v>
      </c>
    </row>
    <row r="291" spans="1:4" x14ac:dyDescent="0.35">
      <c r="A291" t="str">
        <f t="shared" si="4"/>
        <v>32Beta</v>
      </c>
      <c r="B291">
        <v>32</v>
      </c>
      <c r="C291" t="s">
        <v>24</v>
      </c>
      <c r="D291" s="6">
        <v>0.38</v>
      </c>
    </row>
    <row r="292" spans="1:4" x14ac:dyDescent="0.35">
      <c r="A292" t="str">
        <f t="shared" si="4"/>
        <v>32Annual Standard Deviation</v>
      </c>
      <c r="B292">
        <v>32</v>
      </c>
      <c r="C292" t="s">
        <v>35</v>
      </c>
      <c r="D292" s="6">
        <v>9.5000000000000001E-2</v>
      </c>
    </row>
    <row r="293" spans="1:4" x14ac:dyDescent="0.35">
      <c r="A293" t="str">
        <f t="shared" si="4"/>
        <v>32Annual Variance</v>
      </c>
      <c r="B293">
        <v>32</v>
      </c>
      <c r="C293" t="s">
        <v>36</v>
      </c>
      <c r="D293" s="6">
        <v>8.9999999999999993E-3</v>
      </c>
    </row>
    <row r="294" spans="1:4" x14ac:dyDescent="0.35">
      <c r="A294" t="str">
        <f t="shared" si="4"/>
        <v>32Information Ratio</v>
      </c>
      <c r="B294">
        <v>32</v>
      </c>
      <c r="C294" t="s">
        <v>37</v>
      </c>
      <c r="D294" s="6">
        <v>-1.3009999999999999</v>
      </c>
    </row>
    <row r="295" spans="1:4" x14ac:dyDescent="0.35">
      <c r="A295" t="str">
        <f t="shared" si="4"/>
        <v>32Tracking Error</v>
      </c>
      <c r="B295">
        <v>32</v>
      </c>
      <c r="C295" t="s">
        <v>38</v>
      </c>
      <c r="D295" s="6">
        <v>0.1</v>
      </c>
    </row>
    <row r="296" spans="1:4" x14ac:dyDescent="0.35">
      <c r="A296" t="str">
        <f t="shared" si="4"/>
        <v>32Treynor Ratio</v>
      </c>
      <c r="B296">
        <v>32</v>
      </c>
      <c r="C296" t="s">
        <v>39</v>
      </c>
      <c r="D296" s="6">
        <v>-0.17399999999999999</v>
      </c>
    </row>
    <row r="297" spans="1:4" x14ac:dyDescent="0.35">
      <c r="A297" t="str">
        <f t="shared" si="4"/>
        <v>32Total Fees</v>
      </c>
      <c r="B297">
        <v>32</v>
      </c>
      <c r="C297" t="s">
        <v>40</v>
      </c>
      <c r="D297" s="6">
        <v>0</v>
      </c>
    </row>
    <row r="298" spans="1:4" x14ac:dyDescent="0.35">
      <c r="A298" t="str">
        <f t="shared" si="4"/>
        <v>32Estimated Strategy Capacity</v>
      </c>
      <c r="B298">
        <v>32</v>
      </c>
      <c r="C298" t="s">
        <v>41</v>
      </c>
      <c r="D298" s="6">
        <v>120000000</v>
      </c>
    </row>
    <row r="299" spans="1:4" x14ac:dyDescent="0.35">
      <c r="A299" t="str">
        <f t="shared" si="4"/>
        <v>33PSR</v>
      </c>
      <c r="B299">
        <v>33</v>
      </c>
      <c r="C299" t="s">
        <v>27</v>
      </c>
      <c r="D299" s="6">
        <v>9.3880000000000005E-2</v>
      </c>
    </row>
    <row r="300" spans="1:4" x14ac:dyDescent="0.35">
      <c r="A300" t="str">
        <f t="shared" si="4"/>
        <v>33Sharpe Ratio</v>
      </c>
      <c r="B300">
        <v>33</v>
      </c>
      <c r="C300" t="s">
        <v>1</v>
      </c>
      <c r="D300" s="6">
        <v>-0.36699999999999999</v>
      </c>
    </row>
    <row r="301" spans="1:4" x14ac:dyDescent="0.35">
      <c r="A301" t="str">
        <f t="shared" si="4"/>
        <v>33Total Trades</v>
      </c>
      <c r="B301">
        <v>33</v>
      </c>
      <c r="C301" t="s">
        <v>28</v>
      </c>
      <c r="D301" s="6">
        <v>459</v>
      </c>
    </row>
    <row r="302" spans="1:4" x14ac:dyDescent="0.35">
      <c r="A302" t="str">
        <f t="shared" si="4"/>
        <v>33Average Win</v>
      </c>
      <c r="B302">
        <v>33</v>
      </c>
      <c r="C302" t="s">
        <v>25</v>
      </c>
      <c r="D302" s="6">
        <v>4.1099999999999998E-2</v>
      </c>
    </row>
    <row r="303" spans="1:4" x14ac:dyDescent="0.35">
      <c r="A303" t="str">
        <f t="shared" si="4"/>
        <v>33Average Loss</v>
      </c>
      <c r="B303">
        <v>33</v>
      </c>
      <c r="C303" t="s">
        <v>29</v>
      </c>
      <c r="D303" s="6">
        <v>-7.9299999999999995E-2</v>
      </c>
    </row>
    <row r="304" spans="1:4" x14ac:dyDescent="0.35">
      <c r="A304" t="str">
        <f t="shared" si="4"/>
        <v>33Compounding Annual Return</v>
      </c>
      <c r="B304">
        <v>33</v>
      </c>
      <c r="C304" t="s">
        <v>30</v>
      </c>
      <c r="D304" s="6">
        <v>-0.46013999999999999</v>
      </c>
    </row>
    <row r="305" spans="1:4" x14ac:dyDescent="0.35">
      <c r="A305" t="str">
        <f t="shared" si="4"/>
        <v>33Drawdown</v>
      </c>
      <c r="B305">
        <v>33</v>
      </c>
      <c r="C305" t="s">
        <v>8</v>
      </c>
      <c r="D305" s="6">
        <v>0.59299999999999997</v>
      </c>
    </row>
    <row r="306" spans="1:4" x14ac:dyDescent="0.35">
      <c r="A306" t="str">
        <f t="shared" si="4"/>
        <v>33Expectancy</v>
      </c>
      <c r="B306">
        <v>33</v>
      </c>
      <c r="C306" t="s">
        <v>31</v>
      </c>
      <c r="D306" s="6">
        <v>-0.29099999999999998</v>
      </c>
    </row>
    <row r="307" spans="1:4" x14ac:dyDescent="0.35">
      <c r="A307" t="str">
        <f t="shared" si="4"/>
        <v>33Net Profit</v>
      </c>
      <c r="B307">
        <v>33</v>
      </c>
      <c r="C307" t="s">
        <v>32</v>
      </c>
      <c r="D307" s="6">
        <v>-0.32754</v>
      </c>
    </row>
    <row r="308" spans="1:4" x14ac:dyDescent="0.35">
      <c r="A308" t="str">
        <f t="shared" si="4"/>
        <v>33Loss Rate</v>
      </c>
      <c r="B308">
        <v>33</v>
      </c>
      <c r="C308" t="s">
        <v>33</v>
      </c>
      <c r="D308" s="6">
        <v>0.53</v>
      </c>
    </row>
    <row r="309" spans="1:4" x14ac:dyDescent="0.35">
      <c r="A309" t="str">
        <f t="shared" si="4"/>
        <v>33Win Rate</v>
      </c>
      <c r="B309">
        <v>33</v>
      </c>
      <c r="C309" t="s">
        <v>34</v>
      </c>
      <c r="D309" s="6">
        <v>0.47</v>
      </c>
    </row>
    <row r="310" spans="1:4" x14ac:dyDescent="0.35">
      <c r="A310" t="str">
        <f t="shared" si="4"/>
        <v>33Profit-Loss Ratio</v>
      </c>
      <c r="B310">
        <v>33</v>
      </c>
      <c r="C310" t="s">
        <v>26</v>
      </c>
      <c r="D310" s="6">
        <v>0.52</v>
      </c>
    </row>
    <row r="311" spans="1:4" x14ac:dyDescent="0.35">
      <c r="A311" t="str">
        <f t="shared" si="4"/>
        <v>33Alpha</v>
      </c>
      <c r="B311">
        <v>33</v>
      </c>
      <c r="C311" t="s">
        <v>23</v>
      </c>
      <c r="D311" s="6">
        <v>-0.36</v>
      </c>
    </row>
    <row r="312" spans="1:4" x14ac:dyDescent="0.35">
      <c r="A312" t="str">
        <f t="shared" si="4"/>
        <v>33Beta</v>
      </c>
      <c r="B312">
        <v>33</v>
      </c>
      <c r="C312" t="s">
        <v>24</v>
      </c>
      <c r="D312" s="6">
        <v>2.1549999999999998</v>
      </c>
    </row>
    <row r="313" spans="1:4" x14ac:dyDescent="0.35">
      <c r="A313" t="str">
        <f t="shared" si="4"/>
        <v>33Annual Standard Deviation</v>
      </c>
      <c r="B313">
        <v>33</v>
      </c>
      <c r="C313" t="s">
        <v>35</v>
      </c>
      <c r="D313" s="6">
        <v>0.60599999999999998</v>
      </c>
    </row>
    <row r="314" spans="1:4" x14ac:dyDescent="0.35">
      <c r="A314" t="str">
        <f t="shared" si="4"/>
        <v>33Annual Variance</v>
      </c>
      <c r="B314">
        <v>33</v>
      </c>
      <c r="C314" t="s">
        <v>36</v>
      </c>
      <c r="D314" s="6">
        <v>0.36699999999999999</v>
      </c>
    </row>
    <row r="315" spans="1:4" x14ac:dyDescent="0.35">
      <c r="A315" t="str">
        <f t="shared" si="4"/>
        <v>33Information Ratio</v>
      </c>
      <c r="B315">
        <v>33</v>
      </c>
      <c r="C315" t="s">
        <v>37</v>
      </c>
      <c r="D315" s="6">
        <v>-0.48199999999999998</v>
      </c>
    </row>
    <row r="316" spans="1:4" x14ac:dyDescent="0.35">
      <c r="A316" t="str">
        <f t="shared" si="4"/>
        <v>33Tracking Error</v>
      </c>
      <c r="B316">
        <v>33</v>
      </c>
      <c r="C316" t="s">
        <v>38</v>
      </c>
      <c r="D316" s="6">
        <v>0.59299999999999997</v>
      </c>
    </row>
    <row r="317" spans="1:4" x14ac:dyDescent="0.35">
      <c r="A317" t="str">
        <f t="shared" si="4"/>
        <v>33Treynor Ratio</v>
      </c>
      <c r="B317">
        <v>33</v>
      </c>
      <c r="C317" t="s">
        <v>39</v>
      </c>
      <c r="D317" s="6">
        <v>-0.10299999999999999</v>
      </c>
    </row>
    <row r="318" spans="1:4" x14ac:dyDescent="0.35">
      <c r="A318" t="str">
        <f t="shared" si="4"/>
        <v>33Total Fees</v>
      </c>
      <c r="B318">
        <v>33</v>
      </c>
      <c r="C318" t="s">
        <v>40</v>
      </c>
      <c r="D318" s="6">
        <v>0</v>
      </c>
    </row>
    <row r="319" spans="1:4" x14ac:dyDescent="0.35">
      <c r="A319" t="str">
        <f t="shared" si="4"/>
        <v>33Estimated Strategy Capacity</v>
      </c>
      <c r="B319">
        <v>33</v>
      </c>
      <c r="C319" t="s">
        <v>41</v>
      </c>
      <c r="D319" s="6">
        <v>19000000</v>
      </c>
    </row>
    <row r="320" spans="1:4" x14ac:dyDescent="0.35">
      <c r="A320" t="str">
        <f t="shared" si="4"/>
        <v>35PSR</v>
      </c>
      <c r="B320">
        <v>35</v>
      </c>
      <c r="C320" s="9" t="s">
        <v>27</v>
      </c>
      <c r="D320" s="8">
        <v>0.23299</v>
      </c>
    </row>
    <row r="321" spans="1:4" x14ac:dyDescent="0.35">
      <c r="A321" t="str">
        <f t="shared" si="4"/>
        <v>35Sharpe Ratio</v>
      </c>
      <c r="B321">
        <v>35</v>
      </c>
      <c r="C321" s="9" t="s">
        <v>1</v>
      </c>
      <c r="D321" s="8">
        <v>0.28000000000000003</v>
      </c>
    </row>
    <row r="322" spans="1:4" x14ac:dyDescent="0.35">
      <c r="A322" t="str">
        <f t="shared" si="4"/>
        <v>35Total Trades</v>
      </c>
      <c r="B322">
        <v>35</v>
      </c>
      <c r="C322" s="9" t="s">
        <v>28</v>
      </c>
      <c r="D322" s="8">
        <v>317</v>
      </c>
    </row>
    <row r="323" spans="1:4" x14ac:dyDescent="0.35">
      <c r="A323" t="str">
        <f t="shared" ref="A323:A386" si="5">B323&amp;C323</f>
        <v>35Average Win</v>
      </c>
      <c r="B323">
        <v>35</v>
      </c>
      <c r="C323" s="9" t="s">
        <v>25</v>
      </c>
      <c r="D323" s="8">
        <v>1.6500000000000001E-2</v>
      </c>
    </row>
    <row r="324" spans="1:4" x14ac:dyDescent="0.35">
      <c r="A324" t="str">
        <f t="shared" si="5"/>
        <v>35Average Loss</v>
      </c>
      <c r="B324">
        <v>35</v>
      </c>
      <c r="C324" s="9" t="s">
        <v>29</v>
      </c>
      <c r="D324" s="8">
        <v>-7.3000000000000001E-3</v>
      </c>
    </row>
    <row r="325" spans="1:4" x14ac:dyDescent="0.35">
      <c r="A325" t="str">
        <f t="shared" si="5"/>
        <v>35Compounding Annual Return</v>
      </c>
      <c r="B325">
        <v>35</v>
      </c>
      <c r="C325" s="9" t="s">
        <v>30</v>
      </c>
      <c r="D325" s="8">
        <v>3.1510000000000003E-2</v>
      </c>
    </row>
    <row r="326" spans="1:4" x14ac:dyDescent="0.35">
      <c r="A326" t="str">
        <f t="shared" si="5"/>
        <v>35Drawdown</v>
      </c>
      <c r="B326">
        <v>35</v>
      </c>
      <c r="C326" s="9" t="s">
        <v>8</v>
      </c>
      <c r="D326" s="8">
        <v>4.8000000000000001E-2</v>
      </c>
    </row>
    <row r="327" spans="1:4" x14ac:dyDescent="0.35">
      <c r="A327" t="str">
        <f t="shared" si="5"/>
        <v>35Expectancy</v>
      </c>
      <c r="B327">
        <v>35</v>
      </c>
      <c r="C327" s="9" t="s">
        <v>31</v>
      </c>
      <c r="D327" s="8">
        <v>0.30099999999999999</v>
      </c>
    </row>
    <row r="328" spans="1:4" x14ac:dyDescent="0.35">
      <c r="A328" t="str">
        <f t="shared" si="5"/>
        <v>35Net Profit</v>
      </c>
      <c r="B328">
        <v>35</v>
      </c>
      <c r="C328" s="9" t="s">
        <v>32</v>
      </c>
      <c r="D328" s="8">
        <v>2.026E-2</v>
      </c>
    </row>
    <row r="329" spans="1:4" x14ac:dyDescent="0.35">
      <c r="A329" t="str">
        <f t="shared" si="5"/>
        <v>35Loss Rate</v>
      </c>
      <c r="B329">
        <v>35</v>
      </c>
      <c r="C329" s="9" t="s">
        <v>33</v>
      </c>
      <c r="D329" s="8">
        <v>0.6</v>
      </c>
    </row>
    <row r="330" spans="1:4" x14ac:dyDescent="0.35">
      <c r="A330" t="str">
        <f t="shared" si="5"/>
        <v>35Win Rate</v>
      </c>
      <c r="B330">
        <v>35</v>
      </c>
      <c r="C330" s="9" t="s">
        <v>34</v>
      </c>
      <c r="D330" s="8">
        <v>0.4</v>
      </c>
    </row>
    <row r="331" spans="1:4" x14ac:dyDescent="0.35">
      <c r="A331" t="str">
        <f t="shared" si="5"/>
        <v>35Profit-Loss Ratio</v>
      </c>
      <c r="B331">
        <v>35</v>
      </c>
      <c r="C331" s="9" t="s">
        <v>26</v>
      </c>
      <c r="D331" s="8">
        <v>2.25</v>
      </c>
    </row>
    <row r="332" spans="1:4" x14ac:dyDescent="0.35">
      <c r="A332" t="str">
        <f t="shared" si="5"/>
        <v>35Alpha</v>
      </c>
      <c r="B332">
        <v>35</v>
      </c>
      <c r="C332" s="9" t="s">
        <v>23</v>
      </c>
      <c r="D332" s="8">
        <v>-1E-3</v>
      </c>
    </row>
    <row r="333" spans="1:4" x14ac:dyDescent="0.35">
      <c r="A333" t="str">
        <f t="shared" si="5"/>
        <v>35Beta</v>
      </c>
      <c r="B333">
        <v>35</v>
      </c>
      <c r="C333" s="9" t="s">
        <v>24</v>
      </c>
      <c r="D333" s="8">
        <v>0.42299999999999999</v>
      </c>
    </row>
    <row r="334" spans="1:4" x14ac:dyDescent="0.35">
      <c r="A334" t="str">
        <f t="shared" si="5"/>
        <v>35Annual Standard Deviation</v>
      </c>
      <c r="B334">
        <v>35</v>
      </c>
      <c r="C334" s="9" t="s">
        <v>35</v>
      </c>
      <c r="D334" s="8">
        <v>9.2999999999999999E-2</v>
      </c>
    </row>
    <row r="335" spans="1:4" x14ac:dyDescent="0.35">
      <c r="A335" t="str">
        <f t="shared" si="5"/>
        <v>35Annual Variance</v>
      </c>
      <c r="B335">
        <v>35</v>
      </c>
      <c r="C335" s="9" t="s">
        <v>36</v>
      </c>
      <c r="D335" s="8">
        <v>8.9999999999999993E-3</v>
      </c>
    </row>
    <row r="336" spans="1:4" x14ac:dyDescent="0.35">
      <c r="A336" t="str">
        <f t="shared" si="5"/>
        <v>35Information Ratio</v>
      </c>
      <c r="B336">
        <v>35</v>
      </c>
      <c r="C336" s="9" t="s">
        <v>37</v>
      </c>
      <c r="D336" s="8">
        <v>-0.38800000000000001</v>
      </c>
    </row>
    <row r="337" spans="1:4" x14ac:dyDescent="0.35">
      <c r="A337" t="str">
        <f t="shared" si="5"/>
        <v>35Tracking Error</v>
      </c>
      <c r="B337">
        <v>35</v>
      </c>
      <c r="C337" s="9" t="s">
        <v>38</v>
      </c>
      <c r="D337" s="8">
        <v>9.7000000000000003E-2</v>
      </c>
    </row>
    <row r="338" spans="1:4" x14ac:dyDescent="0.35">
      <c r="A338" t="str">
        <f t="shared" si="5"/>
        <v>35Treynor Ratio</v>
      </c>
      <c r="B338">
        <v>35</v>
      </c>
      <c r="C338" s="9" t="s">
        <v>39</v>
      </c>
      <c r="D338" s="8">
        <v>6.2E-2</v>
      </c>
    </row>
    <row r="339" spans="1:4" x14ac:dyDescent="0.35">
      <c r="A339" t="str">
        <f t="shared" si="5"/>
        <v>35Total Fees</v>
      </c>
      <c r="B339">
        <v>35</v>
      </c>
      <c r="C339" s="9" t="s">
        <v>40</v>
      </c>
      <c r="D339" s="8">
        <v>0</v>
      </c>
    </row>
    <row r="340" spans="1:4" x14ac:dyDescent="0.35">
      <c r="A340" t="str">
        <f t="shared" si="5"/>
        <v>35Estimated Strategy Capacity</v>
      </c>
      <c r="B340">
        <v>35</v>
      </c>
      <c r="C340" s="9" t="s">
        <v>41</v>
      </c>
      <c r="D340" s="8">
        <v>25000000</v>
      </c>
    </row>
    <row r="341" spans="1:4" x14ac:dyDescent="0.35">
      <c r="A341" t="str">
        <f t="shared" si="5"/>
        <v>36PSR</v>
      </c>
      <c r="B341">
        <v>36</v>
      </c>
      <c r="C341" s="9" t="s">
        <v>27</v>
      </c>
      <c r="D341" s="8">
        <v>0.27490999999999999</v>
      </c>
    </row>
    <row r="342" spans="1:4" x14ac:dyDescent="0.35">
      <c r="A342" t="str">
        <f t="shared" si="5"/>
        <v>36Sharpe Ratio</v>
      </c>
      <c r="B342">
        <v>36</v>
      </c>
      <c r="C342" s="9" t="s">
        <v>1</v>
      </c>
      <c r="D342" s="8">
        <v>0.47799999999999998</v>
      </c>
    </row>
    <row r="343" spans="1:4" x14ac:dyDescent="0.35">
      <c r="A343" t="str">
        <f t="shared" si="5"/>
        <v>36Total Trades</v>
      </c>
      <c r="B343">
        <v>36</v>
      </c>
      <c r="C343" s="9" t="s">
        <v>28</v>
      </c>
      <c r="D343" s="8">
        <v>317</v>
      </c>
    </row>
    <row r="344" spans="1:4" x14ac:dyDescent="0.35">
      <c r="A344" t="str">
        <f t="shared" si="5"/>
        <v>36Average Win</v>
      </c>
      <c r="B344">
        <v>36</v>
      </c>
      <c r="C344" s="9" t="s">
        <v>25</v>
      </c>
      <c r="D344" s="8">
        <v>8.09E-2</v>
      </c>
    </row>
    <row r="345" spans="1:4" x14ac:dyDescent="0.35">
      <c r="A345" t="str">
        <f t="shared" si="5"/>
        <v>36Average Loss</v>
      </c>
      <c r="B345">
        <v>36</v>
      </c>
      <c r="C345" s="9" t="s">
        <v>29</v>
      </c>
      <c r="D345" s="8">
        <v>-3.3799999999999997E-2</v>
      </c>
    </row>
    <row r="346" spans="1:4" x14ac:dyDescent="0.35">
      <c r="A346" t="str">
        <f t="shared" si="5"/>
        <v>36Compounding Annual Return</v>
      </c>
      <c r="B346">
        <v>36</v>
      </c>
      <c r="C346" s="9" t="s">
        <v>30</v>
      </c>
      <c r="D346" s="8">
        <v>0.16094</v>
      </c>
    </row>
    <row r="347" spans="1:4" x14ac:dyDescent="0.35">
      <c r="A347" t="str">
        <f t="shared" si="5"/>
        <v>36Drawdown</v>
      </c>
      <c r="B347">
        <v>36</v>
      </c>
      <c r="C347" s="9" t="s">
        <v>8</v>
      </c>
      <c r="D347" s="8">
        <v>0.20799999999999999</v>
      </c>
    </row>
    <row r="348" spans="1:4" x14ac:dyDescent="0.35">
      <c r="A348" t="str">
        <f t="shared" si="5"/>
        <v>36Expectancy</v>
      </c>
      <c r="B348">
        <v>36</v>
      </c>
      <c r="C348" s="9" t="s">
        <v>31</v>
      </c>
      <c r="D348" s="8">
        <v>0.35799999999999998</v>
      </c>
    </row>
    <row r="349" spans="1:4" x14ac:dyDescent="0.35">
      <c r="A349" t="str">
        <f t="shared" si="5"/>
        <v>36Net Profit</v>
      </c>
      <c r="B349">
        <v>36</v>
      </c>
      <c r="C349" s="9" t="s">
        <v>32</v>
      </c>
      <c r="D349" s="8">
        <v>0.10128</v>
      </c>
    </row>
    <row r="350" spans="1:4" x14ac:dyDescent="0.35">
      <c r="A350" t="str">
        <f t="shared" si="5"/>
        <v>36Loss Rate</v>
      </c>
      <c r="B350">
        <v>36</v>
      </c>
      <c r="C350" s="9" t="s">
        <v>33</v>
      </c>
      <c r="D350" s="8">
        <v>0.6</v>
      </c>
    </row>
    <row r="351" spans="1:4" x14ac:dyDescent="0.35">
      <c r="A351" t="str">
        <f t="shared" si="5"/>
        <v>36Win Rate</v>
      </c>
      <c r="B351">
        <v>36</v>
      </c>
      <c r="C351" s="9" t="s">
        <v>34</v>
      </c>
      <c r="D351" s="8">
        <v>0.4</v>
      </c>
    </row>
    <row r="352" spans="1:4" x14ac:dyDescent="0.35">
      <c r="A352" t="str">
        <f t="shared" si="5"/>
        <v>36Profit-Loss Ratio</v>
      </c>
      <c r="B352">
        <v>36</v>
      </c>
      <c r="C352" s="9" t="s">
        <v>26</v>
      </c>
      <c r="D352" s="8">
        <v>2.4</v>
      </c>
    </row>
    <row r="353" spans="1:4" x14ac:dyDescent="0.35">
      <c r="A353" t="str">
        <f t="shared" si="5"/>
        <v>36Alpha</v>
      </c>
      <c r="B353">
        <v>36</v>
      </c>
      <c r="C353" s="9" t="s">
        <v>23</v>
      </c>
      <c r="D353" s="8">
        <v>8.8999999999999996E-2</v>
      </c>
    </row>
    <row r="354" spans="1:4" x14ac:dyDescent="0.35">
      <c r="A354" t="str">
        <f t="shared" si="5"/>
        <v>36Beta</v>
      </c>
      <c r="B354">
        <v>36</v>
      </c>
      <c r="C354" s="9" t="s">
        <v>24</v>
      </c>
      <c r="D354" s="8">
        <v>2.2570000000000001</v>
      </c>
    </row>
    <row r="355" spans="1:4" x14ac:dyDescent="0.35">
      <c r="A355" t="str">
        <f t="shared" si="5"/>
        <v>36Annual Standard Deviation</v>
      </c>
      <c r="B355">
        <v>36</v>
      </c>
      <c r="C355" s="9" t="s">
        <v>35</v>
      </c>
      <c r="D355" s="8">
        <v>0.48699999999999999</v>
      </c>
    </row>
    <row r="356" spans="1:4" x14ac:dyDescent="0.35">
      <c r="A356" t="str">
        <f t="shared" si="5"/>
        <v>36Annual Variance</v>
      </c>
      <c r="B356">
        <v>36</v>
      </c>
      <c r="C356" s="9" t="s">
        <v>36</v>
      </c>
      <c r="D356" s="8">
        <v>0.23799999999999999</v>
      </c>
    </row>
    <row r="357" spans="1:4" x14ac:dyDescent="0.35">
      <c r="A357" t="str">
        <f t="shared" si="5"/>
        <v>36Information Ratio</v>
      </c>
      <c r="B357">
        <v>36</v>
      </c>
      <c r="C357" s="9" t="s">
        <v>37</v>
      </c>
      <c r="D357" s="8">
        <v>0.36</v>
      </c>
    </row>
    <row r="358" spans="1:4" x14ac:dyDescent="0.35">
      <c r="A358" t="str">
        <f t="shared" si="5"/>
        <v>36Tracking Error</v>
      </c>
      <c r="B358">
        <v>36</v>
      </c>
      <c r="C358" s="9" t="s">
        <v>38</v>
      </c>
      <c r="D358" s="8">
        <v>0.47099999999999997</v>
      </c>
    </row>
    <row r="359" spans="1:4" x14ac:dyDescent="0.35">
      <c r="A359" t="str">
        <f t="shared" si="5"/>
        <v>36Treynor Ratio</v>
      </c>
      <c r="B359">
        <v>36</v>
      </c>
      <c r="C359" s="9" t="s">
        <v>39</v>
      </c>
      <c r="D359" s="8">
        <v>0.10299999999999999</v>
      </c>
    </row>
    <row r="360" spans="1:4" x14ac:dyDescent="0.35">
      <c r="A360" t="str">
        <f t="shared" si="5"/>
        <v>36Total Fees</v>
      </c>
      <c r="B360">
        <v>36</v>
      </c>
      <c r="C360" s="9" t="s">
        <v>40</v>
      </c>
      <c r="D360" s="8">
        <v>0</v>
      </c>
    </row>
    <row r="361" spans="1:4" x14ac:dyDescent="0.35">
      <c r="A361" t="str">
        <f t="shared" si="5"/>
        <v>36Estimated Strategy Capacity</v>
      </c>
      <c r="B361">
        <v>36</v>
      </c>
      <c r="C361" s="9" t="s">
        <v>41</v>
      </c>
      <c r="D361" s="8">
        <v>6600000</v>
      </c>
    </row>
    <row r="362" spans="1:4" x14ac:dyDescent="0.35">
      <c r="A362" t="str">
        <f t="shared" si="5"/>
        <v>55PSR</v>
      </c>
      <c r="B362">
        <v>55</v>
      </c>
      <c r="C362" s="9" t="s">
        <v>27</v>
      </c>
      <c r="D362" s="8">
        <v>0.60584000000000005</v>
      </c>
    </row>
    <row r="363" spans="1:4" x14ac:dyDescent="0.35">
      <c r="A363" t="str">
        <f t="shared" si="5"/>
        <v>55Sharpe Ratio</v>
      </c>
      <c r="B363">
        <v>55</v>
      </c>
      <c r="C363" s="9" t="s">
        <v>1</v>
      </c>
      <c r="D363" s="8">
        <v>1.9770000000000001</v>
      </c>
    </row>
    <row r="364" spans="1:4" x14ac:dyDescent="0.35">
      <c r="A364" t="str">
        <f t="shared" si="5"/>
        <v>55Total Trades</v>
      </c>
      <c r="B364">
        <v>55</v>
      </c>
      <c r="C364" s="9" t="s">
        <v>28</v>
      </c>
      <c r="D364" s="8">
        <v>896</v>
      </c>
    </row>
    <row r="365" spans="1:4" x14ac:dyDescent="0.35">
      <c r="A365" t="str">
        <f t="shared" si="5"/>
        <v>55Average Win</v>
      </c>
      <c r="B365">
        <v>55</v>
      </c>
      <c r="C365" s="9" t="s">
        <v>25</v>
      </c>
      <c r="D365" s="8">
        <v>0.1022</v>
      </c>
    </row>
    <row r="366" spans="1:4" x14ac:dyDescent="0.35">
      <c r="A366" t="str">
        <f t="shared" si="5"/>
        <v>55Average Loss</v>
      </c>
      <c r="B366">
        <v>55</v>
      </c>
      <c r="C366" s="9" t="s">
        <v>29</v>
      </c>
      <c r="D366" s="8">
        <v>-5.6300000000000003E-2</v>
      </c>
    </row>
    <row r="367" spans="1:4" x14ac:dyDescent="0.35">
      <c r="A367" t="str">
        <f t="shared" si="5"/>
        <v>55Compounding Annual Return</v>
      </c>
      <c r="B367">
        <v>55</v>
      </c>
      <c r="C367" s="9" t="s">
        <v>30</v>
      </c>
      <c r="D367" s="8">
        <v>1.4669099999999999</v>
      </c>
    </row>
    <row r="368" spans="1:4" x14ac:dyDescent="0.35">
      <c r="A368" t="str">
        <f t="shared" si="5"/>
        <v>55Drawdown</v>
      </c>
      <c r="B368">
        <v>55</v>
      </c>
      <c r="C368" s="9" t="s">
        <v>8</v>
      </c>
      <c r="D368" s="8">
        <v>0.34899999999999998</v>
      </c>
    </row>
    <row r="369" spans="1:4" x14ac:dyDescent="0.35">
      <c r="A369" t="str">
        <f t="shared" si="5"/>
        <v>55Expectancy</v>
      </c>
      <c r="B369">
        <v>55</v>
      </c>
      <c r="C369" s="9" t="s">
        <v>31</v>
      </c>
      <c r="D369" s="8">
        <v>0.45700000000000002</v>
      </c>
    </row>
    <row r="370" spans="1:4" x14ac:dyDescent="0.35">
      <c r="A370" t="str">
        <f t="shared" si="5"/>
        <v>55Net Profit</v>
      </c>
      <c r="B370">
        <v>55</v>
      </c>
      <c r="C370" s="9" t="s">
        <v>32</v>
      </c>
      <c r="D370" s="8">
        <v>0.79271999999999998</v>
      </c>
    </row>
    <row r="371" spans="1:4" x14ac:dyDescent="0.35">
      <c r="A371" t="str">
        <f t="shared" si="5"/>
        <v>55Loss Rate</v>
      </c>
      <c r="B371">
        <v>55</v>
      </c>
      <c r="C371" s="9" t="s">
        <v>33</v>
      </c>
      <c r="D371" s="8">
        <v>0.48</v>
      </c>
    </row>
    <row r="372" spans="1:4" x14ac:dyDescent="0.35">
      <c r="A372" t="str">
        <f t="shared" si="5"/>
        <v>55Win Rate</v>
      </c>
      <c r="B372">
        <v>55</v>
      </c>
      <c r="C372" s="9" t="s">
        <v>34</v>
      </c>
      <c r="D372" s="8">
        <v>0.52</v>
      </c>
    </row>
    <row r="373" spans="1:4" x14ac:dyDescent="0.35">
      <c r="A373" t="str">
        <f t="shared" si="5"/>
        <v>55Profit-Loss Ratio</v>
      </c>
      <c r="B373">
        <v>55</v>
      </c>
      <c r="C373" s="9" t="s">
        <v>26</v>
      </c>
      <c r="D373" s="8">
        <v>1.82</v>
      </c>
    </row>
    <row r="374" spans="1:4" x14ac:dyDescent="0.35">
      <c r="A374" t="str">
        <f t="shared" si="5"/>
        <v>55Alpha</v>
      </c>
      <c r="B374">
        <v>55</v>
      </c>
      <c r="C374" s="9" t="s">
        <v>23</v>
      </c>
      <c r="D374" s="8">
        <v>1.3029999999999999</v>
      </c>
    </row>
    <row r="375" spans="1:4" x14ac:dyDescent="0.35">
      <c r="A375" t="str">
        <f t="shared" si="5"/>
        <v>55Beta</v>
      </c>
      <c r="B375">
        <v>55</v>
      </c>
      <c r="C375" s="9" t="s">
        <v>24</v>
      </c>
      <c r="D375" s="8">
        <v>0.13</v>
      </c>
    </row>
    <row r="376" spans="1:4" x14ac:dyDescent="0.35">
      <c r="A376" t="str">
        <f t="shared" si="5"/>
        <v>55Annual Standard Deviation</v>
      </c>
      <c r="B376">
        <v>55</v>
      </c>
      <c r="C376" s="9" t="s">
        <v>35</v>
      </c>
      <c r="D376" s="8">
        <v>0.66300000000000003</v>
      </c>
    </row>
    <row r="377" spans="1:4" x14ac:dyDescent="0.35">
      <c r="A377" t="str">
        <f t="shared" si="5"/>
        <v>55Annual Variance</v>
      </c>
      <c r="B377">
        <v>55</v>
      </c>
      <c r="C377" s="9" t="s">
        <v>36</v>
      </c>
      <c r="D377" s="8">
        <v>0.44</v>
      </c>
    </row>
    <row r="378" spans="1:4" x14ac:dyDescent="0.35">
      <c r="A378" t="str">
        <f t="shared" si="5"/>
        <v>55Information Ratio</v>
      </c>
      <c r="B378">
        <v>55</v>
      </c>
      <c r="C378" s="9" t="s">
        <v>37</v>
      </c>
      <c r="D378" s="8">
        <v>1.8740000000000001</v>
      </c>
    </row>
    <row r="379" spans="1:4" x14ac:dyDescent="0.35">
      <c r="A379" t="str">
        <f t="shared" si="5"/>
        <v>55Tracking Error</v>
      </c>
      <c r="B379">
        <v>55</v>
      </c>
      <c r="C379" s="9" t="s">
        <v>38</v>
      </c>
      <c r="D379" s="8">
        <v>0.66600000000000004</v>
      </c>
    </row>
    <row r="380" spans="1:4" x14ac:dyDescent="0.35">
      <c r="A380" t="str">
        <f t="shared" si="5"/>
        <v>55Treynor Ratio</v>
      </c>
      <c r="B380">
        <v>55</v>
      </c>
      <c r="C380" s="9" t="s">
        <v>39</v>
      </c>
      <c r="D380" s="8">
        <v>10.096</v>
      </c>
    </row>
    <row r="381" spans="1:4" x14ac:dyDescent="0.35">
      <c r="A381" t="str">
        <f t="shared" si="5"/>
        <v>55Total Fees</v>
      </c>
      <c r="B381">
        <v>55</v>
      </c>
      <c r="C381" s="9" t="s">
        <v>40</v>
      </c>
      <c r="D381" s="8">
        <v>0</v>
      </c>
    </row>
    <row r="382" spans="1:4" x14ac:dyDescent="0.35">
      <c r="A382" t="str">
        <f t="shared" si="5"/>
        <v>55Estimated Strategy Capacity</v>
      </c>
      <c r="B382">
        <v>55</v>
      </c>
      <c r="C382" s="9" t="s">
        <v>41</v>
      </c>
      <c r="D382" s="8">
        <v>4500000</v>
      </c>
    </row>
    <row r="383" spans="1:4" x14ac:dyDescent="0.35">
      <c r="A383" t="str">
        <f t="shared" si="5"/>
        <v>56PSR</v>
      </c>
      <c r="B383">
        <v>56</v>
      </c>
      <c r="C383" s="9" t="s">
        <v>27</v>
      </c>
      <c r="D383" s="8">
        <v>0.53564000000000001</v>
      </c>
    </row>
    <row r="384" spans="1:4" x14ac:dyDescent="0.35">
      <c r="A384" t="str">
        <f t="shared" si="5"/>
        <v>56Sharpe Ratio</v>
      </c>
      <c r="B384">
        <v>56</v>
      </c>
      <c r="C384" s="9" t="s">
        <v>1</v>
      </c>
      <c r="D384" s="8">
        <v>1.1859999999999999</v>
      </c>
    </row>
    <row r="385" spans="1:4" x14ac:dyDescent="0.35">
      <c r="A385" t="str">
        <f t="shared" si="5"/>
        <v>56Total Trades</v>
      </c>
      <c r="B385">
        <v>56</v>
      </c>
      <c r="C385" s="9" t="s">
        <v>28</v>
      </c>
      <c r="D385" s="8">
        <v>896</v>
      </c>
    </row>
    <row r="386" spans="1:4" x14ac:dyDescent="0.35">
      <c r="A386" t="str">
        <f t="shared" si="5"/>
        <v>56Average Win</v>
      </c>
      <c r="B386">
        <v>56</v>
      </c>
      <c r="C386" s="9" t="s">
        <v>25</v>
      </c>
      <c r="D386" s="8">
        <v>2.46E-2</v>
      </c>
    </row>
    <row r="387" spans="1:4" x14ac:dyDescent="0.35">
      <c r="A387" t="str">
        <f t="shared" ref="A387:A450" si="6">B387&amp;C387</f>
        <v>56Average Loss</v>
      </c>
      <c r="B387">
        <v>56</v>
      </c>
      <c r="C387" s="9" t="s">
        <v>29</v>
      </c>
      <c r="D387" s="8">
        <v>-1.4999999999999999E-2</v>
      </c>
    </row>
    <row r="388" spans="1:4" x14ac:dyDescent="0.35">
      <c r="A388" t="str">
        <f t="shared" si="6"/>
        <v>56Compounding Annual Return</v>
      </c>
      <c r="B388">
        <v>56</v>
      </c>
      <c r="C388" s="9" t="s">
        <v>30</v>
      </c>
      <c r="D388" s="8">
        <v>0.25563999999999998</v>
      </c>
    </row>
    <row r="389" spans="1:4" x14ac:dyDescent="0.35">
      <c r="A389" t="str">
        <f t="shared" si="6"/>
        <v>56Drawdown</v>
      </c>
      <c r="B389">
        <v>56</v>
      </c>
      <c r="C389" s="9" t="s">
        <v>8</v>
      </c>
      <c r="D389" s="8">
        <v>7.1999999999999995E-2</v>
      </c>
    </row>
    <row r="390" spans="1:4" x14ac:dyDescent="0.35">
      <c r="A390" t="str">
        <f t="shared" si="6"/>
        <v>56Expectancy</v>
      </c>
      <c r="B390">
        <v>56</v>
      </c>
      <c r="C390" s="9" t="s">
        <v>31</v>
      </c>
      <c r="D390" s="8">
        <v>0.36599999999999999</v>
      </c>
    </row>
    <row r="391" spans="1:4" x14ac:dyDescent="0.35">
      <c r="A391" t="str">
        <f t="shared" si="6"/>
        <v>56Net Profit</v>
      </c>
      <c r="B391">
        <v>56</v>
      </c>
      <c r="C391" s="9" t="s">
        <v>32</v>
      </c>
      <c r="D391" s="8">
        <v>0.15853999999999999</v>
      </c>
    </row>
    <row r="392" spans="1:4" x14ac:dyDescent="0.35">
      <c r="A392" t="str">
        <f t="shared" si="6"/>
        <v>56Loss Rate</v>
      </c>
      <c r="B392">
        <v>56</v>
      </c>
      <c r="C392" s="9" t="s">
        <v>33</v>
      </c>
      <c r="D392" s="8">
        <v>0.48</v>
      </c>
    </row>
    <row r="393" spans="1:4" x14ac:dyDescent="0.35">
      <c r="A393" t="str">
        <f t="shared" si="6"/>
        <v>56Win Rate</v>
      </c>
      <c r="B393">
        <v>56</v>
      </c>
      <c r="C393" s="9" t="s">
        <v>34</v>
      </c>
      <c r="D393" s="8">
        <v>0.52</v>
      </c>
    </row>
    <row r="394" spans="1:4" x14ac:dyDescent="0.35">
      <c r="A394" t="str">
        <f t="shared" si="6"/>
        <v>56Profit-Loss Ratio</v>
      </c>
      <c r="B394">
        <v>56</v>
      </c>
      <c r="C394" s="10" t="s">
        <v>26</v>
      </c>
      <c r="D394" s="8">
        <v>1.64</v>
      </c>
    </row>
    <row r="395" spans="1:4" x14ac:dyDescent="0.35">
      <c r="A395" t="str">
        <f t="shared" si="6"/>
        <v>56Alpha</v>
      </c>
      <c r="B395">
        <v>56</v>
      </c>
      <c r="C395" s="10" t="s">
        <v>23</v>
      </c>
      <c r="D395" s="8">
        <v>0.183</v>
      </c>
    </row>
    <row r="396" spans="1:4" x14ac:dyDescent="0.35">
      <c r="A396" t="str">
        <f t="shared" si="6"/>
        <v>56Beta</v>
      </c>
      <c r="B396">
        <v>56</v>
      </c>
      <c r="C396" s="10" t="s">
        <v>24</v>
      </c>
      <c r="D396" s="8">
        <v>3.2000000000000001E-2</v>
      </c>
    </row>
    <row r="397" spans="1:4" x14ac:dyDescent="0.35">
      <c r="A397" t="str">
        <f t="shared" si="6"/>
        <v>56Annual Standard Deviation</v>
      </c>
      <c r="B397">
        <v>56</v>
      </c>
      <c r="C397" s="10" t="s">
        <v>35</v>
      </c>
      <c r="D397" s="8">
        <v>0.156</v>
      </c>
    </row>
    <row r="398" spans="1:4" x14ac:dyDescent="0.35">
      <c r="A398" t="str">
        <f t="shared" si="6"/>
        <v>56Annual Variance</v>
      </c>
      <c r="B398">
        <v>56</v>
      </c>
      <c r="C398" s="10" t="s">
        <v>36</v>
      </c>
      <c r="D398" s="8">
        <v>2.4E-2</v>
      </c>
    </row>
    <row r="399" spans="1:4" x14ac:dyDescent="0.35">
      <c r="A399" t="str">
        <f t="shared" si="6"/>
        <v>56Information Ratio</v>
      </c>
      <c r="B399">
        <v>56</v>
      </c>
      <c r="C399" s="10" t="s">
        <v>37</v>
      </c>
      <c r="D399" s="8">
        <v>0.71799999999999997</v>
      </c>
    </row>
    <row r="400" spans="1:4" x14ac:dyDescent="0.35">
      <c r="A400" t="str">
        <f t="shared" si="6"/>
        <v>56Tracking Error</v>
      </c>
      <c r="B400">
        <v>56</v>
      </c>
      <c r="C400" s="10" t="s">
        <v>38</v>
      </c>
      <c r="D400" s="8">
        <v>0.16900000000000001</v>
      </c>
    </row>
    <row r="401" spans="1:4" x14ac:dyDescent="0.35">
      <c r="A401" t="str">
        <f t="shared" si="6"/>
        <v>56Treynor Ratio</v>
      </c>
      <c r="B401">
        <v>56</v>
      </c>
      <c r="C401" s="10" t="s">
        <v>39</v>
      </c>
      <c r="D401" s="8">
        <v>5.8689999999999998</v>
      </c>
    </row>
    <row r="402" spans="1:4" x14ac:dyDescent="0.35">
      <c r="A402" t="str">
        <f t="shared" si="6"/>
        <v>56Total Fees</v>
      </c>
      <c r="B402">
        <v>56</v>
      </c>
      <c r="C402" s="10" t="s">
        <v>40</v>
      </c>
      <c r="D402" s="8">
        <v>0</v>
      </c>
    </row>
    <row r="403" spans="1:4" x14ac:dyDescent="0.35">
      <c r="A403" t="str">
        <f t="shared" si="6"/>
        <v>56Estimated Strategy Capacity</v>
      </c>
      <c r="B403">
        <v>56</v>
      </c>
      <c r="C403" s="10" t="s">
        <v>41</v>
      </c>
      <c r="D403" s="8">
        <v>10000000</v>
      </c>
    </row>
    <row r="404" spans="1:4" x14ac:dyDescent="0.35">
      <c r="A404" t="str">
        <f t="shared" si="6"/>
        <v>57PSR</v>
      </c>
      <c r="B404">
        <v>57</v>
      </c>
      <c r="C404" s="9" t="s">
        <v>27</v>
      </c>
      <c r="D404" s="8">
        <v>0.60584000000000005</v>
      </c>
    </row>
    <row r="405" spans="1:4" x14ac:dyDescent="0.35">
      <c r="A405" t="str">
        <f t="shared" si="6"/>
        <v>57Sharpe Ratio</v>
      </c>
      <c r="B405">
        <v>57</v>
      </c>
      <c r="C405" s="9" t="s">
        <v>1</v>
      </c>
      <c r="D405" s="8">
        <v>1.9770000000000001</v>
      </c>
    </row>
    <row r="406" spans="1:4" x14ac:dyDescent="0.35">
      <c r="A406" t="str">
        <f t="shared" si="6"/>
        <v>57Total Trades</v>
      </c>
      <c r="B406">
        <v>57</v>
      </c>
      <c r="C406" s="9" t="s">
        <v>28</v>
      </c>
      <c r="D406" s="8">
        <v>896</v>
      </c>
    </row>
    <row r="407" spans="1:4" x14ac:dyDescent="0.35">
      <c r="A407" t="str">
        <f t="shared" si="6"/>
        <v>57Average Win</v>
      </c>
      <c r="B407">
        <v>57</v>
      </c>
      <c r="C407" s="9" t="s">
        <v>25</v>
      </c>
      <c r="D407" s="8">
        <v>0.1022</v>
      </c>
    </row>
    <row r="408" spans="1:4" x14ac:dyDescent="0.35">
      <c r="A408" t="str">
        <f t="shared" si="6"/>
        <v>57Average Loss</v>
      </c>
      <c r="B408">
        <v>57</v>
      </c>
      <c r="C408" s="9" t="s">
        <v>29</v>
      </c>
      <c r="D408" s="8">
        <v>-5.6300000000000003E-2</v>
      </c>
    </row>
    <row r="409" spans="1:4" x14ac:dyDescent="0.35">
      <c r="A409" t="str">
        <f t="shared" si="6"/>
        <v>57Compounding Annual Return</v>
      </c>
      <c r="B409">
        <v>57</v>
      </c>
      <c r="C409" s="9" t="s">
        <v>30</v>
      </c>
      <c r="D409" s="8">
        <v>1.4669099999999999</v>
      </c>
    </row>
    <row r="410" spans="1:4" x14ac:dyDescent="0.35">
      <c r="A410" t="str">
        <f t="shared" si="6"/>
        <v>57Drawdown</v>
      </c>
      <c r="B410">
        <v>57</v>
      </c>
      <c r="C410" s="9" t="s">
        <v>8</v>
      </c>
      <c r="D410" s="8">
        <v>0.34899999999999998</v>
      </c>
    </row>
    <row r="411" spans="1:4" x14ac:dyDescent="0.35">
      <c r="A411" t="str">
        <f t="shared" si="6"/>
        <v>57Expectancy</v>
      </c>
      <c r="B411">
        <v>57</v>
      </c>
      <c r="C411" s="9" t="s">
        <v>31</v>
      </c>
      <c r="D411" s="8">
        <v>0.45700000000000002</v>
      </c>
    </row>
    <row r="412" spans="1:4" x14ac:dyDescent="0.35">
      <c r="A412" t="str">
        <f t="shared" si="6"/>
        <v>57Net Profit</v>
      </c>
      <c r="B412">
        <v>57</v>
      </c>
      <c r="C412" s="9" t="s">
        <v>32</v>
      </c>
      <c r="D412" s="8">
        <v>0.79271999999999998</v>
      </c>
    </row>
    <row r="413" spans="1:4" x14ac:dyDescent="0.35">
      <c r="A413" t="str">
        <f t="shared" si="6"/>
        <v>57Loss Rate</v>
      </c>
      <c r="B413">
        <v>57</v>
      </c>
      <c r="C413" s="9" t="s">
        <v>33</v>
      </c>
      <c r="D413" s="8">
        <v>0.48</v>
      </c>
    </row>
    <row r="414" spans="1:4" x14ac:dyDescent="0.35">
      <c r="A414" t="str">
        <f t="shared" si="6"/>
        <v>57Win Rate</v>
      </c>
      <c r="B414">
        <v>57</v>
      </c>
      <c r="C414" s="9" t="s">
        <v>34</v>
      </c>
      <c r="D414" s="8">
        <v>0.52</v>
      </c>
    </row>
    <row r="415" spans="1:4" x14ac:dyDescent="0.35">
      <c r="A415" t="str">
        <f t="shared" si="6"/>
        <v>57Profit-Loss Ratio</v>
      </c>
      <c r="B415">
        <v>57</v>
      </c>
      <c r="C415" s="9" t="s">
        <v>26</v>
      </c>
      <c r="D415" s="8">
        <v>1.82</v>
      </c>
    </row>
    <row r="416" spans="1:4" x14ac:dyDescent="0.35">
      <c r="A416" t="str">
        <f t="shared" si="6"/>
        <v>57Alpha</v>
      </c>
      <c r="B416">
        <v>57</v>
      </c>
      <c r="C416" s="9" t="s">
        <v>23</v>
      </c>
      <c r="D416" s="8">
        <v>1.3029999999999999</v>
      </c>
    </row>
    <row r="417" spans="1:4" x14ac:dyDescent="0.35">
      <c r="A417" t="str">
        <f t="shared" si="6"/>
        <v>57Beta</v>
      </c>
      <c r="B417">
        <v>57</v>
      </c>
      <c r="C417" s="9" t="s">
        <v>24</v>
      </c>
      <c r="D417" s="8">
        <v>0.13</v>
      </c>
    </row>
    <row r="418" spans="1:4" x14ac:dyDescent="0.35">
      <c r="A418" t="str">
        <f t="shared" si="6"/>
        <v>57Annual Standard Deviation</v>
      </c>
      <c r="B418">
        <v>57</v>
      </c>
      <c r="C418" s="9" t="s">
        <v>35</v>
      </c>
      <c r="D418" s="8">
        <v>0.66300000000000003</v>
      </c>
    </row>
    <row r="419" spans="1:4" x14ac:dyDescent="0.35">
      <c r="A419" t="str">
        <f t="shared" si="6"/>
        <v>57Annual Variance</v>
      </c>
      <c r="B419">
        <v>57</v>
      </c>
      <c r="C419" s="9" t="s">
        <v>36</v>
      </c>
      <c r="D419" s="8">
        <v>0.44</v>
      </c>
    </row>
    <row r="420" spans="1:4" x14ac:dyDescent="0.35">
      <c r="A420" t="str">
        <f t="shared" si="6"/>
        <v>57Information Ratio</v>
      </c>
      <c r="B420">
        <v>57</v>
      </c>
      <c r="C420" s="9" t="s">
        <v>37</v>
      </c>
      <c r="D420" s="8">
        <v>1.8740000000000001</v>
      </c>
    </row>
    <row r="421" spans="1:4" x14ac:dyDescent="0.35">
      <c r="A421" t="str">
        <f t="shared" si="6"/>
        <v>57Tracking Error</v>
      </c>
      <c r="B421">
        <v>57</v>
      </c>
      <c r="C421" s="9" t="s">
        <v>38</v>
      </c>
      <c r="D421" s="8">
        <v>0.66600000000000004</v>
      </c>
    </row>
    <row r="422" spans="1:4" x14ac:dyDescent="0.35">
      <c r="A422" t="str">
        <f t="shared" si="6"/>
        <v>57Treynor Ratio</v>
      </c>
      <c r="B422">
        <v>57</v>
      </c>
      <c r="C422" s="9" t="s">
        <v>39</v>
      </c>
      <c r="D422" s="8">
        <v>10.096</v>
      </c>
    </row>
    <row r="423" spans="1:4" x14ac:dyDescent="0.35">
      <c r="A423" t="str">
        <f t="shared" si="6"/>
        <v>57Total Fees</v>
      </c>
      <c r="B423">
        <v>57</v>
      </c>
      <c r="C423" s="9" t="s">
        <v>40</v>
      </c>
      <c r="D423" s="8">
        <v>0</v>
      </c>
    </row>
    <row r="424" spans="1:4" x14ac:dyDescent="0.35">
      <c r="A424" t="str">
        <f t="shared" si="6"/>
        <v>57Estimated Strategy Capacity</v>
      </c>
      <c r="B424">
        <v>57</v>
      </c>
      <c r="C424" s="9" t="s">
        <v>41</v>
      </c>
      <c r="D424" s="8">
        <v>4500000</v>
      </c>
    </row>
    <row r="425" spans="1:4" x14ac:dyDescent="0.35">
      <c r="A425" t="str">
        <f t="shared" si="6"/>
        <v>58PSR</v>
      </c>
      <c r="B425">
        <v>58</v>
      </c>
      <c r="C425" s="9" t="s">
        <v>27</v>
      </c>
      <c r="D425" s="8">
        <v>0.85036999999999996</v>
      </c>
    </row>
    <row r="426" spans="1:4" x14ac:dyDescent="0.35">
      <c r="A426" t="str">
        <f t="shared" si="6"/>
        <v>58Sharpe Ratio</v>
      </c>
      <c r="B426">
        <v>58</v>
      </c>
      <c r="C426" s="9" t="s">
        <v>1</v>
      </c>
      <c r="D426" s="8">
        <v>1.9279999999999999</v>
      </c>
    </row>
    <row r="427" spans="1:4" x14ac:dyDescent="0.35">
      <c r="A427" t="str">
        <f t="shared" si="6"/>
        <v>58Total Trades</v>
      </c>
      <c r="B427">
        <v>58</v>
      </c>
      <c r="C427" s="9" t="s">
        <v>28</v>
      </c>
      <c r="D427" s="8">
        <v>504</v>
      </c>
    </row>
    <row r="428" spans="1:4" x14ac:dyDescent="0.35">
      <c r="A428" t="str">
        <f t="shared" si="6"/>
        <v>58Average Win</v>
      </c>
      <c r="B428">
        <v>58</v>
      </c>
      <c r="C428" s="9" t="s">
        <v>25</v>
      </c>
      <c r="D428" s="8">
        <v>2.8999999999999998E-3</v>
      </c>
    </row>
    <row r="429" spans="1:4" x14ac:dyDescent="0.35">
      <c r="A429" t="str">
        <f t="shared" si="6"/>
        <v>58Average Loss</v>
      </c>
      <c r="B429">
        <v>58</v>
      </c>
      <c r="C429" s="9" t="s">
        <v>29</v>
      </c>
      <c r="D429" s="8">
        <v>-1.1000000000000001E-3</v>
      </c>
    </row>
    <row r="430" spans="1:4" x14ac:dyDescent="0.35">
      <c r="A430" t="str">
        <f t="shared" si="6"/>
        <v>58Compounding Annual Return</v>
      </c>
      <c r="B430">
        <v>58</v>
      </c>
      <c r="C430" s="9" t="s">
        <v>30</v>
      </c>
      <c r="D430" s="8">
        <v>3.2989999999999998E-2</v>
      </c>
    </row>
    <row r="431" spans="1:4" x14ac:dyDescent="0.35">
      <c r="A431" t="str">
        <f t="shared" si="6"/>
        <v>58Drawdown</v>
      </c>
      <c r="B431">
        <v>58</v>
      </c>
      <c r="C431" s="9" t="s">
        <v>8</v>
      </c>
      <c r="D431" s="8">
        <v>7.0000000000000001E-3</v>
      </c>
    </row>
    <row r="432" spans="1:4" x14ac:dyDescent="0.35">
      <c r="A432" t="str">
        <f t="shared" si="6"/>
        <v>58Expectancy</v>
      </c>
      <c r="B432">
        <v>58</v>
      </c>
      <c r="C432" s="9" t="s">
        <v>31</v>
      </c>
      <c r="D432" s="8">
        <v>1.222</v>
      </c>
    </row>
    <row r="433" spans="1:4" x14ac:dyDescent="0.35">
      <c r="A433" t="str">
        <f t="shared" si="6"/>
        <v>58Net Profit</v>
      </c>
      <c r="B433">
        <v>58</v>
      </c>
      <c r="C433" s="9" t="s">
        <v>32</v>
      </c>
      <c r="D433" s="8">
        <v>2.12E-2</v>
      </c>
    </row>
    <row r="434" spans="1:4" x14ac:dyDescent="0.35">
      <c r="A434" t="str">
        <f t="shared" si="6"/>
        <v>58Loss Rate</v>
      </c>
      <c r="B434">
        <v>58</v>
      </c>
      <c r="C434" s="9" t="s">
        <v>33</v>
      </c>
      <c r="D434" s="8">
        <v>0.38</v>
      </c>
    </row>
    <row r="435" spans="1:4" x14ac:dyDescent="0.35">
      <c r="A435" t="str">
        <f t="shared" si="6"/>
        <v>58Win Rate</v>
      </c>
      <c r="B435">
        <v>58</v>
      </c>
      <c r="C435" s="9" t="s">
        <v>34</v>
      </c>
      <c r="D435" s="8">
        <v>0.62</v>
      </c>
    </row>
    <row r="436" spans="1:4" x14ac:dyDescent="0.35">
      <c r="A436" t="str">
        <f t="shared" si="6"/>
        <v>58Profit-Loss Ratio</v>
      </c>
      <c r="B436">
        <v>58</v>
      </c>
      <c r="C436" s="9" t="s">
        <v>26</v>
      </c>
      <c r="D436" s="8">
        <v>2.5499999999999998</v>
      </c>
    </row>
    <row r="437" spans="1:4" x14ac:dyDescent="0.35">
      <c r="A437" t="str">
        <f t="shared" si="6"/>
        <v>58Alpha</v>
      </c>
      <c r="B437">
        <v>58</v>
      </c>
      <c r="C437" s="9" t="s">
        <v>23</v>
      </c>
      <c r="D437" s="8">
        <v>2.1999999999999999E-2</v>
      </c>
    </row>
    <row r="438" spans="1:4" x14ac:dyDescent="0.35">
      <c r="A438" t="str">
        <f t="shared" si="6"/>
        <v>58Beta</v>
      </c>
      <c r="B438">
        <v>58</v>
      </c>
      <c r="C438" s="9" t="s">
        <v>24</v>
      </c>
      <c r="D438" s="8">
        <v>7.0000000000000001E-3</v>
      </c>
    </row>
    <row r="439" spans="1:4" x14ac:dyDescent="0.35">
      <c r="A439" t="str">
        <f t="shared" si="6"/>
        <v>58Annual Standard Deviation</v>
      </c>
      <c r="B439">
        <v>58</v>
      </c>
      <c r="C439" s="9" t="s">
        <v>35</v>
      </c>
      <c r="D439" s="8">
        <v>1.2E-2</v>
      </c>
    </row>
    <row r="440" spans="1:4" x14ac:dyDescent="0.35">
      <c r="A440" t="str">
        <f t="shared" si="6"/>
        <v>58Annual Variance</v>
      </c>
      <c r="B440">
        <v>58</v>
      </c>
      <c r="C440" s="9" t="s">
        <v>36</v>
      </c>
      <c r="D440" s="8">
        <v>0</v>
      </c>
    </row>
    <row r="441" spans="1:4" x14ac:dyDescent="0.35">
      <c r="A441" t="str">
        <f t="shared" si="6"/>
        <v>58Information Ratio</v>
      </c>
      <c r="B441">
        <v>58</v>
      </c>
      <c r="C441" s="9" t="s">
        <v>37</v>
      </c>
      <c r="D441" s="8">
        <v>-0.60699999999999998</v>
      </c>
    </row>
    <row r="442" spans="1:4" x14ac:dyDescent="0.35">
      <c r="A442" t="str">
        <f t="shared" si="6"/>
        <v>58Tracking Error</v>
      </c>
      <c r="B442">
        <v>58</v>
      </c>
      <c r="C442" s="9" t="s">
        <v>38</v>
      </c>
      <c r="D442" s="8">
        <v>6.7000000000000004E-2</v>
      </c>
    </row>
    <row r="443" spans="1:4" x14ac:dyDescent="0.35">
      <c r="A443" t="str">
        <f t="shared" si="6"/>
        <v>58Treynor Ratio</v>
      </c>
      <c r="B443">
        <v>58</v>
      </c>
      <c r="C443" s="9" t="s">
        <v>39</v>
      </c>
      <c r="D443" s="8">
        <v>3.3090000000000002</v>
      </c>
    </row>
    <row r="444" spans="1:4" x14ac:dyDescent="0.35">
      <c r="A444" t="str">
        <f t="shared" si="6"/>
        <v>58Total Fees</v>
      </c>
      <c r="B444">
        <v>58</v>
      </c>
      <c r="C444" s="9" t="s">
        <v>40</v>
      </c>
      <c r="D444" s="8">
        <v>0</v>
      </c>
    </row>
    <row r="445" spans="1:4" x14ac:dyDescent="0.35">
      <c r="A445" t="str">
        <f t="shared" si="6"/>
        <v>58Estimated Strategy Capacity</v>
      </c>
      <c r="B445">
        <v>58</v>
      </c>
      <c r="C445" s="9" t="s">
        <v>41</v>
      </c>
      <c r="D445" s="8">
        <v>54000000</v>
      </c>
    </row>
    <row r="446" spans="1:4" x14ac:dyDescent="0.35">
      <c r="A446" t="str">
        <f t="shared" si="6"/>
        <v>59PSR</v>
      </c>
      <c r="B446">
        <v>59</v>
      </c>
      <c r="C446" s="9" t="s">
        <v>27</v>
      </c>
      <c r="D446" s="8">
        <v>0.86380000000000001</v>
      </c>
    </row>
    <row r="447" spans="1:4" x14ac:dyDescent="0.35">
      <c r="A447" t="str">
        <f t="shared" si="6"/>
        <v>59Sharpe Ratio</v>
      </c>
      <c r="B447">
        <v>59</v>
      </c>
      <c r="C447" s="9" t="s">
        <v>1</v>
      </c>
      <c r="D447" s="8">
        <v>2.17</v>
      </c>
    </row>
    <row r="448" spans="1:4" x14ac:dyDescent="0.35">
      <c r="A448" t="str">
        <f t="shared" si="6"/>
        <v>59Total Trades</v>
      </c>
      <c r="B448">
        <v>59</v>
      </c>
      <c r="C448" s="9" t="s">
        <v>28</v>
      </c>
      <c r="D448" s="8">
        <v>504</v>
      </c>
    </row>
    <row r="449" spans="1:4" x14ac:dyDescent="0.35">
      <c r="A449" t="str">
        <f t="shared" si="6"/>
        <v>59Average Win</v>
      </c>
      <c r="B449">
        <v>59</v>
      </c>
      <c r="C449" s="9" t="s">
        <v>25</v>
      </c>
      <c r="D449" s="8">
        <v>2.6599999999999999E-2</v>
      </c>
    </row>
    <row r="450" spans="1:4" x14ac:dyDescent="0.35">
      <c r="A450" t="str">
        <f t="shared" si="6"/>
        <v>59Average Loss</v>
      </c>
      <c r="B450">
        <v>59</v>
      </c>
      <c r="C450" s="9" t="s">
        <v>29</v>
      </c>
      <c r="D450" s="8">
        <v>-0.01</v>
      </c>
    </row>
    <row r="451" spans="1:4" x14ac:dyDescent="0.35">
      <c r="A451" t="str">
        <f t="shared" ref="A451:A514" si="7">B451&amp;C451</f>
        <v>59Compounding Annual Return</v>
      </c>
      <c r="B451">
        <v>59</v>
      </c>
      <c r="C451" s="9" t="s">
        <v>30</v>
      </c>
      <c r="D451" s="8">
        <v>0.34642000000000001</v>
      </c>
    </row>
    <row r="452" spans="1:4" x14ac:dyDescent="0.35">
      <c r="A452" t="str">
        <f t="shared" si="7"/>
        <v>59Drawdown</v>
      </c>
      <c r="B452">
        <v>59</v>
      </c>
      <c r="C452" s="9" t="s">
        <v>8</v>
      </c>
      <c r="D452" s="8">
        <v>0.06</v>
      </c>
    </row>
    <row r="453" spans="1:4" x14ac:dyDescent="0.35">
      <c r="A453" t="str">
        <f t="shared" si="7"/>
        <v>59Expectancy</v>
      </c>
      <c r="B453">
        <v>59</v>
      </c>
      <c r="C453" s="9" t="s">
        <v>31</v>
      </c>
      <c r="D453" s="8">
        <v>1.284</v>
      </c>
    </row>
    <row r="454" spans="1:4" x14ac:dyDescent="0.35">
      <c r="A454" t="str">
        <f t="shared" si="7"/>
        <v>59Net Profit</v>
      </c>
      <c r="B454">
        <v>59</v>
      </c>
      <c r="C454" s="9" t="s">
        <v>32</v>
      </c>
      <c r="D454" s="8">
        <v>0.21201999999999999</v>
      </c>
    </row>
    <row r="455" spans="1:4" x14ac:dyDescent="0.35">
      <c r="A455" t="str">
        <f t="shared" si="7"/>
        <v>59Loss Rate</v>
      </c>
      <c r="B455">
        <v>59</v>
      </c>
      <c r="C455" s="9" t="s">
        <v>33</v>
      </c>
      <c r="D455" s="8">
        <v>0.38</v>
      </c>
    </row>
    <row r="456" spans="1:4" x14ac:dyDescent="0.35">
      <c r="A456" t="str">
        <f t="shared" si="7"/>
        <v>59Win Rate</v>
      </c>
      <c r="B456">
        <v>59</v>
      </c>
      <c r="C456" s="9" t="s">
        <v>34</v>
      </c>
      <c r="D456" s="8">
        <v>0.62</v>
      </c>
    </row>
    <row r="457" spans="1:4" x14ac:dyDescent="0.35">
      <c r="A457" t="str">
        <f t="shared" si="7"/>
        <v>59Profit-Loss Ratio</v>
      </c>
      <c r="B457">
        <v>59</v>
      </c>
      <c r="C457" s="9" t="s">
        <v>26</v>
      </c>
      <c r="D457" s="8">
        <v>2.65</v>
      </c>
    </row>
    <row r="458" spans="1:4" x14ac:dyDescent="0.35">
      <c r="A458" t="str">
        <f t="shared" si="7"/>
        <v>59Alpha</v>
      </c>
      <c r="B458">
        <v>59</v>
      </c>
      <c r="C458" s="9" t="s">
        <v>23</v>
      </c>
      <c r="D458" s="8">
        <v>0.23200000000000001</v>
      </c>
    </row>
    <row r="459" spans="1:4" x14ac:dyDescent="0.35">
      <c r="A459" t="str">
        <f t="shared" si="7"/>
        <v>59Beta</v>
      </c>
      <c r="B459">
        <v>59</v>
      </c>
      <c r="C459" s="9" t="s">
        <v>24</v>
      </c>
      <c r="D459" s="8">
        <v>6.2E-2</v>
      </c>
    </row>
    <row r="460" spans="1:4" x14ac:dyDescent="0.35">
      <c r="A460" t="str">
        <f t="shared" si="7"/>
        <v>59Annual Standard Deviation</v>
      </c>
      <c r="B460">
        <v>59</v>
      </c>
      <c r="C460" s="9" t="s">
        <v>35</v>
      </c>
      <c r="D460" s="8">
        <v>0.109</v>
      </c>
    </row>
    <row r="461" spans="1:4" x14ac:dyDescent="0.35">
      <c r="A461" t="str">
        <f t="shared" si="7"/>
        <v>59Annual Variance</v>
      </c>
      <c r="B461">
        <v>59</v>
      </c>
      <c r="C461" s="9" t="s">
        <v>36</v>
      </c>
      <c r="D461" s="8">
        <v>1.2E-2</v>
      </c>
    </row>
    <row r="462" spans="1:4" x14ac:dyDescent="0.35">
      <c r="A462" t="str">
        <f t="shared" si="7"/>
        <v>59Information Ratio</v>
      </c>
      <c r="B462">
        <v>59</v>
      </c>
      <c r="C462" s="9" t="s">
        <v>37</v>
      </c>
      <c r="D462" s="8">
        <v>1.375</v>
      </c>
    </row>
    <row r="463" spans="1:4" x14ac:dyDescent="0.35">
      <c r="A463" t="str">
        <f t="shared" si="7"/>
        <v>59Tracking Error</v>
      </c>
      <c r="B463">
        <v>59</v>
      </c>
      <c r="C463" s="9" t="s">
        <v>38</v>
      </c>
      <c r="D463" s="8">
        <v>0.125</v>
      </c>
    </row>
    <row r="464" spans="1:4" x14ac:dyDescent="0.35">
      <c r="A464" t="str">
        <f t="shared" si="7"/>
        <v>59Treynor Ratio</v>
      </c>
      <c r="B464">
        <v>59</v>
      </c>
      <c r="C464" s="9" t="s">
        <v>39</v>
      </c>
      <c r="D464" s="8">
        <v>3.7850000000000001</v>
      </c>
    </row>
    <row r="465" spans="1:4" x14ac:dyDescent="0.35">
      <c r="A465" t="str">
        <f t="shared" si="7"/>
        <v>59Total Fees</v>
      </c>
      <c r="B465">
        <v>59</v>
      </c>
      <c r="C465" s="9" t="s">
        <v>40</v>
      </c>
      <c r="D465" s="8">
        <v>0</v>
      </c>
    </row>
    <row r="466" spans="1:4" x14ac:dyDescent="0.35">
      <c r="A466" t="str">
        <f t="shared" si="7"/>
        <v>59Estimated Strategy Capacity</v>
      </c>
      <c r="B466">
        <v>59</v>
      </c>
      <c r="C466" s="9" t="s">
        <v>41</v>
      </c>
      <c r="D466" s="8">
        <v>9000000</v>
      </c>
    </row>
    <row r="467" spans="1:4" x14ac:dyDescent="0.35">
      <c r="A467" t="str">
        <f t="shared" si="7"/>
        <v>60PSR</v>
      </c>
      <c r="B467">
        <v>60</v>
      </c>
      <c r="C467" s="9" t="s">
        <v>27</v>
      </c>
      <c r="D467" s="8">
        <v>0.89739000000000002</v>
      </c>
    </row>
    <row r="468" spans="1:4" x14ac:dyDescent="0.35">
      <c r="A468" t="str">
        <f t="shared" si="7"/>
        <v>60Sharpe Ratio</v>
      </c>
      <c r="B468">
        <v>60</v>
      </c>
      <c r="C468" s="9" t="s">
        <v>1</v>
      </c>
      <c r="D468" s="8">
        <v>3.26</v>
      </c>
    </row>
    <row r="469" spans="1:4" x14ac:dyDescent="0.35">
      <c r="A469" t="str">
        <f t="shared" si="7"/>
        <v>60Total Trades</v>
      </c>
      <c r="B469">
        <v>60</v>
      </c>
      <c r="C469" s="9" t="s">
        <v>28</v>
      </c>
      <c r="D469" s="8">
        <v>504</v>
      </c>
    </row>
    <row r="470" spans="1:4" x14ac:dyDescent="0.35">
      <c r="A470" t="str">
        <f t="shared" si="7"/>
        <v>60Average Win</v>
      </c>
      <c r="B470">
        <v>60</v>
      </c>
      <c r="C470" s="9" t="s">
        <v>25</v>
      </c>
      <c r="D470" s="8">
        <v>0.1037</v>
      </c>
    </row>
    <row r="471" spans="1:4" x14ac:dyDescent="0.35">
      <c r="A471" t="str">
        <f t="shared" si="7"/>
        <v>60Average Loss</v>
      </c>
      <c r="B471">
        <v>60</v>
      </c>
      <c r="C471" s="9" t="s">
        <v>29</v>
      </c>
      <c r="D471" s="8">
        <v>-3.5000000000000003E-2</v>
      </c>
    </row>
    <row r="472" spans="1:4" x14ac:dyDescent="0.35">
      <c r="A472" t="str">
        <f t="shared" si="7"/>
        <v>60Compounding Annual Return</v>
      </c>
      <c r="B472">
        <v>60</v>
      </c>
      <c r="C472" s="9" t="s">
        <v>30</v>
      </c>
      <c r="D472" s="8">
        <v>2.0588199999999999</v>
      </c>
    </row>
    <row r="473" spans="1:4" x14ac:dyDescent="0.35">
      <c r="A473" t="str">
        <f t="shared" si="7"/>
        <v>60Drawdown</v>
      </c>
      <c r="B473">
        <v>60</v>
      </c>
      <c r="C473" s="9" t="s">
        <v>8</v>
      </c>
      <c r="D473" s="8">
        <v>0.20799999999999999</v>
      </c>
    </row>
    <row r="474" spans="1:4" x14ac:dyDescent="0.35">
      <c r="A474" t="str">
        <f t="shared" si="7"/>
        <v>60Expectancy</v>
      </c>
      <c r="B474">
        <v>60</v>
      </c>
      <c r="C474" s="9" t="s">
        <v>31</v>
      </c>
      <c r="D474" s="8">
        <v>1.4790000000000001</v>
      </c>
    </row>
    <row r="475" spans="1:4" x14ac:dyDescent="0.35">
      <c r="A475" t="str">
        <f t="shared" si="7"/>
        <v>60Net Profit</v>
      </c>
      <c r="B475">
        <v>60</v>
      </c>
      <c r="C475" s="9" t="s">
        <v>32</v>
      </c>
      <c r="D475" s="8">
        <v>1.06012</v>
      </c>
    </row>
    <row r="476" spans="1:4" x14ac:dyDescent="0.35">
      <c r="A476" t="str">
        <f t="shared" si="7"/>
        <v>60Loss Rate</v>
      </c>
      <c r="B476">
        <v>60</v>
      </c>
      <c r="C476" s="9" t="s">
        <v>33</v>
      </c>
      <c r="D476" s="8">
        <v>0.38</v>
      </c>
    </row>
    <row r="477" spans="1:4" x14ac:dyDescent="0.35">
      <c r="A477" t="str">
        <f t="shared" si="7"/>
        <v>60Win Rate</v>
      </c>
      <c r="B477">
        <v>60</v>
      </c>
      <c r="C477" s="9" t="s">
        <v>34</v>
      </c>
      <c r="D477" s="8">
        <v>0.62</v>
      </c>
    </row>
    <row r="478" spans="1:4" x14ac:dyDescent="0.35">
      <c r="A478" t="str">
        <f t="shared" si="7"/>
        <v>60Profit-Loss Ratio</v>
      </c>
      <c r="B478">
        <v>60</v>
      </c>
      <c r="C478" s="9" t="s">
        <v>26</v>
      </c>
      <c r="D478" s="8">
        <v>2.97</v>
      </c>
    </row>
    <row r="479" spans="1:4" x14ac:dyDescent="0.35">
      <c r="A479" t="str">
        <f t="shared" si="7"/>
        <v>60Alpha</v>
      </c>
      <c r="B479">
        <v>60</v>
      </c>
      <c r="C479" s="9" t="s">
        <v>23</v>
      </c>
      <c r="D479" s="8">
        <v>1.339</v>
      </c>
    </row>
    <row r="480" spans="1:4" x14ac:dyDescent="0.35">
      <c r="A480" t="str">
        <f t="shared" si="7"/>
        <v>60Beta</v>
      </c>
      <c r="B480">
        <v>60</v>
      </c>
      <c r="C480" s="9" t="s">
        <v>24</v>
      </c>
      <c r="D480" s="8">
        <v>0.216</v>
      </c>
    </row>
    <row r="481" spans="1:4" x14ac:dyDescent="0.35">
      <c r="A481" t="str">
        <f t="shared" si="7"/>
        <v>60Annual Standard Deviation</v>
      </c>
      <c r="B481">
        <v>60</v>
      </c>
      <c r="C481" s="9" t="s">
        <v>35</v>
      </c>
      <c r="D481" s="8">
        <v>0.41499999999999998</v>
      </c>
    </row>
    <row r="482" spans="1:4" x14ac:dyDescent="0.35">
      <c r="A482" t="str">
        <f t="shared" si="7"/>
        <v>60Annual Variance</v>
      </c>
      <c r="B482">
        <v>60</v>
      </c>
      <c r="C482" s="9" t="s">
        <v>36</v>
      </c>
      <c r="D482" s="8">
        <v>0.17199999999999999</v>
      </c>
    </row>
    <row r="483" spans="1:4" x14ac:dyDescent="0.35">
      <c r="A483" t="str">
        <f t="shared" si="7"/>
        <v>60Information Ratio</v>
      </c>
      <c r="B483">
        <v>60</v>
      </c>
      <c r="C483" s="9" t="s">
        <v>37</v>
      </c>
      <c r="D483" s="8">
        <v>3.0840000000000001</v>
      </c>
    </row>
    <row r="484" spans="1:4" x14ac:dyDescent="0.35">
      <c r="A484" t="str">
        <f t="shared" si="7"/>
        <v>60Tracking Error</v>
      </c>
      <c r="B484">
        <v>60</v>
      </c>
      <c r="C484" s="9" t="s">
        <v>38</v>
      </c>
      <c r="D484" s="8">
        <v>0.41799999999999998</v>
      </c>
    </row>
    <row r="485" spans="1:4" x14ac:dyDescent="0.35">
      <c r="A485" t="str">
        <f t="shared" si="7"/>
        <v>60Treynor Ratio</v>
      </c>
      <c r="B485">
        <v>60</v>
      </c>
      <c r="C485" s="9" t="s">
        <v>39</v>
      </c>
      <c r="D485" s="8">
        <v>6.2569999999999997</v>
      </c>
    </row>
    <row r="486" spans="1:4" x14ac:dyDescent="0.35">
      <c r="A486" t="str">
        <f t="shared" si="7"/>
        <v>60Total Fees</v>
      </c>
      <c r="B486">
        <v>60</v>
      </c>
      <c r="C486" s="9" t="s">
        <v>40</v>
      </c>
      <c r="D486" s="8">
        <v>0</v>
      </c>
    </row>
    <row r="487" spans="1:4" x14ac:dyDescent="0.35">
      <c r="A487" t="str">
        <f t="shared" si="7"/>
        <v>60Estimated Strategy Capacity</v>
      </c>
      <c r="B487">
        <v>60</v>
      </c>
      <c r="C487" s="9" t="s">
        <v>41</v>
      </c>
      <c r="D487" s="8">
        <v>4200000</v>
      </c>
    </row>
    <row r="488" spans="1:4" x14ac:dyDescent="0.35">
      <c r="A488" t="str">
        <f t="shared" si="7"/>
        <v>61PSR</v>
      </c>
      <c r="B488">
        <v>61</v>
      </c>
      <c r="C488" s="9" t="s">
        <v>27</v>
      </c>
      <c r="D488" s="8">
        <v>0.65983000000000003</v>
      </c>
    </row>
    <row r="489" spans="1:4" x14ac:dyDescent="0.35">
      <c r="A489" t="str">
        <f t="shared" si="7"/>
        <v>61Sharpe Ratio</v>
      </c>
      <c r="B489">
        <v>61</v>
      </c>
      <c r="C489" s="9" t="s">
        <v>1</v>
      </c>
      <c r="D489" s="8">
        <v>1.4139999999999999</v>
      </c>
    </row>
    <row r="490" spans="1:4" x14ac:dyDescent="0.35">
      <c r="A490" t="str">
        <f t="shared" si="7"/>
        <v>61Total Trades</v>
      </c>
      <c r="B490">
        <v>61</v>
      </c>
      <c r="C490" s="9" t="s">
        <v>28</v>
      </c>
      <c r="D490" s="8">
        <v>386</v>
      </c>
    </row>
    <row r="491" spans="1:4" x14ac:dyDescent="0.35">
      <c r="A491" t="str">
        <f t="shared" si="7"/>
        <v>61Average Win</v>
      </c>
      <c r="B491">
        <v>61</v>
      </c>
      <c r="C491" s="9" t="s">
        <v>25</v>
      </c>
      <c r="D491" s="8">
        <v>3.8999999999999998E-3</v>
      </c>
    </row>
    <row r="492" spans="1:4" x14ac:dyDescent="0.35">
      <c r="A492" t="str">
        <f t="shared" si="7"/>
        <v>61Average Loss</v>
      </c>
      <c r="B492">
        <v>61</v>
      </c>
      <c r="C492" s="9" t="s">
        <v>29</v>
      </c>
      <c r="D492" s="8">
        <v>-3.0000000000000001E-3</v>
      </c>
    </row>
    <row r="493" spans="1:4" x14ac:dyDescent="0.35">
      <c r="A493" t="str">
        <f t="shared" si="7"/>
        <v>61Compounding Annual Return</v>
      </c>
      <c r="B493">
        <v>61</v>
      </c>
      <c r="C493" s="9" t="s">
        <v>30</v>
      </c>
      <c r="D493" s="8">
        <v>2.8309999999999998E-2</v>
      </c>
    </row>
    <row r="494" spans="1:4" x14ac:dyDescent="0.35">
      <c r="A494" t="str">
        <f t="shared" si="7"/>
        <v>61Drawdown</v>
      </c>
      <c r="B494">
        <v>61</v>
      </c>
      <c r="C494" s="9" t="s">
        <v>8</v>
      </c>
      <c r="D494" s="8">
        <v>8.0000000000000002E-3</v>
      </c>
    </row>
    <row r="495" spans="1:4" x14ac:dyDescent="0.35">
      <c r="A495" t="str">
        <f t="shared" si="7"/>
        <v>61Expectancy</v>
      </c>
      <c r="B495">
        <v>61</v>
      </c>
      <c r="C495" s="9" t="s">
        <v>31</v>
      </c>
      <c r="D495" s="8">
        <v>0.51</v>
      </c>
    </row>
    <row r="496" spans="1:4" x14ac:dyDescent="0.35">
      <c r="A496" t="str">
        <f t="shared" si="7"/>
        <v>61Net Profit</v>
      </c>
      <c r="B496">
        <v>61</v>
      </c>
      <c r="C496" s="9" t="s">
        <v>32</v>
      </c>
      <c r="D496" s="8">
        <v>1.821E-2</v>
      </c>
    </row>
    <row r="497" spans="1:4" x14ac:dyDescent="0.35">
      <c r="A497" t="str">
        <f t="shared" si="7"/>
        <v>61Loss Rate</v>
      </c>
      <c r="B497">
        <v>61</v>
      </c>
      <c r="C497" s="9" t="s">
        <v>33</v>
      </c>
      <c r="D497" s="8">
        <v>0.33</v>
      </c>
    </row>
    <row r="498" spans="1:4" x14ac:dyDescent="0.35">
      <c r="A498" t="str">
        <f t="shared" si="7"/>
        <v>61Win Rate</v>
      </c>
      <c r="B498">
        <v>61</v>
      </c>
      <c r="C498" s="9" t="s">
        <v>34</v>
      </c>
      <c r="D498" s="8">
        <v>0.67</v>
      </c>
    </row>
    <row r="499" spans="1:4" x14ac:dyDescent="0.35">
      <c r="A499" t="str">
        <f t="shared" si="7"/>
        <v>61Profit-Loss Ratio</v>
      </c>
      <c r="B499">
        <v>61</v>
      </c>
      <c r="C499" s="9" t="s">
        <v>26</v>
      </c>
      <c r="D499" s="8">
        <v>1.26</v>
      </c>
    </row>
    <row r="500" spans="1:4" x14ac:dyDescent="0.35">
      <c r="A500" t="str">
        <f t="shared" si="7"/>
        <v>61Alpha</v>
      </c>
      <c r="B500">
        <v>61</v>
      </c>
      <c r="C500" s="9" t="s">
        <v>23</v>
      </c>
      <c r="D500" s="8">
        <v>1.9E-2</v>
      </c>
    </row>
    <row r="501" spans="1:4" x14ac:dyDescent="0.35">
      <c r="A501" t="str">
        <f t="shared" si="7"/>
        <v>61Beta</v>
      </c>
      <c r="B501">
        <v>61</v>
      </c>
      <c r="C501" s="9" t="s">
        <v>24</v>
      </c>
      <c r="D501" s="8">
        <v>4.0000000000000001E-3</v>
      </c>
    </row>
    <row r="502" spans="1:4" x14ac:dyDescent="0.35">
      <c r="A502" t="str">
        <f t="shared" si="7"/>
        <v>61Annual Standard Deviation</v>
      </c>
      <c r="B502">
        <v>61</v>
      </c>
      <c r="C502" s="9" t="s">
        <v>35</v>
      </c>
      <c r="D502" s="8">
        <v>1.4E-2</v>
      </c>
    </row>
    <row r="503" spans="1:4" x14ac:dyDescent="0.35">
      <c r="A503" t="str">
        <f t="shared" si="7"/>
        <v>61Annual Variance</v>
      </c>
      <c r="B503">
        <v>61</v>
      </c>
      <c r="C503" s="9" t="s">
        <v>36</v>
      </c>
      <c r="D503" s="8">
        <v>0</v>
      </c>
    </row>
    <row r="504" spans="1:4" x14ac:dyDescent="0.35">
      <c r="A504" t="str">
        <f t="shared" si="7"/>
        <v>61Information Ratio</v>
      </c>
      <c r="B504">
        <v>61</v>
      </c>
      <c r="C504" s="9" t="s">
        <v>37</v>
      </c>
      <c r="D504" s="8">
        <v>-0.64900000000000002</v>
      </c>
    </row>
    <row r="505" spans="1:4" x14ac:dyDescent="0.35">
      <c r="A505" t="str">
        <f t="shared" si="7"/>
        <v>61Tracking Error</v>
      </c>
      <c r="B505">
        <v>61</v>
      </c>
      <c r="C505" s="9" t="s">
        <v>38</v>
      </c>
      <c r="D505" s="8">
        <v>6.8000000000000005E-2</v>
      </c>
    </row>
    <row r="506" spans="1:4" x14ac:dyDescent="0.35">
      <c r="A506" t="str">
        <f t="shared" si="7"/>
        <v>61Treynor Ratio</v>
      </c>
      <c r="B506">
        <v>61</v>
      </c>
      <c r="C506" s="9" t="s">
        <v>39</v>
      </c>
      <c r="D506" s="8">
        <v>4.5309999999999997</v>
      </c>
    </row>
    <row r="507" spans="1:4" x14ac:dyDescent="0.35">
      <c r="A507" t="str">
        <f t="shared" si="7"/>
        <v>61Total Fees</v>
      </c>
      <c r="B507">
        <v>61</v>
      </c>
      <c r="C507" s="9" t="s">
        <v>40</v>
      </c>
      <c r="D507" s="8">
        <v>0</v>
      </c>
    </row>
    <row r="508" spans="1:4" x14ac:dyDescent="0.35">
      <c r="A508" t="str">
        <f t="shared" si="7"/>
        <v>61Estimated Strategy Capacity</v>
      </c>
      <c r="B508">
        <v>61</v>
      </c>
      <c r="C508" s="9" t="s">
        <v>41</v>
      </c>
      <c r="D508" s="8">
        <v>21000000</v>
      </c>
    </row>
    <row r="509" spans="1:4" x14ac:dyDescent="0.35">
      <c r="A509" t="str">
        <f t="shared" si="7"/>
        <v>62PSR</v>
      </c>
      <c r="B509">
        <v>62</v>
      </c>
      <c r="C509" s="9" t="s">
        <v>27</v>
      </c>
      <c r="D509" s="8">
        <v>0.66590000000000005</v>
      </c>
    </row>
    <row r="510" spans="1:4" x14ac:dyDescent="0.35">
      <c r="A510" t="str">
        <f t="shared" si="7"/>
        <v>62Sharpe Ratio</v>
      </c>
      <c r="B510">
        <v>62</v>
      </c>
      <c r="C510" s="9" t="s">
        <v>1</v>
      </c>
      <c r="D510" s="8">
        <v>1.5549999999999999</v>
      </c>
    </row>
    <row r="511" spans="1:4" x14ac:dyDescent="0.35">
      <c r="A511" t="str">
        <f t="shared" si="7"/>
        <v>62Total Trades</v>
      </c>
      <c r="B511">
        <v>62</v>
      </c>
      <c r="C511" s="9" t="s">
        <v>28</v>
      </c>
      <c r="D511" s="8">
        <v>386</v>
      </c>
    </row>
    <row r="512" spans="1:4" x14ac:dyDescent="0.35">
      <c r="A512" t="str">
        <f t="shared" si="7"/>
        <v>62Average Win</v>
      </c>
      <c r="B512">
        <v>62</v>
      </c>
      <c r="C512" s="9" t="s">
        <v>25</v>
      </c>
      <c r="D512" s="8">
        <v>3.7699999999999997E-2</v>
      </c>
    </row>
    <row r="513" spans="1:4" x14ac:dyDescent="0.35">
      <c r="A513" t="str">
        <f t="shared" si="7"/>
        <v>62Average Loss</v>
      </c>
      <c r="B513">
        <v>62</v>
      </c>
      <c r="C513" s="9" t="s">
        <v>29</v>
      </c>
      <c r="D513" s="8">
        <v>-2.9100000000000001E-2</v>
      </c>
    </row>
    <row r="514" spans="1:4" x14ac:dyDescent="0.35">
      <c r="A514" t="str">
        <f t="shared" si="7"/>
        <v>62Compounding Annual Return</v>
      </c>
      <c r="B514">
        <v>62</v>
      </c>
      <c r="C514" s="9" t="s">
        <v>30</v>
      </c>
      <c r="D514" s="8">
        <v>0.29536000000000001</v>
      </c>
    </row>
    <row r="515" spans="1:4" x14ac:dyDescent="0.35">
      <c r="A515" t="str">
        <f t="shared" ref="A515:A578" si="8">B515&amp;C515</f>
        <v>62Drawdown</v>
      </c>
      <c r="B515">
        <v>62</v>
      </c>
      <c r="C515" s="9" t="s">
        <v>8</v>
      </c>
      <c r="D515" s="8">
        <v>7.6999999999999999E-2</v>
      </c>
    </row>
    <row r="516" spans="1:4" x14ac:dyDescent="0.35">
      <c r="A516" t="str">
        <f t="shared" si="8"/>
        <v>62Expectancy</v>
      </c>
      <c r="B516">
        <v>62</v>
      </c>
      <c r="C516" s="9" t="s">
        <v>31</v>
      </c>
      <c r="D516" s="8">
        <v>0.53</v>
      </c>
    </row>
    <row r="517" spans="1:4" x14ac:dyDescent="0.35">
      <c r="A517" t="str">
        <f t="shared" si="8"/>
        <v>62Net Profit</v>
      </c>
      <c r="B517">
        <v>62</v>
      </c>
      <c r="C517" s="9" t="s">
        <v>32</v>
      </c>
      <c r="D517" s="8">
        <v>0.18210999999999999</v>
      </c>
    </row>
    <row r="518" spans="1:4" x14ac:dyDescent="0.35">
      <c r="A518" t="str">
        <f t="shared" si="8"/>
        <v>62Loss Rate</v>
      </c>
      <c r="B518">
        <v>62</v>
      </c>
      <c r="C518" s="9" t="s">
        <v>33</v>
      </c>
      <c r="D518" s="8">
        <v>0.33</v>
      </c>
    </row>
    <row r="519" spans="1:4" x14ac:dyDescent="0.35">
      <c r="A519" t="str">
        <f t="shared" si="8"/>
        <v>62Win Rate</v>
      </c>
      <c r="B519">
        <v>62</v>
      </c>
      <c r="C519" s="9" t="s">
        <v>34</v>
      </c>
      <c r="D519" s="8">
        <v>0.67</v>
      </c>
    </row>
    <row r="520" spans="1:4" x14ac:dyDescent="0.35">
      <c r="A520" t="str">
        <f t="shared" si="8"/>
        <v>62Profit-Loss Ratio</v>
      </c>
      <c r="B520">
        <v>62</v>
      </c>
      <c r="C520" s="9" t="s">
        <v>26</v>
      </c>
      <c r="D520" s="8">
        <v>1.29</v>
      </c>
    </row>
    <row r="521" spans="1:4" x14ac:dyDescent="0.35">
      <c r="A521" t="str">
        <f t="shared" si="8"/>
        <v>62Alpha</v>
      </c>
      <c r="B521">
        <v>62</v>
      </c>
      <c r="C521" s="9" t="s">
        <v>23</v>
      </c>
      <c r="D521" s="8">
        <v>0.20499999999999999</v>
      </c>
    </row>
    <row r="522" spans="1:4" x14ac:dyDescent="0.35">
      <c r="A522" t="str">
        <f t="shared" si="8"/>
        <v>62Beta</v>
      </c>
      <c r="B522">
        <v>62</v>
      </c>
      <c r="C522" s="9" t="s">
        <v>24</v>
      </c>
      <c r="D522" s="8">
        <v>3.4000000000000002E-2</v>
      </c>
    </row>
    <row r="523" spans="1:4" x14ac:dyDescent="0.35">
      <c r="A523" t="str">
        <f t="shared" si="8"/>
        <v>62Annual Standard Deviation</v>
      </c>
      <c r="B523">
        <v>62</v>
      </c>
      <c r="C523" s="9" t="s">
        <v>35</v>
      </c>
      <c r="D523" s="8">
        <v>0.13300000000000001</v>
      </c>
    </row>
    <row r="524" spans="1:4" x14ac:dyDescent="0.35">
      <c r="A524" t="str">
        <f t="shared" si="8"/>
        <v>62Annual Variance</v>
      </c>
      <c r="B524">
        <v>62</v>
      </c>
      <c r="C524" s="9" t="s">
        <v>36</v>
      </c>
      <c r="D524" s="8">
        <v>1.7999999999999999E-2</v>
      </c>
    </row>
    <row r="525" spans="1:4" x14ac:dyDescent="0.35">
      <c r="A525" t="str">
        <f t="shared" si="8"/>
        <v>62Information Ratio</v>
      </c>
      <c r="B525">
        <v>62</v>
      </c>
      <c r="C525" s="9" t="s">
        <v>37</v>
      </c>
      <c r="D525" s="8">
        <v>0.96899999999999997</v>
      </c>
    </row>
    <row r="526" spans="1:4" x14ac:dyDescent="0.35">
      <c r="A526" t="str">
        <f t="shared" si="8"/>
        <v>62Tracking Error</v>
      </c>
      <c r="B526">
        <v>62</v>
      </c>
      <c r="C526" s="9" t="s">
        <v>38</v>
      </c>
      <c r="D526" s="8">
        <v>0.14799999999999999</v>
      </c>
    </row>
    <row r="527" spans="1:4" x14ac:dyDescent="0.35">
      <c r="A527" t="str">
        <f t="shared" si="8"/>
        <v>62Treynor Ratio</v>
      </c>
      <c r="B527">
        <v>62</v>
      </c>
      <c r="C527" s="9" t="s">
        <v>39</v>
      </c>
      <c r="D527" s="8">
        <v>6.0049999999999999</v>
      </c>
    </row>
    <row r="528" spans="1:4" x14ac:dyDescent="0.35">
      <c r="A528" t="str">
        <f t="shared" si="8"/>
        <v>62Total Fees</v>
      </c>
      <c r="B528">
        <v>62</v>
      </c>
      <c r="C528" s="9" t="s">
        <v>40</v>
      </c>
      <c r="D528" s="8">
        <v>0</v>
      </c>
    </row>
    <row r="529" spans="1:4" x14ac:dyDescent="0.35">
      <c r="A529" t="str">
        <f t="shared" si="8"/>
        <v>62Estimated Strategy Capacity</v>
      </c>
      <c r="B529">
        <v>62</v>
      </c>
      <c r="C529" s="9" t="s">
        <v>41</v>
      </c>
      <c r="D529" s="8">
        <v>4800000</v>
      </c>
    </row>
    <row r="530" spans="1:4" x14ac:dyDescent="0.35">
      <c r="A530" t="str">
        <f t="shared" si="8"/>
        <v>63PSR</v>
      </c>
      <c r="B530">
        <v>63</v>
      </c>
      <c r="C530" s="9" t="s">
        <v>27</v>
      </c>
      <c r="D530" s="8">
        <v>0.68054999999999999</v>
      </c>
    </row>
    <row r="531" spans="1:4" x14ac:dyDescent="0.35">
      <c r="A531" t="str">
        <f t="shared" si="8"/>
        <v>63Sharpe Ratio</v>
      </c>
      <c r="B531">
        <v>63</v>
      </c>
      <c r="C531" s="9" t="s">
        <v>1</v>
      </c>
      <c r="D531" s="8">
        <v>2.2850000000000001</v>
      </c>
    </row>
    <row r="532" spans="1:4" x14ac:dyDescent="0.35">
      <c r="A532" t="str">
        <f t="shared" si="8"/>
        <v>63Total Trades</v>
      </c>
      <c r="B532">
        <v>63</v>
      </c>
      <c r="C532" s="9" t="s">
        <v>28</v>
      </c>
      <c r="D532" s="8">
        <v>385</v>
      </c>
    </row>
    <row r="533" spans="1:4" x14ac:dyDescent="0.35">
      <c r="A533" t="str">
        <f t="shared" si="8"/>
        <v>63Average Win</v>
      </c>
      <c r="B533">
        <v>63</v>
      </c>
      <c r="C533" s="9" t="s">
        <v>25</v>
      </c>
      <c r="D533" s="8">
        <v>0.18360000000000001</v>
      </c>
    </row>
    <row r="534" spans="1:4" x14ac:dyDescent="0.35">
      <c r="A534" t="str">
        <f t="shared" si="8"/>
        <v>63Average Loss</v>
      </c>
      <c r="B534">
        <v>63</v>
      </c>
      <c r="C534" s="9" t="s">
        <v>29</v>
      </c>
      <c r="D534" s="8">
        <v>-0.1255</v>
      </c>
    </row>
    <row r="535" spans="1:4" x14ac:dyDescent="0.35">
      <c r="A535" t="str">
        <f t="shared" si="8"/>
        <v>63Compounding Annual Return</v>
      </c>
      <c r="B535">
        <v>63</v>
      </c>
      <c r="C535" s="9" t="s">
        <v>30</v>
      </c>
      <c r="D535" s="8">
        <v>1.7191399999999999</v>
      </c>
    </row>
    <row r="536" spans="1:4" x14ac:dyDescent="0.35">
      <c r="A536" t="str">
        <f t="shared" si="8"/>
        <v>63Drawdown</v>
      </c>
      <c r="B536">
        <v>63</v>
      </c>
      <c r="C536" s="9" t="s">
        <v>8</v>
      </c>
      <c r="D536" s="8">
        <v>0.30099999999999999</v>
      </c>
    </row>
    <row r="537" spans="1:4" x14ac:dyDescent="0.35">
      <c r="A537" t="str">
        <f t="shared" si="8"/>
        <v>63Expectancy</v>
      </c>
      <c r="B537">
        <v>63</v>
      </c>
      <c r="C537" s="9" t="s">
        <v>31</v>
      </c>
      <c r="D537" s="8">
        <v>0.64200000000000002</v>
      </c>
    </row>
    <row r="538" spans="1:4" x14ac:dyDescent="0.35">
      <c r="A538" t="str">
        <f t="shared" si="8"/>
        <v>63Net Profit</v>
      </c>
      <c r="B538">
        <v>63</v>
      </c>
      <c r="C538" s="9" t="s">
        <v>32</v>
      </c>
      <c r="D538" s="8">
        <v>0.90915999999999997</v>
      </c>
    </row>
    <row r="539" spans="1:4" x14ac:dyDescent="0.35">
      <c r="A539" t="str">
        <f t="shared" si="8"/>
        <v>63Loss Rate</v>
      </c>
      <c r="B539">
        <v>63</v>
      </c>
      <c r="C539" s="9" t="s">
        <v>33</v>
      </c>
      <c r="D539" s="8">
        <v>0.33</v>
      </c>
    </row>
    <row r="540" spans="1:4" x14ac:dyDescent="0.35">
      <c r="A540" t="str">
        <f t="shared" si="8"/>
        <v>63Win Rate</v>
      </c>
      <c r="B540">
        <v>63</v>
      </c>
      <c r="C540" s="9" t="s">
        <v>34</v>
      </c>
      <c r="D540" s="8">
        <v>0.67</v>
      </c>
    </row>
    <row r="541" spans="1:4" x14ac:dyDescent="0.35">
      <c r="A541" t="str">
        <f t="shared" si="8"/>
        <v>63Profit-Loss Ratio</v>
      </c>
      <c r="B541">
        <v>63</v>
      </c>
      <c r="C541" s="9" t="s">
        <v>26</v>
      </c>
      <c r="D541" s="8">
        <v>1.46</v>
      </c>
    </row>
    <row r="542" spans="1:4" x14ac:dyDescent="0.35">
      <c r="A542" t="str">
        <f t="shared" si="8"/>
        <v>63Alpha</v>
      </c>
      <c r="B542">
        <v>63</v>
      </c>
      <c r="C542" s="9" t="s">
        <v>23</v>
      </c>
      <c r="D542" s="8">
        <v>1.371</v>
      </c>
    </row>
    <row r="543" spans="1:4" x14ac:dyDescent="0.35">
      <c r="A543" t="str">
        <f t="shared" si="8"/>
        <v>63Beta</v>
      </c>
      <c r="B543">
        <v>63</v>
      </c>
      <c r="C543" s="9" t="s">
        <v>24</v>
      </c>
      <c r="D543" s="8">
        <v>1.2E-2</v>
      </c>
    </row>
    <row r="544" spans="1:4" x14ac:dyDescent="0.35">
      <c r="A544" t="str">
        <f t="shared" si="8"/>
        <v>63Annual Standard Deviation</v>
      </c>
      <c r="B544">
        <v>63</v>
      </c>
      <c r="C544" s="9" t="s">
        <v>35</v>
      </c>
      <c r="D544" s="8">
        <v>0.6</v>
      </c>
    </row>
    <row r="545" spans="1:4" x14ac:dyDescent="0.35">
      <c r="A545" t="str">
        <f t="shared" si="8"/>
        <v>63Annual Variance</v>
      </c>
      <c r="B545">
        <v>63</v>
      </c>
      <c r="C545" s="9" t="s">
        <v>36</v>
      </c>
      <c r="D545" s="8">
        <v>0.36</v>
      </c>
    </row>
    <row r="546" spans="1:4" x14ac:dyDescent="0.35">
      <c r="A546" t="str">
        <f t="shared" si="8"/>
        <v>63Information Ratio</v>
      </c>
      <c r="B546">
        <v>63</v>
      </c>
      <c r="C546" s="9" t="s">
        <v>37</v>
      </c>
      <c r="D546" s="8">
        <v>2.1659999999999999</v>
      </c>
    </row>
    <row r="547" spans="1:4" x14ac:dyDescent="0.35">
      <c r="A547" t="str">
        <f t="shared" si="8"/>
        <v>63Tracking Error</v>
      </c>
      <c r="B547">
        <v>63</v>
      </c>
      <c r="C547" s="9" t="s">
        <v>38</v>
      </c>
      <c r="D547" s="8">
        <v>0.60399999999999998</v>
      </c>
    </row>
    <row r="548" spans="1:4" x14ac:dyDescent="0.35">
      <c r="A548" t="str">
        <f t="shared" si="8"/>
        <v>63Treynor Ratio</v>
      </c>
      <c r="B548">
        <v>63</v>
      </c>
      <c r="C548" s="9" t="s">
        <v>39</v>
      </c>
      <c r="D548" s="8">
        <v>110.32299999999999</v>
      </c>
    </row>
    <row r="549" spans="1:4" x14ac:dyDescent="0.35">
      <c r="A549" t="str">
        <f t="shared" si="8"/>
        <v>63Total Fees</v>
      </c>
      <c r="B549">
        <v>63</v>
      </c>
      <c r="C549" s="9" t="s">
        <v>40</v>
      </c>
      <c r="D549" s="8">
        <v>0</v>
      </c>
    </row>
    <row r="550" spans="1:4" x14ac:dyDescent="0.35">
      <c r="A550" t="str">
        <f t="shared" si="8"/>
        <v>63Estimated Strategy Capacity</v>
      </c>
      <c r="B550">
        <v>63</v>
      </c>
      <c r="C550" s="9" t="s">
        <v>41</v>
      </c>
      <c r="D550" s="8">
        <v>2400000</v>
      </c>
    </row>
    <row r="551" spans="1:4" x14ac:dyDescent="0.35">
      <c r="A551" t="str">
        <f t="shared" si="8"/>
        <v>82PSR</v>
      </c>
      <c r="B551">
        <v>82</v>
      </c>
      <c r="C551" s="9" t="s">
        <v>27</v>
      </c>
      <c r="D551" s="8">
        <v>0.76280000000000003</v>
      </c>
    </row>
    <row r="552" spans="1:4" x14ac:dyDescent="0.35">
      <c r="A552" t="str">
        <f t="shared" si="8"/>
        <v>82Sharpe Ratio</v>
      </c>
      <c r="B552">
        <v>82</v>
      </c>
      <c r="C552" s="9" t="s">
        <v>1</v>
      </c>
      <c r="D552" s="8">
        <v>1.7230000000000001</v>
      </c>
    </row>
    <row r="553" spans="1:4" x14ac:dyDescent="0.35">
      <c r="A553" t="str">
        <f t="shared" si="8"/>
        <v>82Total Trades</v>
      </c>
      <c r="B553">
        <v>82</v>
      </c>
      <c r="C553" s="9" t="s">
        <v>28</v>
      </c>
      <c r="D553" s="8">
        <v>893</v>
      </c>
    </row>
    <row r="554" spans="1:4" x14ac:dyDescent="0.35">
      <c r="A554" t="str">
        <f t="shared" si="8"/>
        <v>82Average Win</v>
      </c>
      <c r="B554">
        <v>82</v>
      </c>
      <c r="C554" s="9" t="s">
        <v>25</v>
      </c>
      <c r="D554" s="8">
        <v>2.2000000000000001E-3</v>
      </c>
    </row>
    <row r="555" spans="1:4" x14ac:dyDescent="0.35">
      <c r="A555" t="str">
        <f t="shared" si="8"/>
        <v>82Average Loss</v>
      </c>
      <c r="B555">
        <v>82</v>
      </c>
      <c r="C555" s="9" t="s">
        <v>29</v>
      </c>
      <c r="D555" s="8">
        <v>-1.4E-3</v>
      </c>
    </row>
    <row r="556" spans="1:4" x14ac:dyDescent="0.35">
      <c r="A556" t="str">
        <f t="shared" si="8"/>
        <v>82Compounding Annual Return</v>
      </c>
      <c r="B556">
        <v>82</v>
      </c>
      <c r="C556" s="9" t="s">
        <v>30</v>
      </c>
      <c r="D556" s="8">
        <v>3.4130000000000001E-2</v>
      </c>
    </row>
    <row r="557" spans="1:4" x14ac:dyDescent="0.35">
      <c r="A557" t="str">
        <f t="shared" si="8"/>
        <v>82Drawdown</v>
      </c>
      <c r="B557">
        <v>82</v>
      </c>
      <c r="C557" s="9" t="s">
        <v>8</v>
      </c>
      <c r="D557" s="8">
        <v>8.9999999999999993E-3</v>
      </c>
    </row>
    <row r="558" spans="1:4" x14ac:dyDescent="0.35">
      <c r="A558" t="str">
        <f t="shared" si="8"/>
        <v>82Expectancy</v>
      </c>
      <c r="B558">
        <v>82</v>
      </c>
      <c r="C558" s="9" t="s">
        <v>31</v>
      </c>
      <c r="D558" s="8">
        <v>0.55300000000000005</v>
      </c>
    </row>
    <row r="559" spans="1:4" x14ac:dyDescent="0.35">
      <c r="A559" t="str">
        <f t="shared" si="8"/>
        <v>82Net Profit</v>
      </c>
      <c r="B559">
        <v>82</v>
      </c>
      <c r="C559" s="9" t="s">
        <v>32</v>
      </c>
      <c r="D559" s="8">
        <v>2.1930000000000002E-2</v>
      </c>
    </row>
    <row r="560" spans="1:4" x14ac:dyDescent="0.35">
      <c r="A560" t="str">
        <f t="shared" si="8"/>
        <v>82Loss Rate</v>
      </c>
      <c r="B560">
        <v>82</v>
      </c>
      <c r="C560" s="9" t="s">
        <v>33</v>
      </c>
      <c r="D560" s="8">
        <v>0.38</v>
      </c>
    </row>
    <row r="561" spans="1:4" x14ac:dyDescent="0.35">
      <c r="A561" t="str">
        <f t="shared" si="8"/>
        <v>82Win Rate</v>
      </c>
      <c r="B561">
        <v>82</v>
      </c>
      <c r="C561" s="9" t="s">
        <v>34</v>
      </c>
      <c r="D561" s="8">
        <v>0.62</v>
      </c>
    </row>
    <row r="562" spans="1:4" x14ac:dyDescent="0.35">
      <c r="A562" t="str">
        <f t="shared" si="8"/>
        <v>82Profit-Loss Ratio</v>
      </c>
      <c r="B562">
        <v>82</v>
      </c>
      <c r="C562" s="9" t="s">
        <v>26</v>
      </c>
      <c r="D562" s="8">
        <v>1.5</v>
      </c>
    </row>
    <row r="563" spans="1:4" x14ac:dyDescent="0.35">
      <c r="A563" t="str">
        <f t="shared" si="8"/>
        <v>82Alpha</v>
      </c>
      <c r="B563">
        <v>82</v>
      </c>
      <c r="C563" s="9" t="s">
        <v>23</v>
      </c>
      <c r="D563" s="8">
        <v>1.9E-2</v>
      </c>
    </row>
    <row r="564" spans="1:4" x14ac:dyDescent="0.35">
      <c r="A564" t="str">
        <f t="shared" si="8"/>
        <v>82Beta</v>
      </c>
      <c r="B564">
        <v>82</v>
      </c>
      <c r="C564" s="9" t="s">
        <v>24</v>
      </c>
      <c r="D564" s="8">
        <v>7.1999999999999995E-2</v>
      </c>
    </row>
    <row r="565" spans="1:4" x14ac:dyDescent="0.35">
      <c r="A565" t="str">
        <f t="shared" si="8"/>
        <v>82Annual Standard Deviation</v>
      </c>
      <c r="B565">
        <v>82</v>
      </c>
      <c r="C565" s="9" t="s">
        <v>35</v>
      </c>
      <c r="D565" s="8">
        <v>1.4E-2</v>
      </c>
    </row>
    <row r="566" spans="1:4" x14ac:dyDescent="0.35">
      <c r="A566" t="str">
        <f t="shared" si="8"/>
        <v>82Annual Variance</v>
      </c>
      <c r="B566">
        <v>82</v>
      </c>
      <c r="C566" s="9" t="s">
        <v>36</v>
      </c>
      <c r="D566" s="8">
        <v>0</v>
      </c>
    </row>
    <row r="567" spans="1:4" x14ac:dyDescent="0.35">
      <c r="A567" t="str">
        <f t="shared" si="8"/>
        <v>82Information Ratio</v>
      </c>
      <c r="B567">
        <v>82</v>
      </c>
      <c r="C567" s="9" t="s">
        <v>37</v>
      </c>
      <c r="D567" s="8">
        <v>-0.63300000000000001</v>
      </c>
    </row>
    <row r="568" spans="1:4" x14ac:dyDescent="0.35">
      <c r="A568" t="str">
        <f t="shared" si="8"/>
        <v>82Tracking Error</v>
      </c>
      <c r="B568">
        <v>82</v>
      </c>
      <c r="C568" s="9" t="s">
        <v>38</v>
      </c>
      <c r="D568" s="8">
        <v>6.3E-2</v>
      </c>
    </row>
    <row r="569" spans="1:4" x14ac:dyDescent="0.35">
      <c r="A569" t="str">
        <f t="shared" si="8"/>
        <v>82Treynor Ratio</v>
      </c>
      <c r="B569">
        <v>82</v>
      </c>
      <c r="C569" s="9" t="s">
        <v>39</v>
      </c>
      <c r="D569" s="8">
        <v>0.32900000000000001</v>
      </c>
    </row>
    <row r="570" spans="1:4" x14ac:dyDescent="0.35">
      <c r="A570" t="str">
        <f t="shared" si="8"/>
        <v>82Total Fees</v>
      </c>
      <c r="B570">
        <v>82</v>
      </c>
      <c r="C570" s="9" t="s">
        <v>40</v>
      </c>
      <c r="D570" s="8">
        <v>0</v>
      </c>
    </row>
    <row r="571" spans="1:4" x14ac:dyDescent="0.35">
      <c r="A571" t="str">
        <f t="shared" si="8"/>
        <v>82Estimated Strategy Capacity</v>
      </c>
      <c r="B571">
        <v>82</v>
      </c>
      <c r="C571" s="9" t="s">
        <v>41</v>
      </c>
      <c r="D571" s="8">
        <v>25000000</v>
      </c>
    </row>
    <row r="572" spans="1:4" x14ac:dyDescent="0.35">
      <c r="A572" t="str">
        <f t="shared" si="8"/>
        <v>83PSR</v>
      </c>
      <c r="B572">
        <v>83</v>
      </c>
      <c r="C572" s="9" t="s">
        <v>27</v>
      </c>
      <c r="D572" s="8">
        <v>0.77276</v>
      </c>
    </row>
    <row r="573" spans="1:4" x14ac:dyDescent="0.35">
      <c r="A573" t="str">
        <f t="shared" si="8"/>
        <v>83Sharpe Ratio</v>
      </c>
      <c r="B573">
        <v>83</v>
      </c>
      <c r="C573" s="9" t="s">
        <v>1</v>
      </c>
      <c r="D573" s="8">
        <v>1.9350000000000001</v>
      </c>
    </row>
    <row r="574" spans="1:4" x14ac:dyDescent="0.35">
      <c r="A574" t="str">
        <f t="shared" si="8"/>
        <v>83Total Trades</v>
      </c>
      <c r="B574">
        <v>83</v>
      </c>
      <c r="C574" s="9" t="s">
        <v>28</v>
      </c>
      <c r="D574" s="8">
        <v>893</v>
      </c>
    </row>
    <row r="575" spans="1:4" x14ac:dyDescent="0.35">
      <c r="A575" t="str">
        <f t="shared" si="8"/>
        <v>83Average Win</v>
      </c>
      <c r="B575">
        <v>83</v>
      </c>
      <c r="C575" s="9" t="s">
        <v>25</v>
      </c>
      <c r="D575" s="8">
        <v>2.0299999999999999E-2</v>
      </c>
    </row>
    <row r="576" spans="1:4" x14ac:dyDescent="0.35">
      <c r="A576" t="str">
        <f t="shared" si="8"/>
        <v>83Average Loss</v>
      </c>
      <c r="B576">
        <v>83</v>
      </c>
      <c r="C576" s="9" t="s">
        <v>29</v>
      </c>
      <c r="D576" s="8">
        <v>-1.34E-2</v>
      </c>
    </row>
    <row r="577" spans="1:4" x14ac:dyDescent="0.35">
      <c r="A577" t="str">
        <f t="shared" si="8"/>
        <v>83Compounding Annual Return</v>
      </c>
      <c r="B577">
        <v>83</v>
      </c>
      <c r="C577" s="9" t="s">
        <v>30</v>
      </c>
      <c r="D577" s="8">
        <v>0.35898000000000002</v>
      </c>
    </row>
    <row r="578" spans="1:4" x14ac:dyDescent="0.35">
      <c r="A578" t="str">
        <f t="shared" si="8"/>
        <v>83Drawdown</v>
      </c>
      <c r="B578">
        <v>83</v>
      </c>
      <c r="C578" s="9" t="s">
        <v>8</v>
      </c>
      <c r="D578" s="8">
        <v>8.2000000000000003E-2</v>
      </c>
    </row>
    <row r="579" spans="1:4" x14ac:dyDescent="0.35">
      <c r="A579" t="str">
        <f t="shared" ref="A579:A642" si="9">B579&amp;C579</f>
        <v>83Expectancy</v>
      </c>
      <c r="B579">
        <v>83</v>
      </c>
      <c r="C579" s="9" t="s">
        <v>31</v>
      </c>
      <c r="D579" s="8">
        <v>0.56299999999999994</v>
      </c>
    </row>
    <row r="580" spans="1:4" x14ac:dyDescent="0.35">
      <c r="A580" t="str">
        <f t="shared" si="9"/>
        <v>83Net Profit</v>
      </c>
      <c r="B580">
        <v>83</v>
      </c>
      <c r="C580" s="9" t="s">
        <v>32</v>
      </c>
      <c r="D580" s="8">
        <v>0.21931999999999999</v>
      </c>
    </row>
    <row r="581" spans="1:4" x14ac:dyDescent="0.35">
      <c r="A581" t="str">
        <f t="shared" si="9"/>
        <v>83Loss Rate</v>
      </c>
      <c r="B581">
        <v>83</v>
      </c>
      <c r="C581" s="9" t="s">
        <v>33</v>
      </c>
      <c r="D581" s="8">
        <v>0.38</v>
      </c>
    </row>
    <row r="582" spans="1:4" x14ac:dyDescent="0.35">
      <c r="A582" t="str">
        <f t="shared" si="9"/>
        <v>83Win Rate</v>
      </c>
      <c r="B582">
        <v>83</v>
      </c>
      <c r="C582" s="9" t="s">
        <v>34</v>
      </c>
      <c r="D582" s="8">
        <v>0.62</v>
      </c>
    </row>
    <row r="583" spans="1:4" x14ac:dyDescent="0.35">
      <c r="A583" t="str">
        <f t="shared" si="9"/>
        <v>83Profit-Loss Ratio</v>
      </c>
      <c r="B583">
        <v>83</v>
      </c>
      <c r="C583" s="9" t="s">
        <v>26</v>
      </c>
      <c r="D583" s="8">
        <v>1.52</v>
      </c>
    </row>
    <row r="584" spans="1:4" x14ac:dyDescent="0.35">
      <c r="A584" t="str">
        <f t="shared" si="9"/>
        <v>83Alpha</v>
      </c>
      <c r="B584">
        <v>83</v>
      </c>
      <c r="C584" s="9" t="s">
        <v>23</v>
      </c>
      <c r="D584" s="8">
        <v>0.20499999999999999</v>
      </c>
    </row>
    <row r="585" spans="1:4" x14ac:dyDescent="0.35">
      <c r="A585" t="str">
        <f t="shared" si="9"/>
        <v>83Beta</v>
      </c>
      <c r="B585">
        <v>83</v>
      </c>
      <c r="C585" s="9" t="s">
        <v>24</v>
      </c>
      <c r="D585" s="8">
        <v>0.65900000000000003</v>
      </c>
    </row>
    <row r="586" spans="1:4" x14ac:dyDescent="0.35">
      <c r="A586" t="str">
        <f t="shared" si="9"/>
        <v>83Annual Standard Deviation</v>
      </c>
      <c r="B586">
        <v>83</v>
      </c>
      <c r="C586" s="9" t="s">
        <v>35</v>
      </c>
      <c r="D586" s="8">
        <v>0.128</v>
      </c>
    </row>
    <row r="587" spans="1:4" x14ac:dyDescent="0.35">
      <c r="A587" t="str">
        <f t="shared" si="9"/>
        <v>83Annual Variance</v>
      </c>
      <c r="B587">
        <v>83</v>
      </c>
      <c r="C587" s="9" t="s">
        <v>36</v>
      </c>
      <c r="D587" s="8">
        <v>1.6E-2</v>
      </c>
    </row>
    <row r="588" spans="1:4" x14ac:dyDescent="0.35">
      <c r="A588" t="str">
        <f t="shared" si="9"/>
        <v>83Information Ratio</v>
      </c>
      <c r="B588">
        <v>83</v>
      </c>
      <c r="C588" s="9" t="s">
        <v>37</v>
      </c>
      <c r="D588" s="8">
        <v>1.502</v>
      </c>
    </row>
    <row r="589" spans="1:4" x14ac:dyDescent="0.35">
      <c r="A589" t="str">
        <f t="shared" si="9"/>
        <v>83Tracking Error</v>
      </c>
      <c r="B589">
        <v>83</v>
      </c>
      <c r="C589" s="9" t="s">
        <v>38</v>
      </c>
      <c r="D589" s="8">
        <v>0.122</v>
      </c>
    </row>
    <row r="590" spans="1:4" x14ac:dyDescent="0.35">
      <c r="A590" t="str">
        <f t="shared" si="9"/>
        <v>83Treynor Ratio</v>
      </c>
      <c r="B590">
        <v>83</v>
      </c>
      <c r="C590" s="9" t="s">
        <v>39</v>
      </c>
      <c r="D590" s="8">
        <v>0.375</v>
      </c>
    </row>
    <row r="591" spans="1:4" x14ac:dyDescent="0.35">
      <c r="A591" t="str">
        <f t="shared" si="9"/>
        <v>83Total Fees</v>
      </c>
      <c r="B591">
        <v>83</v>
      </c>
      <c r="C591" s="9" t="s">
        <v>40</v>
      </c>
      <c r="D591" s="8">
        <v>0</v>
      </c>
    </row>
    <row r="592" spans="1:4" x14ac:dyDescent="0.35">
      <c r="A592" t="str">
        <f t="shared" si="9"/>
        <v>83Estimated Strategy Capacity</v>
      </c>
      <c r="B592">
        <v>83</v>
      </c>
      <c r="C592" s="9" t="s">
        <v>41</v>
      </c>
      <c r="D592" s="8">
        <v>5000000</v>
      </c>
    </row>
    <row r="593" spans="1:4" x14ac:dyDescent="0.35">
      <c r="A593" t="str">
        <f t="shared" si="9"/>
        <v>84PSR</v>
      </c>
      <c r="B593">
        <v>84</v>
      </c>
      <c r="C593" s="9" t="s">
        <v>27</v>
      </c>
      <c r="D593" s="8">
        <v>0.80110000000000003</v>
      </c>
    </row>
    <row r="594" spans="1:4" x14ac:dyDescent="0.35">
      <c r="A594" t="str">
        <f t="shared" si="9"/>
        <v>84Sharpe Ratio</v>
      </c>
      <c r="B594">
        <v>84</v>
      </c>
      <c r="C594" s="9" t="s">
        <v>1</v>
      </c>
      <c r="D594" s="8">
        <v>2.944</v>
      </c>
    </row>
    <row r="595" spans="1:4" x14ac:dyDescent="0.35">
      <c r="A595" t="str">
        <f t="shared" si="9"/>
        <v>84Total Trades</v>
      </c>
      <c r="B595">
        <v>84</v>
      </c>
      <c r="C595" s="9" t="s">
        <v>28</v>
      </c>
      <c r="D595" s="8">
        <v>893</v>
      </c>
    </row>
    <row r="596" spans="1:4" x14ac:dyDescent="0.35">
      <c r="A596" t="str">
        <f t="shared" si="9"/>
        <v>84Average Win</v>
      </c>
      <c r="B596">
        <v>84</v>
      </c>
      <c r="C596" s="9" t="s">
        <v>25</v>
      </c>
      <c r="D596" s="8">
        <v>8.2299999999999998E-2</v>
      </c>
    </row>
    <row r="597" spans="1:4" x14ac:dyDescent="0.35">
      <c r="A597" t="str">
        <f t="shared" si="9"/>
        <v>84Average Loss</v>
      </c>
      <c r="B597">
        <v>84</v>
      </c>
      <c r="C597" s="9" t="s">
        <v>29</v>
      </c>
      <c r="D597" s="8">
        <v>-5.1799999999999999E-2</v>
      </c>
    </row>
    <row r="598" spans="1:4" x14ac:dyDescent="0.35">
      <c r="A598" t="str">
        <f t="shared" si="9"/>
        <v>84Compounding Annual Return</v>
      </c>
      <c r="B598">
        <v>84</v>
      </c>
      <c r="C598" s="9" t="s">
        <v>30</v>
      </c>
      <c r="D598" s="8">
        <v>2.14303</v>
      </c>
    </row>
    <row r="599" spans="1:4" x14ac:dyDescent="0.35">
      <c r="A599" t="str">
        <f t="shared" si="9"/>
        <v>84Drawdown</v>
      </c>
      <c r="B599">
        <v>84</v>
      </c>
      <c r="C599" s="9" t="s">
        <v>8</v>
      </c>
      <c r="D599" s="8">
        <v>0.32100000000000001</v>
      </c>
    </row>
    <row r="600" spans="1:4" x14ac:dyDescent="0.35">
      <c r="A600" t="str">
        <f t="shared" si="9"/>
        <v>84Expectancy</v>
      </c>
      <c r="B600">
        <v>84</v>
      </c>
      <c r="C600" s="9" t="s">
        <v>31</v>
      </c>
      <c r="D600" s="8">
        <v>0.60699999999999998</v>
      </c>
    </row>
    <row r="601" spans="1:4" x14ac:dyDescent="0.35">
      <c r="A601" t="str">
        <f t="shared" si="9"/>
        <v>84Net Profit</v>
      </c>
      <c r="B601">
        <v>84</v>
      </c>
      <c r="C601" s="9" t="s">
        <v>32</v>
      </c>
      <c r="D601" s="8">
        <v>1.0966</v>
      </c>
    </row>
    <row r="602" spans="1:4" x14ac:dyDescent="0.35">
      <c r="A602" t="str">
        <f t="shared" si="9"/>
        <v>84Loss Rate</v>
      </c>
      <c r="B602">
        <v>84</v>
      </c>
      <c r="C602" s="9" t="s">
        <v>33</v>
      </c>
      <c r="D602" s="8">
        <v>0.38</v>
      </c>
    </row>
    <row r="603" spans="1:4" x14ac:dyDescent="0.35">
      <c r="A603" t="str">
        <f t="shared" si="9"/>
        <v>84Win Rate</v>
      </c>
      <c r="B603">
        <v>84</v>
      </c>
      <c r="C603" s="9" t="s">
        <v>34</v>
      </c>
      <c r="D603" s="8">
        <v>0.62</v>
      </c>
    </row>
    <row r="604" spans="1:4" x14ac:dyDescent="0.35">
      <c r="A604" t="str">
        <f t="shared" si="9"/>
        <v>84Profit-Loss Ratio</v>
      </c>
      <c r="B604">
        <v>84</v>
      </c>
      <c r="C604" s="9" t="s">
        <v>26</v>
      </c>
      <c r="D604" s="8">
        <v>1.59</v>
      </c>
    </row>
    <row r="605" spans="1:4" x14ac:dyDescent="0.35">
      <c r="A605" t="str">
        <f t="shared" si="9"/>
        <v>84Alpha</v>
      </c>
      <c r="B605">
        <v>84</v>
      </c>
      <c r="C605" s="9" t="s">
        <v>23</v>
      </c>
      <c r="D605" s="8">
        <v>1.35</v>
      </c>
    </row>
    <row r="606" spans="1:4" x14ac:dyDescent="0.35">
      <c r="A606" t="str">
        <f t="shared" si="9"/>
        <v>84Beta</v>
      </c>
      <c r="B606">
        <v>84</v>
      </c>
      <c r="C606" s="9" t="s">
        <v>24</v>
      </c>
      <c r="D606" s="8">
        <v>2.468</v>
      </c>
    </row>
    <row r="607" spans="1:4" x14ac:dyDescent="0.35">
      <c r="A607" t="str">
        <f t="shared" si="9"/>
        <v>84Annual Standard Deviation</v>
      </c>
      <c r="B607">
        <v>84</v>
      </c>
      <c r="C607" s="9" t="s">
        <v>35</v>
      </c>
      <c r="D607" s="8">
        <v>0.51200000000000001</v>
      </c>
    </row>
    <row r="608" spans="1:4" x14ac:dyDescent="0.35">
      <c r="A608" t="str">
        <f t="shared" si="9"/>
        <v>84Annual Variance</v>
      </c>
      <c r="B608">
        <v>84</v>
      </c>
      <c r="C608" s="9" t="s">
        <v>36</v>
      </c>
      <c r="D608" s="8">
        <v>0.26200000000000001</v>
      </c>
    </row>
    <row r="609" spans="1:4" x14ac:dyDescent="0.35">
      <c r="A609" t="str">
        <f t="shared" si="9"/>
        <v>84Information Ratio</v>
      </c>
      <c r="B609">
        <v>84</v>
      </c>
      <c r="C609" s="9" t="s">
        <v>37</v>
      </c>
      <c r="D609" s="8">
        <v>2.919</v>
      </c>
    </row>
    <row r="610" spans="1:4" x14ac:dyDescent="0.35">
      <c r="A610" t="str">
        <f t="shared" si="9"/>
        <v>84Tracking Error</v>
      </c>
      <c r="B610">
        <v>84</v>
      </c>
      <c r="C610" s="9" t="s">
        <v>38</v>
      </c>
      <c r="D610" s="8">
        <v>0.495</v>
      </c>
    </row>
    <row r="611" spans="1:4" x14ac:dyDescent="0.35">
      <c r="A611" t="str">
        <f t="shared" si="9"/>
        <v>84Treynor Ratio</v>
      </c>
      <c r="B611">
        <v>84</v>
      </c>
      <c r="C611" s="9" t="s">
        <v>39</v>
      </c>
      <c r="D611" s="8">
        <v>0.61099999999999999</v>
      </c>
    </row>
    <row r="612" spans="1:4" x14ac:dyDescent="0.35">
      <c r="A612" t="str">
        <f t="shared" si="9"/>
        <v>84Total Fees</v>
      </c>
      <c r="B612">
        <v>84</v>
      </c>
      <c r="C612" s="9" t="s">
        <v>40</v>
      </c>
      <c r="D612" s="8">
        <v>0</v>
      </c>
    </row>
    <row r="613" spans="1:4" x14ac:dyDescent="0.35">
      <c r="A613" t="str">
        <f t="shared" si="9"/>
        <v>84Estimated Strategy Capacity</v>
      </c>
      <c r="B613">
        <v>84</v>
      </c>
      <c r="C613" s="9" t="s">
        <v>41</v>
      </c>
      <c r="D613" s="8">
        <v>2800000</v>
      </c>
    </row>
    <row r="614" spans="1:4" x14ac:dyDescent="0.35">
      <c r="A614" t="str">
        <f t="shared" si="9"/>
        <v>85PSR</v>
      </c>
      <c r="B614">
        <v>85</v>
      </c>
      <c r="C614" s="9" t="s">
        <v>27</v>
      </c>
      <c r="D614" s="8">
        <v>0.23429</v>
      </c>
    </row>
    <row r="615" spans="1:4" x14ac:dyDescent="0.35">
      <c r="A615" t="str">
        <f t="shared" si="9"/>
        <v>85Sharpe Ratio</v>
      </c>
      <c r="B615">
        <v>85</v>
      </c>
      <c r="C615" s="9" t="s">
        <v>1</v>
      </c>
      <c r="D615" s="8">
        <v>0.24299999999999999</v>
      </c>
    </row>
    <row r="616" spans="1:4" x14ac:dyDescent="0.35">
      <c r="A616" t="str">
        <f t="shared" si="9"/>
        <v>85Total Trades</v>
      </c>
      <c r="B616">
        <v>85</v>
      </c>
      <c r="C616" s="9" t="s">
        <v>28</v>
      </c>
      <c r="D616" s="8">
        <v>557</v>
      </c>
    </row>
    <row r="617" spans="1:4" x14ac:dyDescent="0.35">
      <c r="A617" t="str">
        <f t="shared" si="9"/>
        <v>85Average Win</v>
      </c>
      <c r="B617">
        <v>85</v>
      </c>
      <c r="C617" s="9" t="s">
        <v>25</v>
      </c>
      <c r="D617" s="8">
        <v>4.7999999999999996E-3</v>
      </c>
    </row>
    <row r="618" spans="1:4" x14ac:dyDescent="0.35">
      <c r="A618" t="str">
        <f t="shared" si="9"/>
        <v>85Average Loss</v>
      </c>
      <c r="B618">
        <v>85</v>
      </c>
      <c r="C618" s="9" t="s">
        <v>29</v>
      </c>
      <c r="D618" s="8">
        <v>-2.0999999999999999E-3</v>
      </c>
    </row>
    <row r="619" spans="1:4" x14ac:dyDescent="0.35">
      <c r="A619" t="str">
        <f t="shared" si="9"/>
        <v>85Compounding Annual Return</v>
      </c>
      <c r="B619">
        <v>85</v>
      </c>
      <c r="C619" s="9" t="s">
        <v>30</v>
      </c>
      <c r="D619" s="8">
        <v>5.5100000000000001E-3</v>
      </c>
    </row>
    <row r="620" spans="1:4" x14ac:dyDescent="0.35">
      <c r="A620" t="str">
        <f t="shared" si="9"/>
        <v>85Drawdown</v>
      </c>
      <c r="B620">
        <v>85</v>
      </c>
      <c r="C620" s="9" t="s">
        <v>8</v>
      </c>
      <c r="D620" s="8">
        <v>1.4E-2</v>
      </c>
    </row>
    <row r="621" spans="1:4" x14ac:dyDescent="0.35">
      <c r="A621" t="str">
        <f t="shared" si="9"/>
        <v>85Expectancy</v>
      </c>
      <c r="B621">
        <v>85</v>
      </c>
      <c r="C621" s="9" t="s">
        <v>31</v>
      </c>
      <c r="D621" s="8">
        <v>0.107</v>
      </c>
    </row>
    <row r="622" spans="1:4" x14ac:dyDescent="0.35">
      <c r="A622" t="str">
        <f t="shared" si="9"/>
        <v>85Net Profit</v>
      </c>
      <c r="B622">
        <v>85</v>
      </c>
      <c r="C622" s="9" t="s">
        <v>32</v>
      </c>
      <c r="D622" s="8">
        <v>3.5599999999999998E-3</v>
      </c>
    </row>
    <row r="623" spans="1:4" x14ac:dyDescent="0.35">
      <c r="A623" t="str">
        <f t="shared" si="9"/>
        <v>85Loss Rate</v>
      </c>
      <c r="B623">
        <v>85</v>
      </c>
      <c r="C623" s="9" t="s">
        <v>33</v>
      </c>
      <c r="D623" s="8">
        <v>0.67</v>
      </c>
    </row>
    <row r="624" spans="1:4" x14ac:dyDescent="0.35">
      <c r="A624" t="str">
        <f t="shared" si="9"/>
        <v>85Win Rate</v>
      </c>
      <c r="B624">
        <v>85</v>
      </c>
      <c r="C624" s="9" t="s">
        <v>34</v>
      </c>
      <c r="D624" s="8">
        <v>0.33</v>
      </c>
    </row>
    <row r="625" spans="1:4" x14ac:dyDescent="0.35">
      <c r="A625" t="str">
        <f t="shared" si="9"/>
        <v>85Profit-Loss Ratio</v>
      </c>
      <c r="B625">
        <v>85</v>
      </c>
      <c r="C625" s="9" t="s">
        <v>26</v>
      </c>
      <c r="D625" s="8">
        <v>2.3199999999999998</v>
      </c>
    </row>
    <row r="626" spans="1:4" x14ac:dyDescent="0.35">
      <c r="A626" t="str">
        <f t="shared" si="9"/>
        <v>85Alpha</v>
      </c>
      <c r="B626">
        <v>85</v>
      </c>
      <c r="C626" s="9" t="s">
        <v>23</v>
      </c>
      <c r="D626" s="8">
        <v>-2E-3</v>
      </c>
    </row>
    <row r="627" spans="1:4" x14ac:dyDescent="0.35">
      <c r="A627" t="str">
        <f t="shared" si="9"/>
        <v>85Beta</v>
      </c>
      <c r="B627">
        <v>85</v>
      </c>
      <c r="C627" s="9" t="s">
        <v>24</v>
      </c>
      <c r="D627" s="8">
        <v>9.2999999999999999E-2</v>
      </c>
    </row>
    <row r="628" spans="1:4" x14ac:dyDescent="0.35">
      <c r="A628" t="str">
        <f t="shared" si="9"/>
        <v>85Annual Standard Deviation</v>
      </c>
      <c r="B628">
        <v>85</v>
      </c>
      <c r="C628" s="9" t="s">
        <v>35</v>
      </c>
      <c r="D628" s="8">
        <v>1.6E-2</v>
      </c>
    </row>
    <row r="629" spans="1:4" x14ac:dyDescent="0.35">
      <c r="A629" t="str">
        <f t="shared" si="9"/>
        <v>85Annual Variance</v>
      </c>
      <c r="B629">
        <v>85</v>
      </c>
      <c r="C629" s="9" t="s">
        <v>36</v>
      </c>
      <c r="D629" s="8">
        <v>0</v>
      </c>
    </row>
    <row r="630" spans="1:4" x14ac:dyDescent="0.35">
      <c r="A630" t="str">
        <f t="shared" si="9"/>
        <v>85Information Ratio</v>
      </c>
      <c r="B630">
        <v>85</v>
      </c>
      <c r="C630" s="9" t="s">
        <v>37</v>
      </c>
      <c r="D630" s="8">
        <v>-0.95799999999999996</v>
      </c>
    </row>
    <row r="631" spans="1:4" x14ac:dyDescent="0.35">
      <c r="A631" t="str">
        <f t="shared" si="9"/>
        <v>85Tracking Error</v>
      </c>
      <c r="B631">
        <v>85</v>
      </c>
      <c r="C631" s="9" t="s">
        <v>38</v>
      </c>
      <c r="D631" s="8">
        <v>6.2E-2</v>
      </c>
    </row>
    <row r="632" spans="1:4" x14ac:dyDescent="0.35">
      <c r="A632" t="str">
        <f t="shared" si="9"/>
        <v>85Treynor Ratio</v>
      </c>
      <c r="B632">
        <v>85</v>
      </c>
      <c r="C632" s="9" t="s">
        <v>39</v>
      </c>
      <c r="D632" s="8">
        <v>4.2999999999999997E-2</v>
      </c>
    </row>
    <row r="633" spans="1:4" x14ac:dyDescent="0.35">
      <c r="A633" t="str">
        <f t="shared" si="9"/>
        <v>85Total Fees</v>
      </c>
      <c r="B633">
        <v>85</v>
      </c>
      <c r="C633" s="9" t="s">
        <v>40</v>
      </c>
      <c r="D633" s="8">
        <v>0</v>
      </c>
    </row>
    <row r="634" spans="1:4" x14ac:dyDescent="0.35">
      <c r="A634" t="str">
        <f t="shared" si="9"/>
        <v>85Estimated Strategy Capacity</v>
      </c>
      <c r="B634">
        <v>85</v>
      </c>
      <c r="C634" s="9" t="s">
        <v>41</v>
      </c>
      <c r="D634" s="8">
        <v>120000000</v>
      </c>
    </row>
    <row r="635" spans="1:4" x14ac:dyDescent="0.35">
      <c r="A635" t="str">
        <f t="shared" si="9"/>
        <v>86PSR</v>
      </c>
      <c r="B635">
        <v>86</v>
      </c>
      <c r="C635" s="9" t="s">
        <v>27</v>
      </c>
      <c r="D635" s="8">
        <v>0.25339</v>
      </c>
    </row>
    <row r="636" spans="1:4" x14ac:dyDescent="0.35">
      <c r="A636" t="str">
        <f t="shared" si="9"/>
        <v>86Sharpe Ratio</v>
      </c>
      <c r="B636">
        <v>86</v>
      </c>
      <c r="C636" s="9" t="s">
        <v>1</v>
      </c>
      <c r="D636" s="8">
        <v>0.315</v>
      </c>
    </row>
    <row r="637" spans="1:4" x14ac:dyDescent="0.35">
      <c r="A637" t="str">
        <f t="shared" si="9"/>
        <v>86Total Trades</v>
      </c>
      <c r="B637">
        <v>86</v>
      </c>
      <c r="C637" s="9" t="s">
        <v>28</v>
      </c>
      <c r="D637" s="8">
        <v>557</v>
      </c>
    </row>
    <row r="638" spans="1:4" x14ac:dyDescent="0.35">
      <c r="A638" t="str">
        <f t="shared" si="9"/>
        <v>86Average Win</v>
      </c>
      <c r="B638">
        <v>86</v>
      </c>
      <c r="C638" s="9" t="s">
        <v>25</v>
      </c>
      <c r="D638" s="8">
        <v>5.16E-2</v>
      </c>
    </row>
    <row r="639" spans="1:4" x14ac:dyDescent="0.35">
      <c r="A639" t="str">
        <f t="shared" si="9"/>
        <v>86Average Loss</v>
      </c>
      <c r="B639">
        <v>86</v>
      </c>
      <c r="C639" s="9" t="s">
        <v>29</v>
      </c>
      <c r="D639" s="8">
        <v>-2.1399999999999999E-2</v>
      </c>
    </row>
    <row r="640" spans="1:4" x14ac:dyDescent="0.35">
      <c r="A640" t="str">
        <f t="shared" si="9"/>
        <v>86Compounding Annual Return</v>
      </c>
      <c r="B640">
        <v>86</v>
      </c>
      <c r="C640" s="9" t="s">
        <v>30</v>
      </c>
      <c r="D640" s="8">
        <v>5.5599999999999997E-2</v>
      </c>
    </row>
    <row r="641" spans="1:4" x14ac:dyDescent="0.35">
      <c r="A641" t="str">
        <f t="shared" si="9"/>
        <v>86Drawdown</v>
      </c>
      <c r="B641">
        <v>86</v>
      </c>
      <c r="C641" s="9" t="s">
        <v>8</v>
      </c>
      <c r="D641" s="8">
        <v>0.13400000000000001</v>
      </c>
    </row>
    <row r="642" spans="1:4" x14ac:dyDescent="0.35">
      <c r="A642" t="str">
        <f t="shared" si="9"/>
        <v>86Expectancy</v>
      </c>
      <c r="B642">
        <v>86</v>
      </c>
      <c r="C642" s="9" t="s">
        <v>31</v>
      </c>
      <c r="D642" s="8">
        <v>0.13500000000000001</v>
      </c>
    </row>
    <row r="643" spans="1:4" x14ac:dyDescent="0.35">
      <c r="A643" t="str">
        <f t="shared" ref="A643:A706" si="10">B643&amp;C643</f>
        <v>86Net Profit</v>
      </c>
      <c r="B643">
        <v>86</v>
      </c>
      <c r="C643" s="9" t="s">
        <v>32</v>
      </c>
      <c r="D643" s="8">
        <v>3.56E-2</v>
      </c>
    </row>
    <row r="644" spans="1:4" x14ac:dyDescent="0.35">
      <c r="A644" t="str">
        <f t="shared" si="10"/>
        <v>86Loss Rate</v>
      </c>
      <c r="B644">
        <v>86</v>
      </c>
      <c r="C644" s="9" t="s">
        <v>33</v>
      </c>
      <c r="D644" s="8">
        <v>0.67</v>
      </c>
    </row>
    <row r="645" spans="1:4" x14ac:dyDescent="0.35">
      <c r="A645" t="str">
        <f t="shared" si="10"/>
        <v>86Win Rate</v>
      </c>
      <c r="B645">
        <v>86</v>
      </c>
      <c r="C645" s="9" t="s">
        <v>34</v>
      </c>
      <c r="D645" s="8">
        <v>0.33</v>
      </c>
    </row>
    <row r="646" spans="1:4" x14ac:dyDescent="0.35">
      <c r="A646" t="str">
        <f t="shared" si="10"/>
        <v>86Profit-Loss Ratio</v>
      </c>
      <c r="B646">
        <v>86</v>
      </c>
      <c r="C646" s="9" t="s">
        <v>26</v>
      </c>
      <c r="D646" s="8">
        <v>2.41</v>
      </c>
    </row>
    <row r="647" spans="1:4" x14ac:dyDescent="0.35">
      <c r="A647" t="str">
        <f t="shared" si="10"/>
        <v>86Alpha</v>
      </c>
      <c r="B647">
        <v>86</v>
      </c>
      <c r="C647" s="9" t="s">
        <v>23</v>
      </c>
      <c r="D647" s="8">
        <v>-8.9999999999999993E-3</v>
      </c>
    </row>
    <row r="648" spans="1:4" x14ac:dyDescent="0.35">
      <c r="A648" t="str">
        <f t="shared" si="10"/>
        <v>86Beta</v>
      </c>
      <c r="B648">
        <v>86</v>
      </c>
      <c r="C648" s="9" t="s">
        <v>24</v>
      </c>
      <c r="D648" s="8">
        <v>0.97499999999999998</v>
      </c>
    </row>
    <row r="649" spans="1:4" x14ac:dyDescent="0.35">
      <c r="A649" t="str">
        <f t="shared" si="10"/>
        <v>86Annual Standard Deviation</v>
      </c>
      <c r="B649">
        <v>86</v>
      </c>
      <c r="C649" s="9" t="s">
        <v>35</v>
      </c>
      <c r="D649" s="8">
        <v>0.16900000000000001</v>
      </c>
    </row>
    <row r="650" spans="1:4" x14ac:dyDescent="0.35">
      <c r="A650" t="str">
        <f t="shared" si="10"/>
        <v>86Annual Variance</v>
      </c>
      <c r="B650">
        <v>86</v>
      </c>
      <c r="C650" s="9" t="s">
        <v>36</v>
      </c>
      <c r="D650" s="8">
        <v>2.9000000000000001E-2</v>
      </c>
    </row>
    <row r="651" spans="1:4" x14ac:dyDescent="0.35">
      <c r="A651" t="str">
        <f t="shared" si="10"/>
        <v>86Information Ratio</v>
      </c>
      <c r="B651">
        <v>86</v>
      </c>
      <c r="C651" s="9" t="s">
        <v>37</v>
      </c>
      <c r="D651" s="8">
        <v>-6.8000000000000005E-2</v>
      </c>
    </row>
    <row r="652" spans="1:4" x14ac:dyDescent="0.35">
      <c r="A652" t="str">
        <f t="shared" si="10"/>
        <v>86Tracking Error</v>
      </c>
      <c r="B652">
        <v>86</v>
      </c>
      <c r="C652" s="9" t="s">
        <v>38</v>
      </c>
      <c r="D652" s="8">
        <v>0.156</v>
      </c>
    </row>
    <row r="653" spans="1:4" x14ac:dyDescent="0.35">
      <c r="A653" t="str">
        <f t="shared" si="10"/>
        <v>86Treynor Ratio</v>
      </c>
      <c r="B653">
        <v>86</v>
      </c>
      <c r="C653" s="9" t="s">
        <v>39</v>
      </c>
      <c r="D653" s="8">
        <v>5.3999999999999999E-2</v>
      </c>
    </row>
    <row r="654" spans="1:4" x14ac:dyDescent="0.35">
      <c r="A654" t="str">
        <f t="shared" si="10"/>
        <v>86Total Fees</v>
      </c>
      <c r="B654">
        <v>86</v>
      </c>
      <c r="C654" s="9" t="s">
        <v>40</v>
      </c>
      <c r="D654" s="8">
        <v>0</v>
      </c>
    </row>
    <row r="655" spans="1:4" x14ac:dyDescent="0.35">
      <c r="A655" t="str">
        <f t="shared" si="10"/>
        <v>86Estimated Strategy Capacity</v>
      </c>
      <c r="B655">
        <v>86</v>
      </c>
      <c r="C655" s="9" t="s">
        <v>41</v>
      </c>
      <c r="D655" s="8">
        <v>15000000</v>
      </c>
    </row>
    <row r="656" spans="1:4" x14ac:dyDescent="0.35">
      <c r="A656" t="str">
        <f t="shared" si="10"/>
        <v>87PSR</v>
      </c>
      <c r="B656">
        <v>87</v>
      </c>
      <c r="C656" s="9" t="s">
        <v>27</v>
      </c>
      <c r="D656" s="8">
        <v>0.30986999999999998</v>
      </c>
    </row>
    <row r="657" spans="1:4" x14ac:dyDescent="0.35">
      <c r="A657" t="str">
        <f t="shared" si="10"/>
        <v>87Sharpe Ratio</v>
      </c>
      <c r="B657">
        <v>87</v>
      </c>
      <c r="C657" s="9" t="s">
        <v>1</v>
      </c>
      <c r="D657" s="8">
        <v>0.61399999999999999</v>
      </c>
    </row>
    <row r="658" spans="1:4" x14ac:dyDescent="0.35">
      <c r="A658" t="str">
        <f t="shared" si="10"/>
        <v>87Total Trades</v>
      </c>
      <c r="B658">
        <v>87</v>
      </c>
      <c r="C658" s="9" t="s">
        <v>28</v>
      </c>
      <c r="D658" s="8">
        <v>541</v>
      </c>
    </row>
    <row r="659" spans="1:4" x14ac:dyDescent="0.35">
      <c r="A659" t="str">
        <f t="shared" si="10"/>
        <v>87Average Win</v>
      </c>
      <c r="B659">
        <v>87</v>
      </c>
      <c r="C659" s="9" t="s">
        <v>25</v>
      </c>
      <c r="D659" s="8">
        <v>0.25979999999999998</v>
      </c>
    </row>
    <row r="660" spans="1:4" x14ac:dyDescent="0.35">
      <c r="A660" t="str">
        <f t="shared" si="10"/>
        <v>87Average Loss</v>
      </c>
      <c r="B660">
        <v>87</v>
      </c>
      <c r="C660" s="9" t="s">
        <v>29</v>
      </c>
      <c r="D660" s="8">
        <v>-9.8299999999999998E-2</v>
      </c>
    </row>
    <row r="661" spans="1:4" x14ac:dyDescent="0.35">
      <c r="A661" t="str">
        <f t="shared" si="10"/>
        <v>87Compounding Annual Return</v>
      </c>
      <c r="B661">
        <v>87</v>
      </c>
      <c r="C661" s="9" t="s">
        <v>30</v>
      </c>
      <c r="D661" s="8">
        <v>2.3769999999999999E-2</v>
      </c>
    </row>
    <row r="662" spans="1:4" x14ac:dyDescent="0.35">
      <c r="A662" t="str">
        <f t="shared" si="10"/>
        <v>87Drawdown</v>
      </c>
      <c r="B662">
        <v>87</v>
      </c>
      <c r="C662" s="9" t="s">
        <v>8</v>
      </c>
      <c r="D662" s="8">
        <v>0.56100000000000005</v>
      </c>
    </row>
    <row r="663" spans="1:4" x14ac:dyDescent="0.35">
      <c r="A663" t="str">
        <f t="shared" si="10"/>
        <v>87Expectancy</v>
      </c>
      <c r="B663">
        <v>87</v>
      </c>
      <c r="C663" s="9" t="s">
        <v>31</v>
      </c>
      <c r="D663" s="8">
        <v>0.214</v>
      </c>
    </row>
    <row r="664" spans="1:4" x14ac:dyDescent="0.35">
      <c r="A664" t="str">
        <f t="shared" si="10"/>
        <v>87Net Profit</v>
      </c>
      <c r="B664">
        <v>87</v>
      </c>
      <c r="C664" s="9" t="s">
        <v>32</v>
      </c>
      <c r="D664" s="8">
        <v>1.5299999999999999E-2</v>
      </c>
    </row>
    <row r="665" spans="1:4" x14ac:dyDescent="0.35">
      <c r="A665" t="str">
        <f t="shared" si="10"/>
        <v>87Loss Rate</v>
      </c>
      <c r="B665">
        <v>87</v>
      </c>
      <c r="C665" s="9" t="s">
        <v>33</v>
      </c>
      <c r="D665" s="8">
        <v>0.67</v>
      </c>
    </row>
    <row r="666" spans="1:4" x14ac:dyDescent="0.35">
      <c r="A666" t="str">
        <f t="shared" si="10"/>
        <v>87Win Rate</v>
      </c>
      <c r="B666">
        <v>87</v>
      </c>
      <c r="C666" s="9" t="s">
        <v>34</v>
      </c>
      <c r="D666" s="8">
        <v>0.33</v>
      </c>
    </row>
    <row r="667" spans="1:4" x14ac:dyDescent="0.35">
      <c r="A667" t="str">
        <f t="shared" si="10"/>
        <v>87Profit-Loss Ratio</v>
      </c>
      <c r="B667">
        <v>87</v>
      </c>
      <c r="C667" s="9" t="s">
        <v>26</v>
      </c>
      <c r="D667" s="8">
        <v>2.64</v>
      </c>
    </row>
    <row r="668" spans="1:4" x14ac:dyDescent="0.35">
      <c r="A668" t="str">
        <f t="shared" si="10"/>
        <v>87Alpha</v>
      </c>
      <c r="B668">
        <v>87</v>
      </c>
      <c r="C668" s="9" t="s">
        <v>23</v>
      </c>
      <c r="D668" s="8">
        <v>0.19800000000000001</v>
      </c>
    </row>
    <row r="669" spans="1:4" x14ac:dyDescent="0.35">
      <c r="A669" t="str">
        <f t="shared" si="10"/>
        <v>87Beta</v>
      </c>
      <c r="B669">
        <v>87</v>
      </c>
      <c r="C669" s="9" t="s">
        <v>24</v>
      </c>
      <c r="D669" s="8">
        <v>5.8239999999999998</v>
      </c>
    </row>
    <row r="670" spans="1:4" x14ac:dyDescent="0.35">
      <c r="A670" t="str">
        <f t="shared" si="10"/>
        <v>87Annual Standard Deviation</v>
      </c>
      <c r="B670">
        <v>87</v>
      </c>
      <c r="C670" s="9" t="s">
        <v>35</v>
      </c>
      <c r="D670" s="8">
        <v>0.92600000000000005</v>
      </c>
    </row>
    <row r="671" spans="1:4" x14ac:dyDescent="0.35">
      <c r="A671" t="str">
        <f t="shared" si="10"/>
        <v>87Annual Variance</v>
      </c>
      <c r="B671">
        <v>87</v>
      </c>
      <c r="C671" s="9" t="s">
        <v>36</v>
      </c>
      <c r="D671" s="8">
        <v>0.85799999999999998</v>
      </c>
    </row>
    <row r="672" spans="1:4" x14ac:dyDescent="0.35">
      <c r="A672" t="str">
        <f t="shared" si="10"/>
        <v>87Information Ratio</v>
      </c>
      <c r="B672">
        <v>87</v>
      </c>
      <c r="C672" s="9" t="s">
        <v>37</v>
      </c>
      <c r="D672" s="8">
        <v>0.56100000000000005</v>
      </c>
    </row>
    <row r="673" spans="1:4" x14ac:dyDescent="0.35">
      <c r="A673" t="str">
        <f t="shared" si="10"/>
        <v>87Tracking Error</v>
      </c>
      <c r="B673">
        <v>87</v>
      </c>
      <c r="C673" s="9" t="s">
        <v>38</v>
      </c>
      <c r="D673" s="8">
        <v>0.9</v>
      </c>
    </row>
    <row r="674" spans="1:4" x14ac:dyDescent="0.35">
      <c r="A674" t="str">
        <f t="shared" si="10"/>
        <v>87Treynor Ratio</v>
      </c>
      <c r="B674">
        <v>87</v>
      </c>
      <c r="C674" s="9" t="s">
        <v>39</v>
      </c>
      <c r="D674" s="8">
        <v>9.8000000000000004E-2</v>
      </c>
    </row>
    <row r="675" spans="1:4" x14ac:dyDescent="0.35">
      <c r="A675" t="str">
        <f t="shared" si="10"/>
        <v>87Total Fees</v>
      </c>
      <c r="B675">
        <v>87</v>
      </c>
      <c r="C675" s="9" t="s">
        <v>40</v>
      </c>
      <c r="D675" s="8">
        <v>0</v>
      </c>
    </row>
    <row r="676" spans="1:4" x14ac:dyDescent="0.35">
      <c r="A676" t="str">
        <f t="shared" si="10"/>
        <v>87Estimated Strategy Capacity</v>
      </c>
      <c r="B676">
        <v>87</v>
      </c>
      <c r="C676" s="9" t="s">
        <v>41</v>
      </c>
      <c r="D676" s="8">
        <v>4500000</v>
      </c>
    </row>
    <row r="677" spans="1:4" x14ac:dyDescent="0.35">
      <c r="A677" t="str">
        <f t="shared" si="10"/>
        <v>88PSR</v>
      </c>
      <c r="B677">
        <v>88</v>
      </c>
      <c r="C677" s="9" t="s">
        <v>27</v>
      </c>
      <c r="D677" s="8">
        <v>0.12909000000000001</v>
      </c>
    </row>
    <row r="678" spans="1:4" x14ac:dyDescent="0.35">
      <c r="A678" t="str">
        <f t="shared" si="10"/>
        <v>88Sharpe Ratio</v>
      </c>
      <c r="B678">
        <v>88</v>
      </c>
      <c r="C678" s="9" t="s">
        <v>1</v>
      </c>
      <c r="D678" s="8">
        <v>-0.17699999999999999</v>
      </c>
    </row>
    <row r="679" spans="1:4" x14ac:dyDescent="0.35">
      <c r="A679" t="str">
        <f t="shared" si="10"/>
        <v>88Total Trades</v>
      </c>
      <c r="B679">
        <v>88</v>
      </c>
      <c r="C679" s="9" t="s">
        <v>28</v>
      </c>
      <c r="D679" s="8">
        <v>372</v>
      </c>
    </row>
    <row r="680" spans="1:4" x14ac:dyDescent="0.35">
      <c r="A680" t="str">
        <f t="shared" si="10"/>
        <v>88Average Win</v>
      </c>
      <c r="B680">
        <v>88</v>
      </c>
      <c r="C680" s="9" t="s">
        <v>25</v>
      </c>
      <c r="D680" s="8">
        <v>2.5999999999999999E-3</v>
      </c>
    </row>
    <row r="681" spans="1:4" x14ac:dyDescent="0.35">
      <c r="A681" t="str">
        <f t="shared" si="10"/>
        <v>88Average Loss</v>
      </c>
      <c r="B681">
        <v>88</v>
      </c>
      <c r="C681" s="9" t="s">
        <v>29</v>
      </c>
      <c r="D681" s="8">
        <v>-2.2000000000000001E-3</v>
      </c>
    </row>
    <row r="682" spans="1:4" x14ac:dyDescent="0.35">
      <c r="A682" t="str">
        <f t="shared" si="10"/>
        <v>88Compounding Annual Return</v>
      </c>
      <c r="B682">
        <v>88</v>
      </c>
      <c r="C682" s="9" t="s">
        <v>30</v>
      </c>
      <c r="D682" s="8">
        <v>-3.5500000000000002E-3</v>
      </c>
    </row>
    <row r="683" spans="1:4" x14ac:dyDescent="0.35">
      <c r="A683" t="str">
        <f t="shared" si="10"/>
        <v>88Drawdown</v>
      </c>
      <c r="B683">
        <v>88</v>
      </c>
      <c r="C683" s="9" t="s">
        <v>8</v>
      </c>
      <c r="D683" s="8">
        <v>1.6E-2</v>
      </c>
    </row>
    <row r="684" spans="1:4" x14ac:dyDescent="0.35">
      <c r="A684" t="str">
        <f t="shared" si="10"/>
        <v>88Expectancy</v>
      </c>
      <c r="B684">
        <v>88</v>
      </c>
      <c r="C684" s="9" t="s">
        <v>31</v>
      </c>
      <c r="D684" s="8">
        <v>-8.3000000000000004E-2</v>
      </c>
    </row>
    <row r="685" spans="1:4" x14ac:dyDescent="0.35">
      <c r="A685" t="str">
        <f t="shared" si="10"/>
        <v>88Net Profit</v>
      </c>
      <c r="B685">
        <v>88</v>
      </c>
      <c r="C685" s="9" t="s">
        <v>32</v>
      </c>
      <c r="D685" s="8">
        <v>-2.3E-3</v>
      </c>
    </row>
    <row r="686" spans="1:4" x14ac:dyDescent="0.35">
      <c r="A686" t="str">
        <f t="shared" si="10"/>
        <v>88Loss Rate</v>
      </c>
      <c r="B686">
        <v>88</v>
      </c>
      <c r="C686" s="9" t="s">
        <v>33</v>
      </c>
      <c r="D686" s="8">
        <v>0.57999999999999996</v>
      </c>
    </row>
    <row r="687" spans="1:4" x14ac:dyDescent="0.35">
      <c r="A687" t="str">
        <f t="shared" si="10"/>
        <v>88Win Rate</v>
      </c>
      <c r="B687">
        <v>88</v>
      </c>
      <c r="C687" s="9" t="s">
        <v>34</v>
      </c>
      <c r="D687" s="8">
        <v>0.42</v>
      </c>
    </row>
    <row r="688" spans="1:4" x14ac:dyDescent="0.35">
      <c r="A688" t="str">
        <f t="shared" si="10"/>
        <v>88Profit-Loss Ratio</v>
      </c>
      <c r="B688">
        <v>88</v>
      </c>
      <c r="C688" s="9" t="s">
        <v>26</v>
      </c>
      <c r="D688" s="8">
        <v>1.2</v>
      </c>
    </row>
    <row r="689" spans="1:4" x14ac:dyDescent="0.35">
      <c r="A689" t="str">
        <f t="shared" si="10"/>
        <v>88Alpha</v>
      </c>
      <c r="B689">
        <v>88</v>
      </c>
      <c r="C689" s="9" t="s">
        <v>23</v>
      </c>
      <c r="D689" s="8">
        <v>-7.0000000000000001E-3</v>
      </c>
    </row>
    <row r="690" spans="1:4" x14ac:dyDescent="0.35">
      <c r="A690" t="str">
        <f t="shared" si="10"/>
        <v>88Beta</v>
      </c>
      <c r="B690">
        <v>88</v>
      </c>
      <c r="C690" s="9" t="s">
        <v>24</v>
      </c>
      <c r="D690" s="8">
        <v>6.9000000000000006E-2</v>
      </c>
    </row>
    <row r="691" spans="1:4" x14ac:dyDescent="0.35">
      <c r="A691" t="str">
        <f t="shared" si="10"/>
        <v>88Annual Standard Deviation</v>
      </c>
      <c r="B691">
        <v>88</v>
      </c>
      <c r="C691" s="9" t="s">
        <v>35</v>
      </c>
      <c r="D691" s="8">
        <v>1.2999999999999999E-2</v>
      </c>
    </row>
    <row r="692" spans="1:4" x14ac:dyDescent="0.35">
      <c r="A692" t="str">
        <f t="shared" si="10"/>
        <v>88Annual Variance</v>
      </c>
      <c r="B692">
        <v>88</v>
      </c>
      <c r="C692" s="9" t="s">
        <v>36</v>
      </c>
      <c r="D692" s="8">
        <v>0</v>
      </c>
    </row>
    <row r="693" spans="1:4" x14ac:dyDescent="0.35">
      <c r="A693" t="str">
        <f t="shared" si="10"/>
        <v>88Information Ratio</v>
      </c>
      <c r="B693">
        <v>88</v>
      </c>
      <c r="C693" s="9" t="s">
        <v>37</v>
      </c>
      <c r="D693" s="8">
        <v>-1.0429999999999999</v>
      </c>
    </row>
    <row r="694" spans="1:4" x14ac:dyDescent="0.35">
      <c r="A694" t="str">
        <f t="shared" si="10"/>
        <v>88Tracking Error</v>
      </c>
      <c r="B694">
        <v>88</v>
      </c>
      <c r="C694" s="9" t="s">
        <v>38</v>
      </c>
      <c r="D694" s="8">
        <v>6.3E-2</v>
      </c>
    </row>
    <row r="695" spans="1:4" x14ac:dyDescent="0.35">
      <c r="A695" t="str">
        <f t="shared" si="10"/>
        <v>88Treynor Ratio</v>
      </c>
      <c r="B695">
        <v>88</v>
      </c>
      <c r="C695" s="9" t="s">
        <v>39</v>
      </c>
      <c r="D695" s="8">
        <v>-3.4000000000000002E-2</v>
      </c>
    </row>
    <row r="696" spans="1:4" x14ac:dyDescent="0.35">
      <c r="A696" t="str">
        <f t="shared" si="10"/>
        <v>88Total Fees</v>
      </c>
      <c r="B696">
        <v>88</v>
      </c>
      <c r="C696" s="9" t="s">
        <v>40</v>
      </c>
      <c r="D696" s="8">
        <v>0</v>
      </c>
    </row>
    <row r="697" spans="1:4" x14ac:dyDescent="0.35">
      <c r="A697" t="str">
        <f t="shared" si="10"/>
        <v>88Estimated Strategy Capacity</v>
      </c>
      <c r="B697">
        <v>88</v>
      </c>
      <c r="C697" s="9" t="s">
        <v>41</v>
      </c>
      <c r="D697" s="8">
        <v>500000000</v>
      </c>
    </row>
    <row r="698" spans="1:4" x14ac:dyDescent="0.35">
      <c r="A698" t="str">
        <f t="shared" si="10"/>
        <v>89PSR</v>
      </c>
      <c r="B698">
        <v>89</v>
      </c>
      <c r="C698" s="9" t="s">
        <v>27</v>
      </c>
      <c r="D698" s="8">
        <v>0.14418</v>
      </c>
    </row>
    <row r="699" spans="1:4" x14ac:dyDescent="0.35">
      <c r="A699" t="str">
        <f t="shared" si="10"/>
        <v>89Sharpe Ratio</v>
      </c>
      <c r="B699">
        <v>89</v>
      </c>
      <c r="C699" s="9" t="s">
        <v>1</v>
      </c>
      <c r="D699" s="8">
        <v>-0.104</v>
      </c>
    </row>
    <row r="700" spans="1:4" x14ac:dyDescent="0.35">
      <c r="A700" t="str">
        <f t="shared" si="10"/>
        <v>89Total Trades</v>
      </c>
      <c r="B700">
        <v>89</v>
      </c>
      <c r="C700" s="9" t="s">
        <v>28</v>
      </c>
      <c r="D700" s="8">
        <v>372</v>
      </c>
    </row>
    <row r="701" spans="1:4" x14ac:dyDescent="0.35">
      <c r="A701" t="str">
        <f t="shared" si="10"/>
        <v>89Average Win</v>
      </c>
      <c r="B701">
        <v>89</v>
      </c>
      <c r="C701" s="9" t="s">
        <v>25</v>
      </c>
      <c r="D701" s="8">
        <v>2.8299999999999999E-2</v>
      </c>
    </row>
    <row r="702" spans="1:4" x14ac:dyDescent="0.35">
      <c r="A702" t="str">
        <f t="shared" si="10"/>
        <v>89Average Loss</v>
      </c>
      <c r="B702">
        <v>89</v>
      </c>
      <c r="C702" s="9" t="s">
        <v>29</v>
      </c>
      <c r="D702" s="8">
        <v>-2.2499999999999999E-2</v>
      </c>
    </row>
    <row r="703" spans="1:4" x14ac:dyDescent="0.35">
      <c r="A703" t="str">
        <f t="shared" si="10"/>
        <v>89Compounding Annual Return</v>
      </c>
      <c r="B703">
        <v>89</v>
      </c>
      <c r="C703" s="9" t="s">
        <v>30</v>
      </c>
      <c r="D703" s="8">
        <v>-3.533E-2</v>
      </c>
    </row>
    <row r="704" spans="1:4" x14ac:dyDescent="0.35">
      <c r="A704" t="str">
        <f t="shared" si="10"/>
        <v>89Drawdown</v>
      </c>
      <c r="B704">
        <v>89</v>
      </c>
      <c r="C704" s="9" t="s">
        <v>8</v>
      </c>
      <c r="D704" s="8">
        <v>0.158</v>
      </c>
    </row>
    <row r="705" spans="1:4" x14ac:dyDescent="0.35">
      <c r="A705" t="str">
        <f t="shared" si="10"/>
        <v>89Expectancy</v>
      </c>
      <c r="B705">
        <v>89</v>
      </c>
      <c r="C705" s="9" t="s">
        <v>31</v>
      </c>
      <c r="D705" s="8">
        <v>-0.06</v>
      </c>
    </row>
    <row r="706" spans="1:4" x14ac:dyDescent="0.35">
      <c r="A706" t="str">
        <f t="shared" si="10"/>
        <v>89Net Profit</v>
      </c>
      <c r="B706">
        <v>89</v>
      </c>
      <c r="C706" s="9" t="s">
        <v>32</v>
      </c>
      <c r="D706" s="8">
        <v>-2.299E-2</v>
      </c>
    </row>
    <row r="707" spans="1:4" x14ac:dyDescent="0.35">
      <c r="A707" t="str">
        <f t="shared" ref="A707:A770" si="11">B707&amp;C707</f>
        <v>89Loss Rate</v>
      </c>
      <c r="B707">
        <v>89</v>
      </c>
      <c r="C707" s="9" t="s">
        <v>33</v>
      </c>
      <c r="D707" s="8">
        <v>0.57999999999999996</v>
      </c>
    </row>
    <row r="708" spans="1:4" x14ac:dyDescent="0.35">
      <c r="A708" t="str">
        <f t="shared" si="11"/>
        <v>89Win Rate</v>
      </c>
      <c r="B708">
        <v>89</v>
      </c>
      <c r="C708" s="9" t="s">
        <v>34</v>
      </c>
      <c r="D708" s="8">
        <v>0.42</v>
      </c>
    </row>
    <row r="709" spans="1:4" x14ac:dyDescent="0.35">
      <c r="A709" t="str">
        <f t="shared" si="11"/>
        <v>89Profit-Loss Ratio</v>
      </c>
      <c r="B709">
        <v>89</v>
      </c>
      <c r="C709" s="9" t="s">
        <v>26</v>
      </c>
      <c r="D709" s="8">
        <v>1.26</v>
      </c>
    </row>
    <row r="710" spans="1:4" x14ac:dyDescent="0.35">
      <c r="A710" t="str">
        <f t="shared" si="11"/>
        <v>89Alpha</v>
      </c>
      <c r="B710">
        <v>89</v>
      </c>
      <c r="C710" s="9" t="s">
        <v>23</v>
      </c>
      <c r="D710" s="8">
        <v>-0.06</v>
      </c>
    </row>
    <row r="711" spans="1:4" x14ac:dyDescent="0.35">
      <c r="A711" t="str">
        <f t="shared" si="11"/>
        <v>89Beta</v>
      </c>
      <c r="B711">
        <v>89</v>
      </c>
      <c r="C711" s="9" t="s">
        <v>24</v>
      </c>
      <c r="D711" s="8">
        <v>0.71499999999999997</v>
      </c>
    </row>
    <row r="712" spans="1:4" x14ac:dyDescent="0.35">
      <c r="A712" t="str">
        <f t="shared" si="11"/>
        <v>89Annual Standard Deviation</v>
      </c>
      <c r="B712">
        <v>89</v>
      </c>
      <c r="C712" s="9" t="s">
        <v>35</v>
      </c>
      <c r="D712" s="8">
        <v>0.14199999999999999</v>
      </c>
    </row>
    <row r="713" spans="1:4" x14ac:dyDescent="0.35">
      <c r="A713" t="str">
        <f t="shared" si="11"/>
        <v>89Annual Variance</v>
      </c>
      <c r="B713">
        <v>89</v>
      </c>
      <c r="C713" s="9" t="s">
        <v>36</v>
      </c>
      <c r="D713" s="8">
        <v>0.02</v>
      </c>
    </row>
    <row r="714" spans="1:4" x14ac:dyDescent="0.35">
      <c r="A714" t="str">
        <f t="shared" si="11"/>
        <v>89Information Ratio</v>
      </c>
      <c r="B714">
        <v>89</v>
      </c>
      <c r="C714" s="9" t="s">
        <v>37</v>
      </c>
      <c r="D714" s="8">
        <v>-0.58099999999999996</v>
      </c>
    </row>
    <row r="715" spans="1:4" x14ac:dyDescent="0.35">
      <c r="A715" t="str">
        <f t="shared" si="11"/>
        <v>89Tracking Error</v>
      </c>
      <c r="B715">
        <v>89</v>
      </c>
      <c r="C715" s="9" t="s">
        <v>38</v>
      </c>
      <c r="D715" s="8">
        <v>0.13500000000000001</v>
      </c>
    </row>
    <row r="716" spans="1:4" x14ac:dyDescent="0.35">
      <c r="A716" t="str">
        <f t="shared" si="11"/>
        <v>89Treynor Ratio</v>
      </c>
      <c r="B716">
        <v>89</v>
      </c>
      <c r="C716" s="9" t="s">
        <v>39</v>
      </c>
      <c r="D716" s="8">
        <v>-2.1000000000000001E-2</v>
      </c>
    </row>
    <row r="717" spans="1:4" x14ac:dyDescent="0.35">
      <c r="A717" t="str">
        <f t="shared" si="11"/>
        <v>89Total Fees</v>
      </c>
      <c r="B717">
        <v>89</v>
      </c>
      <c r="C717" s="9" t="s">
        <v>40</v>
      </c>
      <c r="D717" s="8">
        <v>0</v>
      </c>
    </row>
    <row r="718" spans="1:4" x14ac:dyDescent="0.35">
      <c r="A718" t="str">
        <f t="shared" si="11"/>
        <v>89Estimated Strategy Capacity</v>
      </c>
      <c r="B718">
        <v>89</v>
      </c>
      <c r="C718" s="9" t="s">
        <v>41</v>
      </c>
      <c r="D718" s="8">
        <v>51000000</v>
      </c>
    </row>
    <row r="719" spans="1:4" x14ac:dyDescent="0.35">
      <c r="A719" t="str">
        <f t="shared" si="11"/>
        <v>90PSR</v>
      </c>
      <c r="B719">
        <v>90</v>
      </c>
      <c r="C719" s="9" t="s">
        <v>27</v>
      </c>
      <c r="D719" s="8">
        <v>0.18754000000000001</v>
      </c>
    </row>
    <row r="720" spans="1:4" x14ac:dyDescent="0.35">
      <c r="A720" t="str">
        <f t="shared" si="11"/>
        <v>90Sharpe Ratio</v>
      </c>
      <c r="B720">
        <v>90</v>
      </c>
      <c r="C720" s="9" t="s">
        <v>1</v>
      </c>
      <c r="D720" s="8">
        <v>8.5000000000000006E-2</v>
      </c>
    </row>
    <row r="721" spans="1:4" x14ac:dyDescent="0.35">
      <c r="A721" t="str">
        <f t="shared" si="11"/>
        <v>90Total Trades</v>
      </c>
      <c r="B721">
        <v>90</v>
      </c>
      <c r="C721" s="9" t="s">
        <v>28</v>
      </c>
      <c r="D721" s="8">
        <v>358</v>
      </c>
    </row>
    <row r="722" spans="1:4" x14ac:dyDescent="0.35">
      <c r="A722" t="str">
        <f t="shared" si="11"/>
        <v>90Average Win</v>
      </c>
      <c r="B722">
        <v>90</v>
      </c>
      <c r="C722" s="9" t="s">
        <v>25</v>
      </c>
      <c r="D722" s="8">
        <v>0.18959999999999999</v>
      </c>
    </row>
    <row r="723" spans="1:4" x14ac:dyDescent="0.35">
      <c r="A723" t="str">
        <f t="shared" si="11"/>
        <v>90Average Loss</v>
      </c>
      <c r="B723">
        <v>90</v>
      </c>
      <c r="C723" s="9" t="s">
        <v>29</v>
      </c>
      <c r="D723" s="8">
        <v>-0.12989999999999999</v>
      </c>
    </row>
    <row r="724" spans="1:4" x14ac:dyDescent="0.35">
      <c r="A724" t="str">
        <f t="shared" si="11"/>
        <v>90Compounding Annual Return</v>
      </c>
      <c r="B724">
        <v>90</v>
      </c>
      <c r="C724" s="9" t="s">
        <v>30</v>
      </c>
      <c r="D724" s="8">
        <v>-0.26555000000000001</v>
      </c>
    </row>
    <row r="725" spans="1:4" x14ac:dyDescent="0.35">
      <c r="A725" t="str">
        <f t="shared" si="11"/>
        <v>90Drawdown</v>
      </c>
      <c r="B725">
        <v>90</v>
      </c>
      <c r="C725" s="9" t="s">
        <v>8</v>
      </c>
      <c r="D725" s="8">
        <v>0.63500000000000001</v>
      </c>
    </row>
    <row r="726" spans="1:4" x14ac:dyDescent="0.35">
      <c r="A726" t="str">
        <f t="shared" si="11"/>
        <v>90Expectancy</v>
      </c>
      <c r="B726">
        <v>90</v>
      </c>
      <c r="C726" s="9" t="s">
        <v>31</v>
      </c>
      <c r="D726" s="8">
        <v>2.5000000000000001E-2</v>
      </c>
    </row>
    <row r="727" spans="1:4" x14ac:dyDescent="0.35">
      <c r="A727" t="str">
        <f t="shared" si="11"/>
        <v>90Net Profit</v>
      </c>
      <c r="B727">
        <v>90</v>
      </c>
      <c r="C727" s="9" t="s">
        <v>32</v>
      </c>
      <c r="D727" s="8">
        <v>-0.18087</v>
      </c>
    </row>
    <row r="728" spans="1:4" x14ac:dyDescent="0.35">
      <c r="A728" t="str">
        <f t="shared" si="11"/>
        <v>90Loss Rate</v>
      </c>
      <c r="B728">
        <v>90</v>
      </c>
      <c r="C728" s="9" t="s">
        <v>33</v>
      </c>
      <c r="D728" s="8">
        <v>0.57999999999999996</v>
      </c>
    </row>
    <row r="729" spans="1:4" x14ac:dyDescent="0.35">
      <c r="A729" t="str">
        <f t="shared" si="11"/>
        <v>90Win Rate</v>
      </c>
      <c r="B729">
        <v>90</v>
      </c>
      <c r="C729" s="9" t="s">
        <v>34</v>
      </c>
      <c r="D729" s="8">
        <v>0.42</v>
      </c>
    </row>
    <row r="730" spans="1:4" x14ac:dyDescent="0.35">
      <c r="A730" t="str">
        <f t="shared" si="11"/>
        <v>90Profit-Loss Ratio</v>
      </c>
      <c r="B730">
        <v>90</v>
      </c>
      <c r="C730" s="9" t="s">
        <v>26</v>
      </c>
      <c r="D730" s="8">
        <v>1.46</v>
      </c>
    </row>
    <row r="731" spans="1:4" x14ac:dyDescent="0.35">
      <c r="A731" t="str">
        <f t="shared" si="11"/>
        <v>90Alpha</v>
      </c>
      <c r="B731">
        <v>90</v>
      </c>
      <c r="C731" s="9" t="s">
        <v>23</v>
      </c>
      <c r="D731" s="8">
        <v>-0.18</v>
      </c>
    </row>
    <row r="732" spans="1:4" x14ac:dyDescent="0.35">
      <c r="A732" t="str">
        <f t="shared" si="11"/>
        <v>90Beta</v>
      </c>
      <c r="B732">
        <v>90</v>
      </c>
      <c r="C732" s="9" t="s">
        <v>24</v>
      </c>
      <c r="D732" s="8">
        <v>3.8279999999999998</v>
      </c>
    </row>
    <row r="733" spans="1:4" x14ac:dyDescent="0.35">
      <c r="A733" t="str">
        <f t="shared" si="11"/>
        <v>90Annual Standard Deviation</v>
      </c>
      <c r="B733">
        <v>90</v>
      </c>
      <c r="C733" s="9" t="s">
        <v>35</v>
      </c>
      <c r="D733" s="8">
        <v>0.751</v>
      </c>
    </row>
    <row r="734" spans="1:4" x14ac:dyDescent="0.35">
      <c r="A734" t="str">
        <f t="shared" si="11"/>
        <v>90Annual Variance</v>
      </c>
      <c r="B734">
        <v>90</v>
      </c>
      <c r="C734" s="9" t="s">
        <v>36</v>
      </c>
      <c r="D734" s="8">
        <v>0.56399999999999995</v>
      </c>
    </row>
    <row r="735" spans="1:4" x14ac:dyDescent="0.35">
      <c r="A735" t="str">
        <f t="shared" si="11"/>
        <v>90Information Ratio</v>
      </c>
      <c r="B735">
        <v>90</v>
      </c>
      <c r="C735" s="9" t="s">
        <v>37</v>
      </c>
      <c r="D735" s="8">
        <v>0</v>
      </c>
    </row>
    <row r="736" spans="1:4" x14ac:dyDescent="0.35">
      <c r="A736" t="str">
        <f t="shared" si="11"/>
        <v>90Tracking Error</v>
      </c>
      <c r="B736">
        <v>90</v>
      </c>
      <c r="C736" s="9" t="s">
        <v>38</v>
      </c>
      <c r="D736" s="8">
        <v>0.73099999999999998</v>
      </c>
    </row>
    <row r="737" spans="1:4" x14ac:dyDescent="0.35">
      <c r="A737" t="str">
        <f t="shared" si="11"/>
        <v>90Treynor Ratio</v>
      </c>
      <c r="B737">
        <v>90</v>
      </c>
      <c r="C737" s="9" t="s">
        <v>39</v>
      </c>
      <c r="D737" s="8">
        <v>1.7000000000000001E-2</v>
      </c>
    </row>
    <row r="738" spans="1:4" x14ac:dyDescent="0.35">
      <c r="A738" t="str">
        <f t="shared" si="11"/>
        <v>90Total Fees</v>
      </c>
      <c r="B738">
        <v>90</v>
      </c>
      <c r="C738" s="9" t="s">
        <v>40</v>
      </c>
      <c r="D738" s="8">
        <v>0</v>
      </c>
    </row>
    <row r="739" spans="1:4" x14ac:dyDescent="0.35">
      <c r="A739" t="str">
        <f t="shared" si="11"/>
        <v>90Estimated Strategy Capacity</v>
      </c>
      <c r="B739">
        <v>90</v>
      </c>
      <c r="C739" s="9" t="s">
        <v>41</v>
      </c>
      <c r="D739" s="8">
        <v>10000000</v>
      </c>
    </row>
    <row r="740" spans="1:4" x14ac:dyDescent="0.35">
      <c r="A740" t="str">
        <f t="shared" si="11"/>
        <v>109PSR</v>
      </c>
      <c r="B740">
        <v>109</v>
      </c>
      <c r="C740" s="9" t="s">
        <v>27</v>
      </c>
      <c r="D740" s="8">
        <v>1.1E-4</v>
      </c>
    </row>
    <row r="741" spans="1:4" x14ac:dyDescent="0.35">
      <c r="A741" t="str">
        <f t="shared" si="11"/>
        <v>109Sharpe Ratio</v>
      </c>
      <c r="B741">
        <v>109</v>
      </c>
      <c r="C741" s="9" t="s">
        <v>1</v>
      </c>
      <c r="D741" s="8">
        <v>-2.3759999999999999</v>
      </c>
    </row>
    <row r="742" spans="1:4" x14ac:dyDescent="0.35">
      <c r="A742" t="str">
        <f t="shared" si="11"/>
        <v>109Total Trades</v>
      </c>
      <c r="B742">
        <v>109</v>
      </c>
      <c r="C742" s="9" t="s">
        <v>28</v>
      </c>
      <c r="D742" s="8">
        <v>607</v>
      </c>
    </row>
    <row r="743" spans="1:4" x14ac:dyDescent="0.35">
      <c r="A743" t="str">
        <f t="shared" si="11"/>
        <v>109Average Win</v>
      </c>
      <c r="B743">
        <v>109</v>
      </c>
      <c r="C743" s="9" t="s">
        <v>25</v>
      </c>
      <c r="D743" s="8">
        <v>2.0000000000000001E-4</v>
      </c>
    </row>
    <row r="744" spans="1:4" x14ac:dyDescent="0.35">
      <c r="A744" t="str">
        <f t="shared" si="11"/>
        <v>109Average Loss</v>
      </c>
      <c r="B744">
        <v>109</v>
      </c>
      <c r="C744" s="9" t="s">
        <v>29</v>
      </c>
      <c r="D744" s="8">
        <v>-1.1000000000000001E-3</v>
      </c>
    </row>
    <row r="745" spans="1:4" x14ac:dyDescent="0.35">
      <c r="A745" t="str">
        <f t="shared" si="11"/>
        <v>109Compounding Annual Return</v>
      </c>
      <c r="B745">
        <v>109</v>
      </c>
      <c r="C745" s="9" t="s">
        <v>30</v>
      </c>
      <c r="D745" s="8">
        <v>-2.0080000000000001E-2</v>
      </c>
    </row>
    <row r="746" spans="1:4" x14ac:dyDescent="0.35">
      <c r="A746" t="str">
        <f t="shared" si="11"/>
        <v>109Drawdown</v>
      </c>
      <c r="B746">
        <v>109</v>
      </c>
      <c r="C746" s="9" t="s">
        <v>8</v>
      </c>
      <c r="D746" s="8">
        <v>1.4999999999999999E-2</v>
      </c>
    </row>
    <row r="747" spans="1:4" x14ac:dyDescent="0.35">
      <c r="A747" t="str">
        <f t="shared" si="11"/>
        <v>109Expectancy</v>
      </c>
      <c r="B747">
        <v>109</v>
      </c>
      <c r="C747" s="9" t="s">
        <v>31</v>
      </c>
      <c r="D747" s="8">
        <v>-0.59599999999999997</v>
      </c>
    </row>
    <row r="748" spans="1:4" x14ac:dyDescent="0.35">
      <c r="A748" t="str">
        <f t="shared" si="11"/>
        <v>109Net Profit</v>
      </c>
      <c r="B748">
        <v>109</v>
      </c>
      <c r="C748" s="9" t="s">
        <v>32</v>
      </c>
      <c r="D748" s="8">
        <v>-1.303E-2</v>
      </c>
    </row>
    <row r="749" spans="1:4" x14ac:dyDescent="0.35">
      <c r="A749" t="str">
        <f t="shared" si="11"/>
        <v>109Loss Rate</v>
      </c>
      <c r="B749">
        <v>109</v>
      </c>
      <c r="C749" s="9" t="s">
        <v>33</v>
      </c>
      <c r="D749" s="8">
        <v>0.65</v>
      </c>
    </row>
    <row r="750" spans="1:4" x14ac:dyDescent="0.35">
      <c r="A750" t="str">
        <f t="shared" si="11"/>
        <v>109Win Rate</v>
      </c>
      <c r="B750">
        <v>109</v>
      </c>
      <c r="C750" s="9" t="s">
        <v>34</v>
      </c>
      <c r="D750" s="8">
        <v>0.35</v>
      </c>
    </row>
    <row r="751" spans="1:4" x14ac:dyDescent="0.35">
      <c r="A751" t="str">
        <f t="shared" si="11"/>
        <v>109Profit-Loss Ratio</v>
      </c>
      <c r="B751">
        <v>109</v>
      </c>
      <c r="C751" s="9" t="s">
        <v>26</v>
      </c>
      <c r="D751" s="8">
        <v>0.15</v>
      </c>
    </row>
    <row r="752" spans="1:4" x14ac:dyDescent="0.35">
      <c r="A752" t="str">
        <f t="shared" si="11"/>
        <v>109Alpha</v>
      </c>
      <c r="B752">
        <v>109</v>
      </c>
      <c r="C752" s="9" t="s">
        <v>23</v>
      </c>
      <c r="D752" s="8">
        <v>-1.2E-2</v>
      </c>
    </row>
    <row r="753" spans="1:4" x14ac:dyDescent="0.35">
      <c r="A753" t="str">
        <f t="shared" si="11"/>
        <v>109Beta</v>
      </c>
      <c r="B753">
        <v>109</v>
      </c>
      <c r="C753" s="9" t="s">
        <v>24</v>
      </c>
      <c r="D753" s="8">
        <v>-0.03</v>
      </c>
    </row>
    <row r="754" spans="1:4" x14ac:dyDescent="0.35">
      <c r="A754" t="str">
        <f t="shared" si="11"/>
        <v>109Annual Standard Deviation</v>
      </c>
      <c r="B754">
        <v>109</v>
      </c>
      <c r="C754" s="9" t="s">
        <v>35</v>
      </c>
      <c r="D754" s="8">
        <v>6.0000000000000001E-3</v>
      </c>
    </row>
    <row r="755" spans="1:4" x14ac:dyDescent="0.35">
      <c r="A755" t="str">
        <f t="shared" si="11"/>
        <v>109Annual Variance</v>
      </c>
      <c r="B755">
        <v>109</v>
      </c>
      <c r="C755" s="9" t="s">
        <v>36</v>
      </c>
      <c r="D755" s="8">
        <v>0</v>
      </c>
    </row>
    <row r="756" spans="1:4" x14ac:dyDescent="0.35">
      <c r="A756" t="str">
        <f t="shared" si="11"/>
        <v>109Information Ratio</v>
      </c>
      <c r="B756">
        <v>109</v>
      </c>
      <c r="C756" s="9" t="s">
        <v>37</v>
      </c>
      <c r="D756" s="8">
        <v>-1.1259999999999999</v>
      </c>
    </row>
    <row r="757" spans="1:4" x14ac:dyDescent="0.35">
      <c r="A757" t="str">
        <f t="shared" si="11"/>
        <v>109Tracking Error</v>
      </c>
      <c r="B757">
        <v>109</v>
      </c>
      <c r="C757" s="9" t="s">
        <v>38</v>
      </c>
      <c r="D757" s="8">
        <v>6.9000000000000006E-2</v>
      </c>
    </row>
    <row r="758" spans="1:4" x14ac:dyDescent="0.35">
      <c r="A758" t="str">
        <f t="shared" si="11"/>
        <v>109Treynor Ratio</v>
      </c>
      <c r="B758">
        <v>109</v>
      </c>
      <c r="C758" s="9" t="s">
        <v>39</v>
      </c>
      <c r="D758" s="8">
        <v>0.46899999999999997</v>
      </c>
    </row>
    <row r="759" spans="1:4" x14ac:dyDescent="0.35">
      <c r="A759" t="str">
        <f t="shared" si="11"/>
        <v>109Total Fees</v>
      </c>
      <c r="B759">
        <v>109</v>
      </c>
      <c r="C759" s="9" t="s">
        <v>40</v>
      </c>
      <c r="D759" s="8">
        <v>0</v>
      </c>
    </row>
    <row r="760" spans="1:4" x14ac:dyDescent="0.35">
      <c r="A760" t="str">
        <f t="shared" si="11"/>
        <v>109Estimated Strategy Capacity</v>
      </c>
      <c r="B760">
        <v>109</v>
      </c>
      <c r="C760" s="9" t="s">
        <v>41</v>
      </c>
      <c r="D760" s="8">
        <v>3000000000</v>
      </c>
    </row>
    <row r="761" spans="1:4" x14ac:dyDescent="0.35">
      <c r="A761" t="str">
        <f t="shared" si="11"/>
        <v>110PSR</v>
      </c>
      <c r="B761">
        <v>110</v>
      </c>
      <c r="C761" s="9" t="s">
        <v>27</v>
      </c>
      <c r="D761" s="8">
        <v>1.4999999999999999E-4</v>
      </c>
    </row>
    <row r="762" spans="1:4" x14ac:dyDescent="0.35">
      <c r="A762" t="str">
        <f t="shared" si="11"/>
        <v>110Sharpe Ratio</v>
      </c>
      <c r="B762">
        <v>110</v>
      </c>
      <c r="C762" s="9" t="s">
        <v>1</v>
      </c>
      <c r="D762" s="8">
        <v>-2.19</v>
      </c>
    </row>
    <row r="763" spans="1:4" x14ac:dyDescent="0.35">
      <c r="A763" t="str">
        <f t="shared" si="11"/>
        <v>110Total Trades</v>
      </c>
      <c r="B763">
        <v>110</v>
      </c>
      <c r="C763" s="9" t="s">
        <v>28</v>
      </c>
      <c r="D763" s="8">
        <v>607</v>
      </c>
    </row>
    <row r="764" spans="1:4" x14ac:dyDescent="0.35">
      <c r="A764" t="str">
        <f t="shared" si="11"/>
        <v>110Average Win</v>
      </c>
      <c r="B764">
        <v>110</v>
      </c>
      <c r="C764" s="9" t="s">
        <v>25</v>
      </c>
      <c r="D764" s="8">
        <v>1.6999999999999999E-3</v>
      </c>
    </row>
    <row r="765" spans="1:4" x14ac:dyDescent="0.35">
      <c r="A765" t="str">
        <f t="shared" si="11"/>
        <v>110Average Loss</v>
      </c>
      <c r="B765">
        <v>110</v>
      </c>
      <c r="C765" s="9" t="s">
        <v>29</v>
      </c>
      <c r="D765" s="8">
        <v>-1.12E-2</v>
      </c>
    </row>
    <row r="766" spans="1:4" x14ac:dyDescent="0.35">
      <c r="A766" t="str">
        <f t="shared" si="11"/>
        <v>110Compounding Annual Return</v>
      </c>
      <c r="B766">
        <v>110</v>
      </c>
      <c r="C766" s="9" t="s">
        <v>30</v>
      </c>
      <c r="D766" s="8">
        <v>-0.19416</v>
      </c>
    </row>
    <row r="767" spans="1:4" x14ac:dyDescent="0.35">
      <c r="A767" t="str">
        <f t="shared" si="11"/>
        <v>110Drawdown</v>
      </c>
      <c r="B767">
        <v>110</v>
      </c>
      <c r="C767" s="9" t="s">
        <v>8</v>
      </c>
      <c r="D767" s="8">
        <v>0.14499999999999999</v>
      </c>
    </row>
    <row r="768" spans="1:4" x14ac:dyDescent="0.35">
      <c r="A768" t="str">
        <f t="shared" si="11"/>
        <v>110Expectancy</v>
      </c>
      <c r="B768">
        <v>110</v>
      </c>
      <c r="C768" s="9" t="s">
        <v>31</v>
      </c>
      <c r="D768" s="8">
        <v>-0.59699999999999998</v>
      </c>
    </row>
    <row r="769" spans="1:4" x14ac:dyDescent="0.35">
      <c r="A769" t="str">
        <f t="shared" si="11"/>
        <v>110Net Profit</v>
      </c>
      <c r="B769">
        <v>110</v>
      </c>
      <c r="C769" s="9" t="s">
        <v>32</v>
      </c>
      <c r="D769" s="8">
        <v>-0.13025</v>
      </c>
    </row>
    <row r="770" spans="1:4" x14ac:dyDescent="0.35">
      <c r="A770" t="str">
        <f t="shared" si="11"/>
        <v>110Loss Rate</v>
      </c>
      <c r="B770">
        <v>110</v>
      </c>
      <c r="C770" s="9" t="s">
        <v>33</v>
      </c>
      <c r="D770" s="8">
        <v>0.65</v>
      </c>
    </row>
    <row r="771" spans="1:4" x14ac:dyDescent="0.35">
      <c r="A771" t="str">
        <f t="shared" ref="A771:A834" si="12">B771&amp;C771</f>
        <v>110Win Rate</v>
      </c>
      <c r="B771">
        <v>110</v>
      </c>
      <c r="C771" s="9" t="s">
        <v>34</v>
      </c>
      <c r="D771" s="8">
        <v>0.35</v>
      </c>
    </row>
    <row r="772" spans="1:4" x14ac:dyDescent="0.35">
      <c r="A772" t="str">
        <f t="shared" si="12"/>
        <v>110Profit-Loss Ratio</v>
      </c>
      <c r="B772">
        <v>110</v>
      </c>
      <c r="C772" s="9" t="s">
        <v>26</v>
      </c>
      <c r="D772" s="8">
        <v>0.15</v>
      </c>
    </row>
    <row r="773" spans="1:4" x14ac:dyDescent="0.35">
      <c r="A773" t="str">
        <f t="shared" si="12"/>
        <v>110Alpha</v>
      </c>
      <c r="B773">
        <v>110</v>
      </c>
      <c r="C773" s="9" t="s">
        <v>23</v>
      </c>
      <c r="D773" s="8">
        <v>-0.11700000000000001</v>
      </c>
    </row>
    <row r="774" spans="1:4" x14ac:dyDescent="0.35">
      <c r="A774" t="str">
        <f t="shared" si="12"/>
        <v>110Beta</v>
      </c>
      <c r="B774">
        <v>110</v>
      </c>
      <c r="C774" s="9" t="s">
        <v>24</v>
      </c>
      <c r="D774" s="8">
        <v>-0.318</v>
      </c>
    </row>
    <row r="775" spans="1:4" x14ac:dyDescent="0.35">
      <c r="A775" t="str">
        <f t="shared" si="12"/>
        <v>110Annual Standard Deviation</v>
      </c>
      <c r="B775">
        <v>110</v>
      </c>
      <c r="C775" s="9" t="s">
        <v>35</v>
      </c>
      <c r="D775" s="8">
        <v>6.3E-2</v>
      </c>
    </row>
    <row r="776" spans="1:4" x14ac:dyDescent="0.35">
      <c r="A776" t="str">
        <f t="shared" si="12"/>
        <v>110Annual Variance</v>
      </c>
      <c r="B776">
        <v>110</v>
      </c>
      <c r="C776" s="9" t="s">
        <v>36</v>
      </c>
      <c r="D776" s="8">
        <v>4.0000000000000001E-3</v>
      </c>
    </row>
    <row r="777" spans="1:4" x14ac:dyDescent="0.35">
      <c r="A777" t="str">
        <f t="shared" si="12"/>
        <v>110Information Ratio</v>
      </c>
      <c r="B777">
        <v>110</v>
      </c>
      <c r="C777" s="9" t="s">
        <v>37</v>
      </c>
      <c r="D777" s="8">
        <v>-1.8979999999999999</v>
      </c>
    </row>
    <row r="778" spans="1:4" x14ac:dyDescent="0.35">
      <c r="A778" t="str">
        <f t="shared" si="12"/>
        <v>110Tracking Error</v>
      </c>
      <c r="B778">
        <v>110</v>
      </c>
      <c r="C778" s="9" t="s">
        <v>38</v>
      </c>
      <c r="D778" s="8">
        <v>0.106</v>
      </c>
    </row>
    <row r="779" spans="1:4" x14ac:dyDescent="0.35">
      <c r="A779" t="str">
        <f t="shared" si="12"/>
        <v>110Treynor Ratio</v>
      </c>
      <c r="B779">
        <v>110</v>
      </c>
      <c r="C779" s="9" t="s">
        <v>39</v>
      </c>
      <c r="D779" s="8">
        <v>0.432</v>
      </c>
    </row>
    <row r="780" spans="1:4" x14ac:dyDescent="0.35">
      <c r="A780" t="str">
        <f t="shared" si="12"/>
        <v>110Total Fees</v>
      </c>
      <c r="B780">
        <v>110</v>
      </c>
      <c r="C780" s="9" t="s">
        <v>40</v>
      </c>
      <c r="D780" s="8">
        <v>0</v>
      </c>
    </row>
    <row r="781" spans="1:4" x14ac:dyDescent="0.35">
      <c r="A781" t="str">
        <f t="shared" si="12"/>
        <v>110Estimated Strategy Capacity</v>
      </c>
      <c r="B781">
        <v>110</v>
      </c>
      <c r="C781" s="9" t="s">
        <v>41</v>
      </c>
      <c r="D781" s="8">
        <v>270000000</v>
      </c>
    </row>
    <row r="782" spans="1:4" x14ac:dyDescent="0.35">
      <c r="A782" t="str">
        <f t="shared" si="12"/>
        <v>111PSR</v>
      </c>
      <c r="B782">
        <v>111</v>
      </c>
      <c r="C782" s="9" t="s">
        <v>27</v>
      </c>
      <c r="D782" s="8">
        <v>1.6900000000000001E-3</v>
      </c>
    </row>
    <row r="783" spans="1:4" x14ac:dyDescent="0.35">
      <c r="A783" t="str">
        <f t="shared" si="12"/>
        <v>111Sharpe Ratio</v>
      </c>
      <c r="B783">
        <v>111</v>
      </c>
      <c r="C783" s="9" t="s">
        <v>1</v>
      </c>
      <c r="D783" s="8">
        <v>-1.252</v>
      </c>
    </row>
    <row r="784" spans="1:4" x14ac:dyDescent="0.35">
      <c r="A784" t="str">
        <f t="shared" si="12"/>
        <v>111Total Trades</v>
      </c>
      <c r="B784">
        <v>111</v>
      </c>
      <c r="C784" s="9" t="s">
        <v>28</v>
      </c>
      <c r="D784" s="8">
        <v>600</v>
      </c>
    </row>
    <row r="785" spans="1:4" x14ac:dyDescent="0.35">
      <c r="A785" t="str">
        <f t="shared" si="12"/>
        <v>111Average Win</v>
      </c>
      <c r="B785">
        <v>111</v>
      </c>
      <c r="C785" s="9" t="s">
        <v>25</v>
      </c>
      <c r="D785" s="8">
        <v>1.18E-2</v>
      </c>
    </row>
    <row r="786" spans="1:4" x14ac:dyDescent="0.35">
      <c r="A786" t="str">
        <f t="shared" si="12"/>
        <v>111Average Loss</v>
      </c>
      <c r="B786">
        <v>111</v>
      </c>
      <c r="C786" s="9" t="s">
        <v>29</v>
      </c>
      <c r="D786" s="8">
        <v>-6.4899999999999999E-2</v>
      </c>
    </row>
    <row r="787" spans="1:4" x14ac:dyDescent="0.35">
      <c r="A787" t="str">
        <f t="shared" si="12"/>
        <v>111Compounding Annual Return</v>
      </c>
      <c r="B787">
        <v>111</v>
      </c>
      <c r="C787" s="9" t="s">
        <v>30</v>
      </c>
      <c r="D787" s="8">
        <v>-0.77429999999999999</v>
      </c>
    </row>
    <row r="788" spans="1:4" x14ac:dyDescent="0.35">
      <c r="A788" t="str">
        <f t="shared" si="12"/>
        <v>111Drawdown</v>
      </c>
      <c r="B788">
        <v>111</v>
      </c>
      <c r="C788" s="9" t="s">
        <v>8</v>
      </c>
      <c r="D788" s="8">
        <v>0.65900000000000003</v>
      </c>
    </row>
    <row r="789" spans="1:4" x14ac:dyDescent="0.35">
      <c r="A789" t="str">
        <f t="shared" si="12"/>
        <v>111Expectancy</v>
      </c>
      <c r="B789">
        <v>111</v>
      </c>
      <c r="C789" s="9" t="s">
        <v>31</v>
      </c>
      <c r="D789" s="8">
        <v>-0.64500000000000002</v>
      </c>
    </row>
    <row r="790" spans="1:4" x14ac:dyDescent="0.35">
      <c r="A790" t="str">
        <f t="shared" si="12"/>
        <v>111Net Profit</v>
      </c>
      <c r="B790">
        <v>111</v>
      </c>
      <c r="C790" s="9" t="s">
        <v>32</v>
      </c>
      <c r="D790" s="8">
        <v>-0.61799000000000004</v>
      </c>
    </row>
    <row r="791" spans="1:4" x14ac:dyDescent="0.35">
      <c r="A791" t="str">
        <f t="shared" si="12"/>
        <v>111Loss Rate</v>
      </c>
      <c r="B791">
        <v>111</v>
      </c>
      <c r="C791" s="9" t="s">
        <v>33</v>
      </c>
      <c r="D791" s="8">
        <v>0.7</v>
      </c>
    </row>
    <row r="792" spans="1:4" x14ac:dyDescent="0.35">
      <c r="A792" t="str">
        <f t="shared" si="12"/>
        <v>111Win Rate</v>
      </c>
      <c r="B792">
        <v>111</v>
      </c>
      <c r="C792" s="9" t="s">
        <v>34</v>
      </c>
      <c r="D792" s="8">
        <v>0.3</v>
      </c>
    </row>
    <row r="793" spans="1:4" x14ac:dyDescent="0.35">
      <c r="A793" t="str">
        <f t="shared" si="12"/>
        <v>111Profit-Loss Ratio</v>
      </c>
      <c r="B793">
        <v>111</v>
      </c>
      <c r="C793" s="9" t="s">
        <v>26</v>
      </c>
      <c r="D793" s="8">
        <v>0.18</v>
      </c>
    </row>
    <row r="794" spans="1:4" x14ac:dyDescent="0.35">
      <c r="A794" t="str">
        <f t="shared" si="12"/>
        <v>111Alpha</v>
      </c>
      <c r="B794">
        <v>111</v>
      </c>
      <c r="C794" s="9" t="s">
        <v>23</v>
      </c>
      <c r="D794" s="8">
        <v>-0.45</v>
      </c>
    </row>
    <row r="795" spans="1:4" x14ac:dyDescent="0.35">
      <c r="A795" t="str">
        <f t="shared" si="12"/>
        <v>111Beta</v>
      </c>
      <c r="B795">
        <v>111</v>
      </c>
      <c r="C795" s="9" t="s">
        <v>24</v>
      </c>
      <c r="D795" s="8">
        <v>-2.35</v>
      </c>
    </row>
    <row r="796" spans="1:4" x14ac:dyDescent="0.35">
      <c r="A796" t="str">
        <f t="shared" si="12"/>
        <v>111Annual Standard Deviation</v>
      </c>
      <c r="B796">
        <v>111</v>
      </c>
      <c r="C796" s="9" t="s">
        <v>35</v>
      </c>
      <c r="D796" s="8">
        <v>0.47799999999999998</v>
      </c>
    </row>
    <row r="797" spans="1:4" x14ac:dyDescent="0.35">
      <c r="A797" t="str">
        <f t="shared" si="12"/>
        <v>111Annual Variance</v>
      </c>
      <c r="B797">
        <v>111</v>
      </c>
      <c r="C797" s="9" t="s">
        <v>36</v>
      </c>
      <c r="D797" s="8">
        <v>0.22900000000000001</v>
      </c>
    </row>
    <row r="798" spans="1:4" x14ac:dyDescent="0.35">
      <c r="A798" t="str">
        <f t="shared" si="12"/>
        <v>111Information Ratio</v>
      </c>
      <c r="B798">
        <v>111</v>
      </c>
      <c r="C798" s="9" t="s">
        <v>37</v>
      </c>
      <c r="D798" s="8">
        <v>-1.3149999999999999</v>
      </c>
    </row>
    <row r="799" spans="1:4" x14ac:dyDescent="0.35">
      <c r="A799" t="str">
        <f t="shared" si="12"/>
        <v>111Tracking Error</v>
      </c>
      <c r="B799">
        <v>111</v>
      </c>
      <c r="C799" s="9" t="s">
        <v>38</v>
      </c>
      <c r="D799" s="8">
        <v>0.504</v>
      </c>
    </row>
    <row r="800" spans="1:4" x14ac:dyDescent="0.35">
      <c r="A800" t="str">
        <f t="shared" si="12"/>
        <v>111Treynor Ratio</v>
      </c>
      <c r="B800">
        <v>111</v>
      </c>
      <c r="C800" s="9" t="s">
        <v>39</v>
      </c>
      <c r="D800" s="8">
        <v>0.255</v>
      </c>
    </row>
    <row r="801" spans="1:4" x14ac:dyDescent="0.35">
      <c r="A801" t="str">
        <f t="shared" si="12"/>
        <v>111Total Fees</v>
      </c>
      <c r="B801">
        <v>111</v>
      </c>
      <c r="C801" s="9" t="s">
        <v>40</v>
      </c>
      <c r="D801" s="8">
        <v>0</v>
      </c>
    </row>
    <row r="802" spans="1:4" x14ac:dyDescent="0.35">
      <c r="A802" t="str">
        <f t="shared" si="12"/>
        <v>111Estimated Strategy Capacity</v>
      </c>
      <c r="B802">
        <v>111</v>
      </c>
      <c r="C802" s="9" t="s">
        <v>41</v>
      </c>
      <c r="D802" s="8">
        <v>23000000</v>
      </c>
    </row>
    <row r="803" spans="1:4" x14ac:dyDescent="0.35">
      <c r="A803" t="str">
        <f t="shared" si="12"/>
        <v>112PSR</v>
      </c>
      <c r="B803">
        <v>112</v>
      </c>
      <c r="C803" s="9" t="s">
        <v>27</v>
      </c>
      <c r="D803" s="8">
        <v>0.56274000000000002</v>
      </c>
    </row>
    <row r="804" spans="1:4" x14ac:dyDescent="0.35">
      <c r="A804" t="str">
        <f t="shared" si="12"/>
        <v>112Sharpe Ratio</v>
      </c>
      <c r="B804">
        <v>112</v>
      </c>
      <c r="C804" s="9" t="s">
        <v>1</v>
      </c>
      <c r="D804" s="8">
        <v>1.1579999999999999</v>
      </c>
    </row>
    <row r="805" spans="1:4" x14ac:dyDescent="0.35">
      <c r="A805" t="str">
        <f t="shared" si="12"/>
        <v>112Total Trades</v>
      </c>
      <c r="B805">
        <v>112</v>
      </c>
      <c r="C805" s="9" t="s">
        <v>28</v>
      </c>
      <c r="D805" s="8">
        <v>359</v>
      </c>
    </row>
    <row r="806" spans="1:4" x14ac:dyDescent="0.35">
      <c r="A806" t="str">
        <f t="shared" si="12"/>
        <v>112Average Win</v>
      </c>
      <c r="B806">
        <v>112</v>
      </c>
      <c r="C806" s="9" t="s">
        <v>25</v>
      </c>
      <c r="D806" s="8">
        <v>2.2000000000000001E-3</v>
      </c>
    </row>
    <row r="807" spans="1:4" x14ac:dyDescent="0.35">
      <c r="A807" t="str">
        <f t="shared" si="12"/>
        <v>112Average Loss</v>
      </c>
      <c r="B807">
        <v>112</v>
      </c>
      <c r="C807" s="9" t="s">
        <v>29</v>
      </c>
      <c r="D807" s="8">
        <v>-5.9999999999999995E-4</v>
      </c>
    </row>
    <row r="808" spans="1:4" x14ac:dyDescent="0.35">
      <c r="A808" t="str">
        <f t="shared" si="12"/>
        <v>112Compounding Annual Return</v>
      </c>
      <c r="B808">
        <v>112</v>
      </c>
      <c r="C808" s="9" t="s">
        <v>30</v>
      </c>
      <c r="D808" s="8">
        <v>2.223E-2</v>
      </c>
    </row>
    <row r="809" spans="1:4" x14ac:dyDescent="0.35">
      <c r="A809" t="str">
        <f t="shared" si="12"/>
        <v>112Drawdown</v>
      </c>
      <c r="B809">
        <v>112</v>
      </c>
      <c r="C809" s="9" t="s">
        <v>8</v>
      </c>
      <c r="D809" s="8">
        <v>8.9999999999999993E-3</v>
      </c>
    </row>
    <row r="810" spans="1:4" x14ac:dyDescent="0.35">
      <c r="A810" t="str">
        <f t="shared" si="12"/>
        <v>112Expectancy</v>
      </c>
      <c r="B810">
        <v>112</v>
      </c>
      <c r="C810" s="9" t="s">
        <v>31</v>
      </c>
      <c r="D810" s="8">
        <v>2.948</v>
      </c>
    </row>
    <row r="811" spans="1:4" x14ac:dyDescent="0.35">
      <c r="A811" t="str">
        <f t="shared" si="12"/>
        <v>112Net Profit</v>
      </c>
      <c r="B811">
        <v>112</v>
      </c>
      <c r="C811" s="9" t="s">
        <v>32</v>
      </c>
      <c r="D811" s="8">
        <v>1.4319999999999999E-2</v>
      </c>
    </row>
    <row r="812" spans="1:4" x14ac:dyDescent="0.35">
      <c r="A812" t="str">
        <f t="shared" si="12"/>
        <v>112Loss Rate</v>
      </c>
      <c r="B812">
        <v>112</v>
      </c>
      <c r="C812" s="9" t="s">
        <v>33</v>
      </c>
      <c r="D812" s="8">
        <v>0.18</v>
      </c>
    </row>
    <row r="813" spans="1:4" x14ac:dyDescent="0.35">
      <c r="A813" t="str">
        <f t="shared" si="12"/>
        <v>112Win Rate</v>
      </c>
      <c r="B813">
        <v>112</v>
      </c>
      <c r="C813" s="9" t="s">
        <v>34</v>
      </c>
      <c r="D813" s="8">
        <v>0.82</v>
      </c>
    </row>
    <row r="814" spans="1:4" x14ac:dyDescent="0.35">
      <c r="A814" t="str">
        <f t="shared" si="12"/>
        <v>112Profit-Loss Ratio</v>
      </c>
      <c r="B814">
        <v>112</v>
      </c>
      <c r="C814" s="9" t="s">
        <v>26</v>
      </c>
      <c r="D814" s="8">
        <v>3.83</v>
      </c>
    </row>
    <row r="815" spans="1:4" x14ac:dyDescent="0.35">
      <c r="A815" t="str">
        <f t="shared" si="12"/>
        <v>112Alpha</v>
      </c>
      <c r="B815">
        <v>112</v>
      </c>
      <c r="C815" s="9" t="s">
        <v>23</v>
      </c>
      <c r="D815" s="8">
        <v>1.9E-2</v>
      </c>
    </row>
    <row r="816" spans="1:4" x14ac:dyDescent="0.35">
      <c r="A816" t="str">
        <f t="shared" si="12"/>
        <v>112Beta</v>
      </c>
      <c r="B816">
        <v>112</v>
      </c>
      <c r="C816" s="9" t="s">
        <v>24</v>
      </c>
      <c r="D816" s="8">
        <v>-5.6000000000000001E-2</v>
      </c>
    </row>
    <row r="817" spans="1:4" x14ac:dyDescent="0.35">
      <c r="A817" t="str">
        <f t="shared" si="12"/>
        <v>112Annual Standard Deviation</v>
      </c>
      <c r="B817">
        <v>112</v>
      </c>
      <c r="C817" s="9" t="s">
        <v>35</v>
      </c>
      <c r="D817" s="8">
        <v>1.2999999999999999E-2</v>
      </c>
    </row>
    <row r="818" spans="1:4" x14ac:dyDescent="0.35">
      <c r="A818" t="str">
        <f t="shared" si="12"/>
        <v>112Annual Variance</v>
      </c>
      <c r="B818">
        <v>112</v>
      </c>
      <c r="C818" s="9" t="s">
        <v>36</v>
      </c>
      <c r="D818" s="8">
        <v>0</v>
      </c>
    </row>
    <row r="819" spans="1:4" x14ac:dyDescent="0.35">
      <c r="A819" t="str">
        <f t="shared" si="12"/>
        <v>112Information Ratio</v>
      </c>
      <c r="B819">
        <v>112</v>
      </c>
      <c r="C819" s="9" t="s">
        <v>37</v>
      </c>
      <c r="D819" s="8">
        <v>-0.67400000000000004</v>
      </c>
    </row>
    <row r="820" spans="1:4" x14ac:dyDescent="0.35">
      <c r="A820" t="str">
        <f t="shared" si="12"/>
        <v>112Tracking Error</v>
      </c>
      <c r="B820">
        <v>112</v>
      </c>
      <c r="C820" s="9" t="s">
        <v>38</v>
      </c>
      <c r="D820" s="8">
        <v>7.1999999999999995E-2</v>
      </c>
    </row>
    <row r="821" spans="1:4" x14ac:dyDescent="0.35">
      <c r="A821" t="str">
        <f t="shared" si="12"/>
        <v>112Treynor Ratio</v>
      </c>
      <c r="B821">
        <v>112</v>
      </c>
      <c r="C821" s="9" t="s">
        <v>39</v>
      </c>
      <c r="D821" s="8">
        <v>-0.27700000000000002</v>
      </c>
    </row>
    <row r="822" spans="1:4" x14ac:dyDescent="0.35">
      <c r="A822" t="str">
        <f t="shared" si="12"/>
        <v>112Total Fees</v>
      </c>
      <c r="B822">
        <v>112</v>
      </c>
      <c r="C822" s="9" t="s">
        <v>40</v>
      </c>
      <c r="D822" s="8">
        <v>0</v>
      </c>
    </row>
    <row r="823" spans="1:4" x14ac:dyDescent="0.35">
      <c r="A823" t="str">
        <f t="shared" si="12"/>
        <v>112Estimated Strategy Capacity</v>
      </c>
      <c r="B823">
        <v>112</v>
      </c>
      <c r="C823" s="9" t="s">
        <v>41</v>
      </c>
      <c r="D823" s="8">
        <v>28000000</v>
      </c>
    </row>
    <row r="824" spans="1:4" x14ac:dyDescent="0.35">
      <c r="A824" t="str">
        <f t="shared" si="12"/>
        <v>113PSR</v>
      </c>
      <c r="B824">
        <v>113</v>
      </c>
      <c r="C824" s="9" t="s">
        <v>27</v>
      </c>
      <c r="D824" s="8">
        <v>0.59633000000000003</v>
      </c>
    </row>
    <row r="825" spans="1:4" x14ac:dyDescent="0.35">
      <c r="A825" t="str">
        <f t="shared" si="12"/>
        <v>113Sharpe Ratio</v>
      </c>
      <c r="B825">
        <v>113</v>
      </c>
      <c r="C825" s="9" t="s">
        <v>1</v>
      </c>
      <c r="D825" s="8">
        <v>1.325</v>
      </c>
    </row>
    <row r="826" spans="1:4" x14ac:dyDescent="0.35">
      <c r="A826" t="str">
        <f t="shared" si="12"/>
        <v>113Total Trades</v>
      </c>
      <c r="B826">
        <v>113</v>
      </c>
      <c r="C826" s="9" t="s">
        <v>28</v>
      </c>
      <c r="D826" s="8">
        <v>359</v>
      </c>
    </row>
    <row r="827" spans="1:4" x14ac:dyDescent="0.35">
      <c r="A827" t="str">
        <f t="shared" si="12"/>
        <v>113Average Win</v>
      </c>
      <c r="B827">
        <v>113</v>
      </c>
      <c r="C827" s="9" t="s">
        <v>25</v>
      </c>
      <c r="D827" s="8">
        <v>2.1100000000000001E-2</v>
      </c>
    </row>
    <row r="828" spans="1:4" x14ac:dyDescent="0.35">
      <c r="A828" t="str">
        <f t="shared" si="12"/>
        <v>113Average Loss</v>
      </c>
      <c r="B828">
        <v>113</v>
      </c>
      <c r="C828" s="9" t="s">
        <v>29</v>
      </c>
      <c r="D828" s="8">
        <v>-5.7000000000000002E-3</v>
      </c>
    </row>
    <row r="829" spans="1:4" x14ac:dyDescent="0.35">
      <c r="A829" t="str">
        <f t="shared" si="12"/>
        <v>113Compounding Annual Return</v>
      </c>
      <c r="B829">
        <v>113</v>
      </c>
      <c r="C829" s="9" t="s">
        <v>30</v>
      </c>
      <c r="D829" s="8">
        <v>0.22996</v>
      </c>
    </row>
    <row r="830" spans="1:4" x14ac:dyDescent="0.35">
      <c r="A830" t="str">
        <f t="shared" si="12"/>
        <v>113Drawdown</v>
      </c>
      <c r="B830">
        <v>113</v>
      </c>
      <c r="C830" s="9" t="s">
        <v>8</v>
      </c>
      <c r="D830" s="8">
        <v>0.08</v>
      </c>
    </row>
    <row r="831" spans="1:4" x14ac:dyDescent="0.35">
      <c r="A831" t="str">
        <f t="shared" si="12"/>
        <v>113Expectancy</v>
      </c>
      <c r="B831">
        <v>113</v>
      </c>
      <c r="C831" s="9" t="s">
        <v>31</v>
      </c>
      <c r="D831" s="8">
        <v>2.8580000000000001</v>
      </c>
    </row>
    <row r="832" spans="1:4" x14ac:dyDescent="0.35">
      <c r="A832" t="str">
        <f t="shared" si="12"/>
        <v>113Net Profit</v>
      </c>
      <c r="B832">
        <v>113</v>
      </c>
      <c r="C832" s="9" t="s">
        <v>32</v>
      </c>
      <c r="D832" s="8">
        <v>0.14316999999999999</v>
      </c>
    </row>
    <row r="833" spans="1:4" x14ac:dyDescent="0.35">
      <c r="A833" t="str">
        <f t="shared" si="12"/>
        <v>113Loss Rate</v>
      </c>
      <c r="B833">
        <v>113</v>
      </c>
      <c r="C833" s="9" t="s">
        <v>33</v>
      </c>
      <c r="D833" s="8">
        <v>0.18</v>
      </c>
    </row>
    <row r="834" spans="1:4" x14ac:dyDescent="0.35">
      <c r="A834" t="str">
        <f t="shared" si="12"/>
        <v>113Win Rate</v>
      </c>
      <c r="B834">
        <v>113</v>
      </c>
      <c r="C834" s="9" t="s">
        <v>34</v>
      </c>
      <c r="D834" s="8">
        <v>0.82</v>
      </c>
    </row>
    <row r="835" spans="1:4" x14ac:dyDescent="0.35">
      <c r="A835" t="str">
        <f t="shared" ref="A835:A898" si="13">B835&amp;C835</f>
        <v>113Profit-Loss Ratio</v>
      </c>
      <c r="B835">
        <v>113</v>
      </c>
      <c r="C835" s="9" t="s">
        <v>26</v>
      </c>
      <c r="D835" s="8">
        <v>3.71</v>
      </c>
    </row>
    <row r="836" spans="1:4" x14ac:dyDescent="0.35">
      <c r="A836" t="str">
        <f t="shared" si="13"/>
        <v>113Alpha</v>
      </c>
      <c r="B836">
        <v>113</v>
      </c>
      <c r="C836" s="9" t="s">
        <v>23</v>
      </c>
      <c r="D836" s="8">
        <v>0.19500000000000001</v>
      </c>
    </row>
    <row r="837" spans="1:4" x14ac:dyDescent="0.35">
      <c r="A837" t="str">
        <f t="shared" si="13"/>
        <v>113Beta</v>
      </c>
      <c r="B837">
        <v>113</v>
      </c>
      <c r="C837" s="9" t="s">
        <v>24</v>
      </c>
      <c r="D837" s="8">
        <v>-0.51</v>
      </c>
    </row>
    <row r="838" spans="1:4" x14ac:dyDescent="0.35">
      <c r="A838" t="str">
        <f t="shared" si="13"/>
        <v>113Annual Standard Deviation</v>
      </c>
      <c r="B838">
        <v>113</v>
      </c>
      <c r="C838" s="9" t="s">
        <v>35</v>
      </c>
      <c r="D838" s="8">
        <v>0.123</v>
      </c>
    </row>
    <row r="839" spans="1:4" x14ac:dyDescent="0.35">
      <c r="A839" t="str">
        <f t="shared" si="13"/>
        <v>113Annual Variance</v>
      </c>
      <c r="B839">
        <v>113</v>
      </c>
      <c r="C839" s="9" t="s">
        <v>36</v>
      </c>
      <c r="D839" s="8">
        <v>1.4999999999999999E-2</v>
      </c>
    </row>
    <row r="840" spans="1:4" x14ac:dyDescent="0.35">
      <c r="A840" t="str">
        <f t="shared" si="13"/>
        <v>113Information Ratio</v>
      </c>
      <c r="B840">
        <v>113</v>
      </c>
      <c r="C840" s="9" t="s">
        <v>37</v>
      </c>
      <c r="D840" s="8">
        <v>0.63900000000000001</v>
      </c>
    </row>
    <row r="841" spans="1:4" x14ac:dyDescent="0.35">
      <c r="A841" t="str">
        <f t="shared" si="13"/>
        <v>113Tracking Error</v>
      </c>
      <c r="B841">
        <v>113</v>
      </c>
      <c r="C841" s="9" t="s">
        <v>38</v>
      </c>
      <c r="D841" s="8">
        <v>0.155</v>
      </c>
    </row>
    <row r="842" spans="1:4" x14ac:dyDescent="0.35">
      <c r="A842" t="str">
        <f t="shared" si="13"/>
        <v>113Treynor Ratio</v>
      </c>
      <c r="B842">
        <v>113</v>
      </c>
      <c r="C842" s="9" t="s">
        <v>39</v>
      </c>
      <c r="D842" s="8">
        <v>-0.31900000000000001</v>
      </c>
    </row>
    <row r="843" spans="1:4" x14ac:dyDescent="0.35">
      <c r="A843" t="str">
        <f t="shared" si="13"/>
        <v>113Total Fees</v>
      </c>
      <c r="B843">
        <v>113</v>
      </c>
      <c r="C843" s="9" t="s">
        <v>40</v>
      </c>
      <c r="D843" s="8">
        <v>0</v>
      </c>
    </row>
    <row r="844" spans="1:4" x14ac:dyDescent="0.35">
      <c r="A844" t="str">
        <f t="shared" si="13"/>
        <v>113Estimated Strategy Capacity</v>
      </c>
      <c r="B844">
        <v>113</v>
      </c>
      <c r="C844" s="9" t="s">
        <v>41</v>
      </c>
      <c r="D844" s="8">
        <v>3400000</v>
      </c>
    </row>
    <row r="845" spans="1:4" x14ac:dyDescent="0.35">
      <c r="A845" t="str">
        <f t="shared" si="13"/>
        <v>114PSR</v>
      </c>
      <c r="B845">
        <v>114</v>
      </c>
      <c r="C845" s="9" t="s">
        <v>27</v>
      </c>
      <c r="D845" s="8">
        <v>0.68464000000000003</v>
      </c>
    </row>
    <row r="846" spans="1:4" x14ac:dyDescent="0.35">
      <c r="A846" t="str">
        <f t="shared" si="13"/>
        <v>114Sharpe Ratio</v>
      </c>
      <c r="B846">
        <v>114</v>
      </c>
      <c r="C846" s="9" t="s">
        <v>1</v>
      </c>
      <c r="D846" s="8">
        <v>2.0459999999999998</v>
      </c>
    </row>
    <row r="847" spans="1:4" x14ac:dyDescent="0.35">
      <c r="A847" t="str">
        <f t="shared" si="13"/>
        <v>114Total Trades</v>
      </c>
      <c r="B847">
        <v>114</v>
      </c>
      <c r="C847" s="9" t="s">
        <v>28</v>
      </c>
      <c r="D847" s="8">
        <v>359</v>
      </c>
    </row>
    <row r="848" spans="1:4" x14ac:dyDescent="0.35">
      <c r="A848" t="str">
        <f t="shared" si="13"/>
        <v>114Average Win</v>
      </c>
      <c r="B848">
        <v>114</v>
      </c>
      <c r="C848" s="9" t="s">
        <v>25</v>
      </c>
      <c r="D848" s="8">
        <v>8.4699999999999998E-2</v>
      </c>
    </row>
    <row r="849" spans="1:4" x14ac:dyDescent="0.35">
      <c r="A849" t="str">
        <f t="shared" si="13"/>
        <v>114Average Loss</v>
      </c>
      <c r="B849">
        <v>114</v>
      </c>
      <c r="C849" s="9" t="s">
        <v>29</v>
      </c>
      <c r="D849" s="8">
        <v>-2.47E-2</v>
      </c>
    </row>
    <row r="850" spans="1:4" x14ac:dyDescent="0.35">
      <c r="A850" t="str">
        <f t="shared" si="13"/>
        <v>114Compounding Annual Return</v>
      </c>
      <c r="B850">
        <v>114</v>
      </c>
      <c r="C850" s="9" t="s">
        <v>30</v>
      </c>
      <c r="D850" s="8">
        <v>1.3051999999999999</v>
      </c>
    </row>
    <row r="851" spans="1:4" x14ac:dyDescent="0.35">
      <c r="A851" t="str">
        <f t="shared" si="13"/>
        <v>114Drawdown</v>
      </c>
      <c r="B851">
        <v>114</v>
      </c>
      <c r="C851" s="9" t="s">
        <v>8</v>
      </c>
      <c r="D851" s="8">
        <v>0.24199999999999999</v>
      </c>
    </row>
    <row r="852" spans="1:4" x14ac:dyDescent="0.35">
      <c r="A852" t="str">
        <f t="shared" si="13"/>
        <v>114Expectancy</v>
      </c>
      <c r="B852">
        <v>114</v>
      </c>
      <c r="C852" s="9" t="s">
        <v>31</v>
      </c>
      <c r="D852" s="8">
        <v>2.6240000000000001</v>
      </c>
    </row>
    <row r="853" spans="1:4" x14ac:dyDescent="0.35">
      <c r="A853" t="str">
        <f t="shared" si="13"/>
        <v>114Net Profit</v>
      </c>
      <c r="B853">
        <v>114</v>
      </c>
      <c r="C853" s="9" t="s">
        <v>32</v>
      </c>
      <c r="D853" s="8">
        <v>0.71584000000000003</v>
      </c>
    </row>
    <row r="854" spans="1:4" x14ac:dyDescent="0.35">
      <c r="A854" t="str">
        <f t="shared" si="13"/>
        <v>114Loss Rate</v>
      </c>
      <c r="B854">
        <v>114</v>
      </c>
      <c r="C854" s="9" t="s">
        <v>33</v>
      </c>
      <c r="D854" s="8">
        <v>0.18</v>
      </c>
    </row>
    <row r="855" spans="1:4" x14ac:dyDescent="0.35">
      <c r="A855" t="str">
        <f t="shared" si="13"/>
        <v>114Win Rate</v>
      </c>
      <c r="B855">
        <v>114</v>
      </c>
      <c r="C855" s="9" t="s">
        <v>34</v>
      </c>
      <c r="D855" s="8">
        <v>0.82</v>
      </c>
    </row>
    <row r="856" spans="1:4" x14ac:dyDescent="0.35">
      <c r="A856" t="str">
        <f t="shared" si="13"/>
        <v>114Profit-Loss Ratio</v>
      </c>
      <c r="B856">
        <v>114</v>
      </c>
      <c r="C856" s="9" t="s">
        <v>26</v>
      </c>
      <c r="D856" s="8">
        <v>3.43</v>
      </c>
    </row>
    <row r="857" spans="1:4" x14ac:dyDescent="0.35">
      <c r="A857" t="str">
        <f t="shared" si="13"/>
        <v>114Alpha</v>
      </c>
      <c r="B857">
        <v>114</v>
      </c>
      <c r="C857" s="9" t="s">
        <v>23</v>
      </c>
      <c r="D857" s="8">
        <v>1.109</v>
      </c>
    </row>
    <row r="858" spans="1:4" x14ac:dyDescent="0.35">
      <c r="A858" t="str">
        <f t="shared" si="13"/>
        <v>114Beta</v>
      </c>
      <c r="B858">
        <v>114</v>
      </c>
      <c r="C858" s="9" t="s">
        <v>24</v>
      </c>
      <c r="D858" s="8">
        <v>-1.881</v>
      </c>
    </row>
    <row r="859" spans="1:4" x14ac:dyDescent="0.35">
      <c r="A859" t="str">
        <f t="shared" si="13"/>
        <v>114Annual Standard Deviation</v>
      </c>
      <c r="B859">
        <v>114</v>
      </c>
      <c r="C859" s="9" t="s">
        <v>35</v>
      </c>
      <c r="D859" s="8">
        <v>0.48299999999999998</v>
      </c>
    </row>
    <row r="860" spans="1:4" x14ac:dyDescent="0.35">
      <c r="A860" t="str">
        <f t="shared" si="13"/>
        <v>114Annual Variance</v>
      </c>
      <c r="B860">
        <v>114</v>
      </c>
      <c r="C860" s="9" t="s">
        <v>36</v>
      </c>
      <c r="D860" s="8">
        <v>0.23400000000000001</v>
      </c>
    </row>
    <row r="861" spans="1:4" x14ac:dyDescent="0.35">
      <c r="A861" t="str">
        <f t="shared" si="13"/>
        <v>114Information Ratio</v>
      </c>
      <c r="B861">
        <v>114</v>
      </c>
      <c r="C861" s="9" t="s">
        <v>37</v>
      </c>
      <c r="D861" s="8">
        <v>1.833</v>
      </c>
    </row>
    <row r="862" spans="1:4" x14ac:dyDescent="0.35">
      <c r="A862" t="str">
        <f t="shared" si="13"/>
        <v>114Tracking Error</v>
      </c>
      <c r="B862">
        <v>114</v>
      </c>
      <c r="C862" s="9" t="s">
        <v>38</v>
      </c>
      <c r="D862" s="8">
        <v>0.505</v>
      </c>
    </row>
    <row r="863" spans="1:4" x14ac:dyDescent="0.35">
      <c r="A863" t="str">
        <f t="shared" si="13"/>
        <v>114Treynor Ratio</v>
      </c>
      <c r="B863">
        <v>114</v>
      </c>
      <c r="C863" s="9" t="s">
        <v>39</v>
      </c>
      <c r="D863" s="8">
        <v>-0.52600000000000002</v>
      </c>
    </row>
    <row r="864" spans="1:4" x14ac:dyDescent="0.35">
      <c r="A864" t="str">
        <f t="shared" si="13"/>
        <v>114Total Fees</v>
      </c>
      <c r="B864">
        <v>114</v>
      </c>
      <c r="C864" s="9" t="s">
        <v>40</v>
      </c>
      <c r="D864" s="8">
        <v>0</v>
      </c>
    </row>
    <row r="865" spans="1:4" x14ac:dyDescent="0.35">
      <c r="A865" t="str">
        <f t="shared" si="13"/>
        <v>114Estimated Strategy Capacity</v>
      </c>
      <c r="B865">
        <v>114</v>
      </c>
      <c r="C865" s="9" t="s">
        <v>41</v>
      </c>
      <c r="D865" s="8">
        <v>1100000</v>
      </c>
    </row>
    <row r="866" spans="1:4" x14ac:dyDescent="0.35">
      <c r="A866" t="str">
        <f t="shared" si="13"/>
        <v>115PSR</v>
      </c>
      <c r="B866">
        <v>115</v>
      </c>
      <c r="C866" s="9" t="s">
        <v>27</v>
      </c>
      <c r="D866" s="8">
        <v>0.51526000000000005</v>
      </c>
    </row>
    <row r="867" spans="1:4" x14ac:dyDescent="0.35">
      <c r="A867" t="str">
        <f t="shared" si="13"/>
        <v>115Sharpe Ratio</v>
      </c>
      <c r="B867">
        <v>115</v>
      </c>
      <c r="C867" s="9" t="s">
        <v>1</v>
      </c>
      <c r="D867" s="8">
        <v>1.0429999999999999</v>
      </c>
    </row>
    <row r="868" spans="1:4" x14ac:dyDescent="0.35">
      <c r="A868" t="str">
        <f t="shared" si="13"/>
        <v>115Total Trades</v>
      </c>
      <c r="B868">
        <v>115</v>
      </c>
      <c r="C868" s="9" t="s">
        <v>28</v>
      </c>
      <c r="D868" s="8">
        <v>254</v>
      </c>
    </row>
    <row r="869" spans="1:4" x14ac:dyDescent="0.35">
      <c r="A869" t="str">
        <f t="shared" si="13"/>
        <v>115Average Win</v>
      </c>
      <c r="B869">
        <v>115</v>
      </c>
      <c r="C869" s="9" t="s">
        <v>25</v>
      </c>
      <c r="D869" s="8">
        <v>2E-3</v>
      </c>
    </row>
    <row r="870" spans="1:4" x14ac:dyDescent="0.35">
      <c r="A870" t="str">
        <f t="shared" si="13"/>
        <v>115Average Loss</v>
      </c>
      <c r="B870">
        <v>115</v>
      </c>
      <c r="C870" s="9" t="s">
        <v>29</v>
      </c>
      <c r="D870" s="8">
        <v>-1.2999999999999999E-3</v>
      </c>
    </row>
    <row r="871" spans="1:4" x14ac:dyDescent="0.35">
      <c r="A871" t="str">
        <f t="shared" si="13"/>
        <v>115Compounding Annual Return</v>
      </c>
      <c r="B871">
        <v>115</v>
      </c>
      <c r="C871" s="9" t="s">
        <v>30</v>
      </c>
      <c r="D871" s="8">
        <v>1.503E-2</v>
      </c>
    </row>
    <row r="872" spans="1:4" x14ac:dyDescent="0.35">
      <c r="A872" t="str">
        <f t="shared" si="13"/>
        <v>115Drawdown</v>
      </c>
      <c r="B872">
        <v>115</v>
      </c>
      <c r="C872" s="9" t="s">
        <v>8</v>
      </c>
      <c r="D872" s="8">
        <v>7.0000000000000001E-3</v>
      </c>
    </row>
    <row r="873" spans="1:4" x14ac:dyDescent="0.35">
      <c r="A873" t="str">
        <f t="shared" si="13"/>
        <v>115Expectancy</v>
      </c>
      <c r="B873">
        <v>115</v>
      </c>
      <c r="C873" s="9" t="s">
        <v>31</v>
      </c>
      <c r="D873" s="8">
        <v>0.92300000000000004</v>
      </c>
    </row>
    <row r="874" spans="1:4" x14ac:dyDescent="0.35">
      <c r="A874" t="str">
        <f t="shared" si="13"/>
        <v>115Net Profit</v>
      </c>
      <c r="B874">
        <v>115</v>
      </c>
      <c r="C874" s="9" t="s">
        <v>32</v>
      </c>
      <c r="D874" s="8">
        <v>9.6900000000000007E-3</v>
      </c>
    </row>
    <row r="875" spans="1:4" x14ac:dyDescent="0.35">
      <c r="A875" t="str">
        <f t="shared" si="13"/>
        <v>115Loss Rate</v>
      </c>
      <c r="B875">
        <v>115</v>
      </c>
      <c r="C875" s="9" t="s">
        <v>33</v>
      </c>
      <c r="D875" s="8">
        <v>0.25</v>
      </c>
    </row>
    <row r="876" spans="1:4" x14ac:dyDescent="0.35">
      <c r="A876" t="str">
        <f t="shared" si="13"/>
        <v>115Win Rate</v>
      </c>
      <c r="B876">
        <v>115</v>
      </c>
      <c r="C876" s="9" t="s">
        <v>34</v>
      </c>
      <c r="D876" s="8">
        <v>0.75</v>
      </c>
    </row>
    <row r="877" spans="1:4" x14ac:dyDescent="0.35">
      <c r="A877" t="str">
        <f t="shared" si="13"/>
        <v>115Profit-Loss Ratio</v>
      </c>
      <c r="B877">
        <v>115</v>
      </c>
      <c r="C877" s="9" t="s">
        <v>26</v>
      </c>
      <c r="D877" s="8">
        <v>1.56</v>
      </c>
    </row>
    <row r="878" spans="1:4" x14ac:dyDescent="0.35">
      <c r="A878" t="str">
        <f t="shared" si="13"/>
        <v>115Alpha</v>
      </c>
      <c r="B878">
        <v>115</v>
      </c>
      <c r="C878" s="9" t="s">
        <v>23</v>
      </c>
      <c r="D878" s="8">
        <v>1.2999999999999999E-2</v>
      </c>
    </row>
    <row r="879" spans="1:4" x14ac:dyDescent="0.35">
      <c r="A879" t="str">
        <f t="shared" si="13"/>
        <v>115Beta</v>
      </c>
      <c r="B879">
        <v>115</v>
      </c>
      <c r="C879" s="9" t="s">
        <v>24</v>
      </c>
      <c r="D879" s="8">
        <v>-3.3000000000000002E-2</v>
      </c>
    </row>
    <row r="880" spans="1:4" x14ac:dyDescent="0.35">
      <c r="A880" t="str">
        <f t="shared" si="13"/>
        <v>115Annual Standard Deviation</v>
      </c>
      <c r="B880">
        <v>115</v>
      </c>
      <c r="C880" s="9" t="s">
        <v>35</v>
      </c>
      <c r="D880" s="8">
        <v>0.01</v>
      </c>
    </row>
    <row r="881" spans="1:4" x14ac:dyDescent="0.35">
      <c r="A881" t="str">
        <f t="shared" si="13"/>
        <v>115Annual Variance</v>
      </c>
      <c r="B881">
        <v>115</v>
      </c>
      <c r="C881" s="9" t="s">
        <v>36</v>
      </c>
      <c r="D881" s="8">
        <v>0</v>
      </c>
    </row>
    <row r="882" spans="1:4" x14ac:dyDescent="0.35">
      <c r="A882" t="str">
        <f t="shared" si="13"/>
        <v>115Information Ratio</v>
      </c>
      <c r="B882">
        <v>115</v>
      </c>
      <c r="C882" s="9" t="s">
        <v>37</v>
      </c>
      <c r="D882" s="8">
        <v>-0.76400000000000001</v>
      </c>
    </row>
    <row r="883" spans="1:4" x14ac:dyDescent="0.35">
      <c r="A883" t="str">
        <f t="shared" si="13"/>
        <v>115Tracking Error</v>
      </c>
      <c r="B883">
        <v>115</v>
      </c>
      <c r="C883" s="9" t="s">
        <v>38</v>
      </c>
      <c r="D883" s="8">
        <v>7.0000000000000007E-2</v>
      </c>
    </row>
    <row r="884" spans="1:4" x14ac:dyDescent="0.35">
      <c r="A884" t="str">
        <f t="shared" si="13"/>
        <v>115Treynor Ratio</v>
      </c>
      <c r="B884">
        <v>115</v>
      </c>
      <c r="C884" s="9" t="s">
        <v>39</v>
      </c>
      <c r="D884" s="8">
        <v>-0.312</v>
      </c>
    </row>
    <row r="885" spans="1:4" x14ac:dyDescent="0.35">
      <c r="A885" t="str">
        <f t="shared" si="13"/>
        <v>115Total Fees</v>
      </c>
      <c r="B885">
        <v>115</v>
      </c>
      <c r="C885" s="9" t="s">
        <v>40</v>
      </c>
      <c r="D885" s="8">
        <v>0</v>
      </c>
    </row>
    <row r="886" spans="1:4" x14ac:dyDescent="0.35">
      <c r="A886" t="str">
        <f t="shared" si="13"/>
        <v>115Estimated Strategy Capacity</v>
      </c>
      <c r="B886">
        <v>115</v>
      </c>
      <c r="C886" s="9" t="s">
        <v>41</v>
      </c>
      <c r="D886" s="8">
        <v>1300000000</v>
      </c>
    </row>
    <row r="887" spans="1:4" x14ac:dyDescent="0.35">
      <c r="A887" t="str">
        <f t="shared" si="13"/>
        <v>116PSR</v>
      </c>
      <c r="B887">
        <v>116</v>
      </c>
      <c r="C887" s="9" t="s">
        <v>27</v>
      </c>
      <c r="D887" s="8">
        <v>0.52122000000000002</v>
      </c>
    </row>
    <row r="888" spans="1:4" x14ac:dyDescent="0.35">
      <c r="A888" t="str">
        <f t="shared" si="13"/>
        <v>116Sharpe Ratio</v>
      </c>
      <c r="B888">
        <v>116</v>
      </c>
      <c r="C888" s="9" t="s">
        <v>1</v>
      </c>
      <c r="D888" s="8">
        <v>1.109</v>
      </c>
    </row>
    <row r="889" spans="1:4" x14ac:dyDescent="0.35">
      <c r="A889" t="str">
        <f t="shared" si="13"/>
        <v>116Total Trades</v>
      </c>
      <c r="B889">
        <v>116</v>
      </c>
      <c r="C889" s="9" t="s">
        <v>28</v>
      </c>
      <c r="D889" s="8">
        <v>254</v>
      </c>
    </row>
    <row r="890" spans="1:4" x14ac:dyDescent="0.35">
      <c r="A890" t="str">
        <f t="shared" si="13"/>
        <v>116Average Win</v>
      </c>
      <c r="B890">
        <v>116</v>
      </c>
      <c r="C890" s="9" t="s">
        <v>25</v>
      </c>
      <c r="D890" s="8">
        <v>1.9699999999999999E-2</v>
      </c>
    </row>
    <row r="891" spans="1:4" x14ac:dyDescent="0.35">
      <c r="A891" t="str">
        <f t="shared" si="13"/>
        <v>116Average Loss</v>
      </c>
      <c r="B891">
        <v>116</v>
      </c>
      <c r="C891" s="9" t="s">
        <v>29</v>
      </c>
      <c r="D891" s="8">
        <v>-1.2699999999999999E-2</v>
      </c>
    </row>
    <row r="892" spans="1:4" x14ac:dyDescent="0.35">
      <c r="A892" t="str">
        <f t="shared" si="13"/>
        <v>116Compounding Annual Return</v>
      </c>
      <c r="B892">
        <v>116</v>
      </c>
      <c r="C892" s="9" t="s">
        <v>30</v>
      </c>
      <c r="D892" s="8">
        <v>0.15382999999999999</v>
      </c>
    </row>
    <row r="893" spans="1:4" x14ac:dyDescent="0.35">
      <c r="A893" t="str">
        <f t="shared" si="13"/>
        <v>116Drawdown</v>
      </c>
      <c r="B893">
        <v>116</v>
      </c>
      <c r="C893" s="9" t="s">
        <v>8</v>
      </c>
      <c r="D893" s="8">
        <v>6.4000000000000001E-2</v>
      </c>
    </row>
    <row r="894" spans="1:4" x14ac:dyDescent="0.35">
      <c r="A894" t="str">
        <f t="shared" si="13"/>
        <v>116Expectancy</v>
      </c>
      <c r="B894">
        <v>116</v>
      </c>
      <c r="C894" s="9" t="s">
        <v>31</v>
      </c>
      <c r="D894" s="8">
        <v>0.91300000000000003</v>
      </c>
    </row>
    <row r="895" spans="1:4" x14ac:dyDescent="0.35">
      <c r="A895" t="str">
        <f t="shared" si="13"/>
        <v>116Net Profit</v>
      </c>
      <c r="B895">
        <v>116</v>
      </c>
      <c r="C895" s="9" t="s">
        <v>32</v>
      </c>
      <c r="D895" s="8">
        <v>9.6909999999999996E-2</v>
      </c>
    </row>
    <row r="896" spans="1:4" x14ac:dyDescent="0.35">
      <c r="A896" t="str">
        <f t="shared" si="13"/>
        <v>116Loss Rate</v>
      </c>
      <c r="B896">
        <v>116</v>
      </c>
      <c r="C896" s="9" t="s">
        <v>33</v>
      </c>
      <c r="D896" s="8">
        <v>0.25</v>
      </c>
    </row>
    <row r="897" spans="1:4" x14ac:dyDescent="0.35">
      <c r="A897" t="str">
        <f t="shared" si="13"/>
        <v>116Win Rate</v>
      </c>
      <c r="B897">
        <v>116</v>
      </c>
      <c r="C897" s="9" t="s">
        <v>34</v>
      </c>
      <c r="D897" s="8">
        <v>0.75</v>
      </c>
    </row>
    <row r="898" spans="1:4" x14ac:dyDescent="0.35">
      <c r="A898" t="str">
        <f t="shared" si="13"/>
        <v>116Profit-Loss Ratio</v>
      </c>
      <c r="B898">
        <v>116</v>
      </c>
      <c r="C898" s="9" t="s">
        <v>26</v>
      </c>
      <c r="D898" s="8">
        <v>1.55</v>
      </c>
    </row>
    <row r="899" spans="1:4" x14ac:dyDescent="0.35">
      <c r="A899" t="str">
        <f t="shared" ref="A899:A962" si="14">B899&amp;C899</f>
        <v>116Alpha</v>
      </c>
      <c r="B899">
        <v>116</v>
      </c>
      <c r="C899" s="9" t="s">
        <v>23</v>
      </c>
      <c r="D899" s="8">
        <v>0.13100000000000001</v>
      </c>
    </row>
    <row r="900" spans="1:4" x14ac:dyDescent="0.35">
      <c r="A900" t="str">
        <f t="shared" si="14"/>
        <v>116Beta</v>
      </c>
      <c r="B900">
        <v>116</v>
      </c>
      <c r="C900" s="9" t="s">
        <v>24</v>
      </c>
      <c r="D900" s="8">
        <v>-0.33</v>
      </c>
    </row>
    <row r="901" spans="1:4" x14ac:dyDescent="0.35">
      <c r="A901" t="str">
        <f t="shared" si="14"/>
        <v>116Annual Standard Deviation</v>
      </c>
      <c r="B901">
        <v>116</v>
      </c>
      <c r="C901" s="9" t="s">
        <v>35</v>
      </c>
      <c r="D901" s="8">
        <v>9.9000000000000005E-2</v>
      </c>
    </row>
    <row r="902" spans="1:4" x14ac:dyDescent="0.35">
      <c r="A902" t="str">
        <f t="shared" si="14"/>
        <v>116Annual Variance</v>
      </c>
      <c r="B902">
        <v>116</v>
      </c>
      <c r="C902" s="9" t="s">
        <v>36</v>
      </c>
      <c r="D902" s="8">
        <v>0.01</v>
      </c>
    </row>
    <row r="903" spans="1:4" x14ac:dyDescent="0.35">
      <c r="A903" t="str">
        <f t="shared" si="14"/>
        <v>116Information Ratio</v>
      </c>
      <c r="B903">
        <v>116</v>
      </c>
      <c r="C903" s="9" t="s">
        <v>37</v>
      </c>
      <c r="D903" s="8">
        <v>0.35099999999999998</v>
      </c>
    </row>
    <row r="904" spans="1:4" x14ac:dyDescent="0.35">
      <c r="A904" t="str">
        <f t="shared" si="14"/>
        <v>116Tracking Error</v>
      </c>
      <c r="B904">
        <v>116</v>
      </c>
      <c r="C904" s="9" t="s">
        <v>38</v>
      </c>
      <c r="D904" s="8">
        <v>0.13100000000000001</v>
      </c>
    </row>
    <row r="905" spans="1:4" x14ac:dyDescent="0.35">
      <c r="A905" t="str">
        <f t="shared" si="14"/>
        <v>116Treynor Ratio</v>
      </c>
      <c r="B905">
        <v>116</v>
      </c>
      <c r="C905" s="9" t="s">
        <v>39</v>
      </c>
      <c r="D905" s="8">
        <v>-0.33300000000000002</v>
      </c>
    </row>
    <row r="906" spans="1:4" x14ac:dyDescent="0.35">
      <c r="A906" t="str">
        <f t="shared" si="14"/>
        <v>116Total Fees</v>
      </c>
      <c r="B906">
        <v>116</v>
      </c>
      <c r="C906" s="9" t="s">
        <v>40</v>
      </c>
      <c r="D906" s="8">
        <v>0</v>
      </c>
    </row>
    <row r="907" spans="1:4" x14ac:dyDescent="0.35">
      <c r="A907" t="str">
        <f t="shared" si="14"/>
        <v>116Estimated Strategy Capacity</v>
      </c>
      <c r="B907">
        <v>116</v>
      </c>
      <c r="C907" s="9" t="s">
        <v>41</v>
      </c>
      <c r="D907" s="8">
        <v>140000000</v>
      </c>
    </row>
    <row r="908" spans="1:4" x14ac:dyDescent="0.35">
      <c r="A908" t="str">
        <f t="shared" si="14"/>
        <v>117PSR</v>
      </c>
      <c r="B908">
        <v>117</v>
      </c>
      <c r="C908" s="9" t="s">
        <v>27</v>
      </c>
      <c r="D908" s="8">
        <v>0.54954999999999998</v>
      </c>
    </row>
    <row r="909" spans="1:4" x14ac:dyDescent="0.35">
      <c r="A909" t="str">
        <f t="shared" si="14"/>
        <v>117Sharpe Ratio</v>
      </c>
      <c r="B909">
        <v>117</v>
      </c>
      <c r="C909" s="9" t="s">
        <v>1</v>
      </c>
      <c r="D909" s="8">
        <v>1.4750000000000001</v>
      </c>
    </row>
    <row r="910" spans="1:4" x14ac:dyDescent="0.35">
      <c r="A910" t="str">
        <f t="shared" si="14"/>
        <v>117Total Trades</v>
      </c>
      <c r="B910">
        <v>117</v>
      </c>
      <c r="C910" s="9" t="s">
        <v>28</v>
      </c>
      <c r="D910" s="8">
        <v>254</v>
      </c>
    </row>
    <row r="911" spans="1:4" x14ac:dyDescent="0.35">
      <c r="A911" t="str">
        <f t="shared" si="14"/>
        <v>117Average Win</v>
      </c>
      <c r="B911">
        <v>117</v>
      </c>
      <c r="C911" s="9" t="s">
        <v>25</v>
      </c>
      <c r="D911" s="8">
        <v>9.8900000000000002E-2</v>
      </c>
    </row>
    <row r="912" spans="1:4" x14ac:dyDescent="0.35">
      <c r="A912" t="str">
        <f t="shared" si="14"/>
        <v>117Average Loss</v>
      </c>
      <c r="B912">
        <v>117</v>
      </c>
      <c r="C912" s="9" t="s">
        <v>29</v>
      </c>
      <c r="D912" s="8">
        <v>-6.5100000000000005E-2</v>
      </c>
    </row>
    <row r="913" spans="1:4" x14ac:dyDescent="0.35">
      <c r="A913" t="str">
        <f t="shared" si="14"/>
        <v>117Compounding Annual Return</v>
      </c>
      <c r="B913">
        <v>117</v>
      </c>
      <c r="C913" s="9" t="s">
        <v>30</v>
      </c>
      <c r="D913" s="8">
        <v>0.84267000000000003</v>
      </c>
    </row>
    <row r="914" spans="1:4" x14ac:dyDescent="0.35">
      <c r="A914" t="str">
        <f t="shared" si="14"/>
        <v>117Drawdown</v>
      </c>
      <c r="B914">
        <v>117</v>
      </c>
      <c r="C914" s="9" t="s">
        <v>8</v>
      </c>
      <c r="D914" s="8">
        <v>0.23599999999999999</v>
      </c>
    </row>
    <row r="915" spans="1:4" x14ac:dyDescent="0.35">
      <c r="A915" t="str">
        <f t="shared" si="14"/>
        <v>117Expectancy</v>
      </c>
      <c r="B915">
        <v>117</v>
      </c>
      <c r="C915" s="9" t="s">
        <v>31</v>
      </c>
      <c r="D915" s="8">
        <v>0.88900000000000001</v>
      </c>
    </row>
    <row r="916" spans="1:4" x14ac:dyDescent="0.35">
      <c r="A916" t="str">
        <f t="shared" si="14"/>
        <v>117Net Profit</v>
      </c>
      <c r="B916">
        <v>117</v>
      </c>
      <c r="C916" s="9" t="s">
        <v>32</v>
      </c>
      <c r="D916" s="8">
        <v>0.48457</v>
      </c>
    </row>
    <row r="917" spans="1:4" x14ac:dyDescent="0.35">
      <c r="A917" t="str">
        <f t="shared" si="14"/>
        <v>117Loss Rate</v>
      </c>
      <c r="B917">
        <v>117</v>
      </c>
      <c r="C917" s="9" t="s">
        <v>33</v>
      </c>
      <c r="D917" s="8">
        <v>0.25</v>
      </c>
    </row>
    <row r="918" spans="1:4" x14ac:dyDescent="0.35">
      <c r="A918" t="str">
        <f t="shared" si="14"/>
        <v>117Win Rate</v>
      </c>
      <c r="B918">
        <v>117</v>
      </c>
      <c r="C918" s="9" t="s">
        <v>34</v>
      </c>
      <c r="D918" s="8">
        <v>0.75</v>
      </c>
    </row>
    <row r="919" spans="1:4" x14ac:dyDescent="0.35">
      <c r="A919" t="str">
        <f t="shared" si="14"/>
        <v>117Profit-Loss Ratio</v>
      </c>
      <c r="B919">
        <v>117</v>
      </c>
      <c r="C919" s="9" t="s">
        <v>26</v>
      </c>
      <c r="D919" s="8">
        <v>1.52</v>
      </c>
    </row>
    <row r="920" spans="1:4" x14ac:dyDescent="0.35">
      <c r="A920" t="str">
        <f t="shared" si="14"/>
        <v>117Alpha</v>
      </c>
      <c r="B920">
        <v>117</v>
      </c>
      <c r="C920" s="9" t="s">
        <v>23</v>
      </c>
      <c r="D920" s="8">
        <v>0.80100000000000005</v>
      </c>
    </row>
    <row r="921" spans="1:4" x14ac:dyDescent="0.35">
      <c r="A921" t="str">
        <f t="shared" si="14"/>
        <v>117Beta</v>
      </c>
      <c r="B921">
        <v>117</v>
      </c>
      <c r="C921" s="9" t="s">
        <v>24</v>
      </c>
      <c r="D921" s="8">
        <v>-1.571</v>
      </c>
    </row>
    <row r="922" spans="1:4" x14ac:dyDescent="0.35">
      <c r="A922" t="str">
        <f t="shared" si="14"/>
        <v>117Annual Standard Deviation</v>
      </c>
      <c r="B922">
        <v>117</v>
      </c>
      <c r="C922" s="9" t="s">
        <v>35</v>
      </c>
      <c r="D922" s="8">
        <v>0.47499999999999998</v>
      </c>
    </row>
    <row r="923" spans="1:4" x14ac:dyDescent="0.35">
      <c r="A923" t="str">
        <f t="shared" si="14"/>
        <v>117Annual Variance</v>
      </c>
      <c r="B923">
        <v>117</v>
      </c>
      <c r="C923" s="9" t="s">
        <v>36</v>
      </c>
      <c r="D923" s="8">
        <v>0.22600000000000001</v>
      </c>
    </row>
    <row r="924" spans="1:4" x14ac:dyDescent="0.35">
      <c r="A924" t="str">
        <f t="shared" si="14"/>
        <v>117Information Ratio</v>
      </c>
      <c r="B924">
        <v>117</v>
      </c>
      <c r="C924" s="9" t="s">
        <v>37</v>
      </c>
      <c r="D924" s="8">
        <v>1.2889999999999999</v>
      </c>
    </row>
    <row r="925" spans="1:4" x14ac:dyDescent="0.35">
      <c r="A925" t="str">
        <f t="shared" si="14"/>
        <v>117Tracking Error</v>
      </c>
      <c r="B925">
        <v>117</v>
      </c>
      <c r="C925" s="9" t="s">
        <v>38</v>
      </c>
      <c r="D925" s="8">
        <v>0.49399999999999999</v>
      </c>
    </row>
    <row r="926" spans="1:4" x14ac:dyDescent="0.35">
      <c r="A926" t="str">
        <f t="shared" si="14"/>
        <v>117Treynor Ratio</v>
      </c>
      <c r="B926">
        <v>117</v>
      </c>
      <c r="C926" s="9" t="s">
        <v>39</v>
      </c>
      <c r="D926" s="8">
        <v>-0.44600000000000001</v>
      </c>
    </row>
    <row r="927" spans="1:4" x14ac:dyDescent="0.35">
      <c r="A927" t="str">
        <f t="shared" si="14"/>
        <v>117Total Fees</v>
      </c>
      <c r="B927">
        <v>117</v>
      </c>
      <c r="C927" s="9" t="s">
        <v>40</v>
      </c>
      <c r="D927" s="8">
        <v>0</v>
      </c>
    </row>
    <row r="928" spans="1:4" x14ac:dyDescent="0.35">
      <c r="A928" t="str">
        <f t="shared" si="14"/>
        <v>117Estimated Strategy Capacity</v>
      </c>
      <c r="B928">
        <v>117</v>
      </c>
      <c r="C928" s="9" t="s">
        <v>41</v>
      </c>
      <c r="D928" s="8">
        <v>38000000</v>
      </c>
    </row>
    <row r="929" spans="1:4" x14ac:dyDescent="0.35">
      <c r="A929" t="str">
        <f t="shared" si="14"/>
        <v>136PSR</v>
      </c>
      <c r="B929">
        <v>136</v>
      </c>
      <c r="C929" s="9" t="s">
        <v>27</v>
      </c>
      <c r="D929" s="8">
        <v>1.9040000000000001E-2</v>
      </c>
    </row>
    <row r="930" spans="1:4" x14ac:dyDescent="0.35">
      <c r="A930" t="str">
        <f t="shared" si="14"/>
        <v>136Sharpe Ratio</v>
      </c>
      <c r="B930">
        <v>136</v>
      </c>
      <c r="C930" s="9" t="s">
        <v>1</v>
      </c>
      <c r="D930" s="8">
        <v>-1.2030000000000001</v>
      </c>
    </row>
    <row r="931" spans="1:4" x14ac:dyDescent="0.35">
      <c r="A931" t="str">
        <f t="shared" si="14"/>
        <v>136Total Trades</v>
      </c>
      <c r="B931">
        <v>136</v>
      </c>
      <c r="C931" s="9" t="s">
        <v>28</v>
      </c>
      <c r="D931" s="8">
        <v>366</v>
      </c>
    </row>
    <row r="932" spans="1:4" x14ac:dyDescent="0.35">
      <c r="A932" t="str">
        <f t="shared" si="14"/>
        <v>136Average Win</v>
      </c>
      <c r="B932">
        <v>136</v>
      </c>
      <c r="C932" s="9" t="s">
        <v>25</v>
      </c>
      <c r="D932" s="8">
        <v>1.6000000000000001E-3</v>
      </c>
    </row>
    <row r="933" spans="1:4" x14ac:dyDescent="0.35">
      <c r="A933" t="str">
        <f t="shared" si="14"/>
        <v>136Average Loss</v>
      </c>
      <c r="B933">
        <v>136</v>
      </c>
      <c r="C933" s="9" t="s">
        <v>29</v>
      </c>
      <c r="D933" s="8">
        <v>-3.8999999999999998E-3</v>
      </c>
    </row>
    <row r="934" spans="1:4" x14ac:dyDescent="0.35">
      <c r="A934" t="str">
        <f t="shared" si="14"/>
        <v>136Compounding Annual Return</v>
      </c>
      <c r="B934">
        <v>136</v>
      </c>
      <c r="C934" s="9" t="s">
        <v>30</v>
      </c>
      <c r="D934" s="8">
        <v>-3.099E-2</v>
      </c>
    </row>
    <row r="935" spans="1:4" x14ac:dyDescent="0.35">
      <c r="A935" t="str">
        <f t="shared" si="14"/>
        <v>136Drawdown</v>
      </c>
      <c r="B935">
        <v>136</v>
      </c>
      <c r="C935" s="9" t="s">
        <v>8</v>
      </c>
      <c r="D935" s="8">
        <v>2.5000000000000001E-2</v>
      </c>
    </row>
    <row r="936" spans="1:4" x14ac:dyDescent="0.35">
      <c r="A936" t="str">
        <f t="shared" si="14"/>
        <v>136Expectancy</v>
      </c>
      <c r="B936">
        <v>136</v>
      </c>
      <c r="C936" s="9" t="s">
        <v>31</v>
      </c>
      <c r="D936" s="8">
        <v>-0.41699999999999998</v>
      </c>
    </row>
    <row r="937" spans="1:4" x14ac:dyDescent="0.35">
      <c r="A937" t="str">
        <f t="shared" si="14"/>
        <v>136Net Profit</v>
      </c>
      <c r="B937">
        <v>136</v>
      </c>
      <c r="C937" s="9" t="s">
        <v>32</v>
      </c>
      <c r="D937" s="8">
        <v>-2.0140000000000002E-2</v>
      </c>
    </row>
    <row r="938" spans="1:4" x14ac:dyDescent="0.35">
      <c r="A938" t="str">
        <f t="shared" si="14"/>
        <v>136Loss Rate</v>
      </c>
      <c r="B938">
        <v>136</v>
      </c>
      <c r="C938" s="9" t="s">
        <v>33</v>
      </c>
      <c r="D938" s="8">
        <v>0.57999999999999996</v>
      </c>
    </row>
    <row r="939" spans="1:4" x14ac:dyDescent="0.35">
      <c r="A939" t="str">
        <f t="shared" si="14"/>
        <v>136Win Rate</v>
      </c>
      <c r="B939">
        <v>136</v>
      </c>
      <c r="C939" s="9" t="s">
        <v>34</v>
      </c>
      <c r="D939" s="8">
        <v>0.42</v>
      </c>
    </row>
    <row r="940" spans="1:4" x14ac:dyDescent="0.35">
      <c r="A940" t="str">
        <f t="shared" si="14"/>
        <v>136Profit-Loss Ratio</v>
      </c>
      <c r="B940">
        <v>136</v>
      </c>
      <c r="C940" s="9" t="s">
        <v>26</v>
      </c>
      <c r="D940" s="8">
        <v>0.4</v>
      </c>
    </row>
    <row r="941" spans="1:4" x14ac:dyDescent="0.35">
      <c r="A941" t="str">
        <f t="shared" si="14"/>
        <v>136Alpha</v>
      </c>
      <c r="B941">
        <v>136</v>
      </c>
      <c r="C941" s="9" t="s">
        <v>23</v>
      </c>
      <c r="D941" s="8">
        <v>-1.2E-2</v>
      </c>
    </row>
    <row r="942" spans="1:4" x14ac:dyDescent="0.35">
      <c r="A942" t="str">
        <f t="shared" si="14"/>
        <v>136Beta</v>
      </c>
      <c r="B942">
        <v>136</v>
      </c>
      <c r="C942" s="9" t="s">
        <v>24</v>
      </c>
      <c r="D942" s="8">
        <v>-0.14399999999999999</v>
      </c>
    </row>
    <row r="943" spans="1:4" x14ac:dyDescent="0.35">
      <c r="A943" t="str">
        <f t="shared" si="14"/>
        <v>136Annual Standard Deviation</v>
      </c>
      <c r="B943">
        <v>136</v>
      </c>
      <c r="C943" s="9" t="s">
        <v>35</v>
      </c>
      <c r="D943" s="8">
        <v>1.7999999999999999E-2</v>
      </c>
    </row>
    <row r="944" spans="1:4" x14ac:dyDescent="0.35">
      <c r="A944" t="str">
        <f t="shared" si="14"/>
        <v>136Annual Variance</v>
      </c>
      <c r="B944">
        <v>136</v>
      </c>
      <c r="C944" s="9" t="s">
        <v>36</v>
      </c>
      <c r="D944" s="8">
        <v>0</v>
      </c>
    </row>
    <row r="945" spans="1:4" x14ac:dyDescent="0.35">
      <c r="A945" t="str">
        <f t="shared" si="14"/>
        <v>136Information Ratio</v>
      </c>
      <c r="B945">
        <v>136</v>
      </c>
      <c r="C945" s="9" t="s">
        <v>37</v>
      </c>
      <c r="D945" s="8">
        <v>-1.0940000000000001</v>
      </c>
    </row>
    <row r="946" spans="1:4" x14ac:dyDescent="0.35">
      <c r="A946" t="str">
        <f t="shared" si="14"/>
        <v>136Tracking Error</v>
      </c>
      <c r="B946">
        <v>136</v>
      </c>
      <c r="C946" s="9" t="s">
        <v>38</v>
      </c>
      <c r="D946" s="8">
        <v>7.8E-2</v>
      </c>
    </row>
    <row r="947" spans="1:4" x14ac:dyDescent="0.35">
      <c r="A947" t="str">
        <f t="shared" si="14"/>
        <v>136Treynor Ratio</v>
      </c>
      <c r="B947">
        <v>136</v>
      </c>
      <c r="C947" s="9" t="s">
        <v>39</v>
      </c>
      <c r="D947" s="8">
        <v>0.14899999999999999</v>
      </c>
    </row>
    <row r="948" spans="1:4" x14ac:dyDescent="0.35">
      <c r="A948" t="str">
        <f t="shared" si="14"/>
        <v>136Total Fees</v>
      </c>
      <c r="B948">
        <v>136</v>
      </c>
      <c r="C948" s="9" t="s">
        <v>40</v>
      </c>
      <c r="D948" s="8">
        <v>0</v>
      </c>
    </row>
    <row r="949" spans="1:4" x14ac:dyDescent="0.35">
      <c r="A949" t="str">
        <f t="shared" si="14"/>
        <v>136Estimated Strategy Capacity</v>
      </c>
      <c r="B949">
        <v>136</v>
      </c>
      <c r="C949" s="9" t="s">
        <v>41</v>
      </c>
      <c r="D949" s="8">
        <v>4200000000</v>
      </c>
    </row>
    <row r="950" spans="1:4" x14ac:dyDescent="0.35">
      <c r="A950" t="str">
        <f t="shared" si="14"/>
        <v>137PSR</v>
      </c>
      <c r="B950">
        <v>137</v>
      </c>
      <c r="C950" s="9" t="s">
        <v>27</v>
      </c>
      <c r="D950" s="8">
        <v>3.5409999999999997E-2</v>
      </c>
    </row>
    <row r="951" spans="1:4" x14ac:dyDescent="0.35">
      <c r="A951" t="str">
        <f t="shared" si="14"/>
        <v>137Sharpe Ratio</v>
      </c>
      <c r="B951">
        <v>137</v>
      </c>
      <c r="C951" s="9" t="s">
        <v>1</v>
      </c>
      <c r="D951" s="8">
        <v>-0.47499999999999998</v>
      </c>
    </row>
    <row r="952" spans="1:4" x14ac:dyDescent="0.35">
      <c r="A952" t="str">
        <f t="shared" si="14"/>
        <v>137Total Trades</v>
      </c>
      <c r="B952">
        <v>137</v>
      </c>
      <c r="C952" s="9" t="s">
        <v>28</v>
      </c>
      <c r="D952" s="8">
        <v>349</v>
      </c>
    </row>
    <row r="953" spans="1:4" x14ac:dyDescent="0.35">
      <c r="A953" t="str">
        <f t="shared" si="14"/>
        <v>137Average Win</v>
      </c>
      <c r="B953">
        <v>137</v>
      </c>
      <c r="C953" s="9" t="s">
        <v>25</v>
      </c>
      <c r="D953" s="8">
        <v>0.11799999999999999</v>
      </c>
    </row>
    <row r="954" spans="1:4" x14ac:dyDescent="0.35">
      <c r="A954" t="str">
        <f t="shared" si="14"/>
        <v>137Average Loss</v>
      </c>
      <c r="B954">
        <v>137</v>
      </c>
      <c r="C954" s="9" t="s">
        <v>29</v>
      </c>
      <c r="D954" s="8">
        <v>-0.109</v>
      </c>
    </row>
    <row r="955" spans="1:4" x14ac:dyDescent="0.35">
      <c r="A955" t="str">
        <f t="shared" si="14"/>
        <v>137Compounding Annual Return</v>
      </c>
      <c r="B955">
        <v>137</v>
      </c>
      <c r="C955" s="9" t="s">
        <v>30</v>
      </c>
      <c r="D955" s="8">
        <v>-0.98458999999999997</v>
      </c>
    </row>
    <row r="956" spans="1:4" x14ac:dyDescent="0.35">
      <c r="A956" t="str">
        <f t="shared" si="14"/>
        <v>137Drawdown</v>
      </c>
      <c r="B956">
        <v>137</v>
      </c>
      <c r="C956" s="9" t="s">
        <v>8</v>
      </c>
      <c r="D956" s="8">
        <v>0.95399999999999996</v>
      </c>
    </row>
    <row r="957" spans="1:4" x14ac:dyDescent="0.35">
      <c r="A957" t="str">
        <f t="shared" si="14"/>
        <v>137Expectancy</v>
      </c>
      <c r="B957">
        <v>137</v>
      </c>
      <c r="C957" s="9" t="s">
        <v>31</v>
      </c>
      <c r="D957" s="8">
        <v>-0.69199999999999995</v>
      </c>
    </row>
    <row r="958" spans="1:4" x14ac:dyDescent="0.35">
      <c r="A958" t="str">
        <f t="shared" si="14"/>
        <v>137Net Profit</v>
      </c>
      <c r="B958">
        <v>137</v>
      </c>
      <c r="C958" s="9" t="s">
        <v>32</v>
      </c>
      <c r="D958" s="8">
        <v>-0.93262999999999996</v>
      </c>
    </row>
    <row r="959" spans="1:4" x14ac:dyDescent="0.35">
      <c r="A959" t="str">
        <f t="shared" si="14"/>
        <v>137Loss Rate</v>
      </c>
      <c r="B959">
        <v>137</v>
      </c>
      <c r="C959" s="9" t="s">
        <v>33</v>
      </c>
      <c r="D959" s="8">
        <v>0.85</v>
      </c>
    </row>
    <row r="960" spans="1:4" x14ac:dyDescent="0.35">
      <c r="A960" t="str">
        <f t="shared" si="14"/>
        <v>137Win Rate</v>
      </c>
      <c r="B960">
        <v>137</v>
      </c>
      <c r="C960" s="9" t="s">
        <v>34</v>
      </c>
      <c r="D960" s="8">
        <v>0.15</v>
      </c>
    </row>
    <row r="961" spans="1:4" x14ac:dyDescent="0.35">
      <c r="A961" t="str">
        <f t="shared" si="14"/>
        <v>137Profit-Loss Ratio</v>
      </c>
      <c r="B961">
        <v>137</v>
      </c>
      <c r="C961" s="9" t="s">
        <v>26</v>
      </c>
      <c r="D961" s="8">
        <v>1.08</v>
      </c>
    </row>
    <row r="962" spans="1:4" x14ac:dyDescent="0.35">
      <c r="A962" t="str">
        <f t="shared" si="14"/>
        <v>137Alpha</v>
      </c>
      <c r="B962">
        <v>137</v>
      </c>
      <c r="C962" s="9" t="s">
        <v>23</v>
      </c>
      <c r="D962" s="8">
        <v>0.13100000000000001</v>
      </c>
    </row>
    <row r="963" spans="1:4" x14ac:dyDescent="0.35">
      <c r="A963" t="str">
        <f t="shared" ref="A963:A1026" si="15">B963&amp;C963</f>
        <v>137Beta</v>
      </c>
      <c r="B963">
        <v>137</v>
      </c>
      <c r="C963" s="9" t="s">
        <v>24</v>
      </c>
      <c r="D963" s="8">
        <v>-14.295</v>
      </c>
    </row>
    <row r="964" spans="1:4" x14ac:dyDescent="0.35">
      <c r="A964" t="str">
        <f t="shared" si="15"/>
        <v>137Annual Standard Deviation</v>
      </c>
      <c r="B964">
        <v>137</v>
      </c>
      <c r="C964" s="9" t="s">
        <v>35</v>
      </c>
      <c r="D964" s="8">
        <v>1.64</v>
      </c>
    </row>
    <row r="965" spans="1:4" x14ac:dyDescent="0.35">
      <c r="A965" t="str">
        <f t="shared" si="15"/>
        <v>137Annual Variance</v>
      </c>
      <c r="B965">
        <v>137</v>
      </c>
      <c r="C965" s="9" t="s">
        <v>36</v>
      </c>
      <c r="D965" s="8">
        <v>2.69</v>
      </c>
    </row>
    <row r="966" spans="1:4" x14ac:dyDescent="0.35">
      <c r="A966" t="str">
        <f t="shared" si="15"/>
        <v>137Information Ratio</v>
      </c>
      <c r="B966">
        <v>137</v>
      </c>
      <c r="C966" s="9" t="s">
        <v>37</v>
      </c>
      <c r="D966" s="8">
        <v>-0.502</v>
      </c>
    </row>
    <row r="967" spans="1:4" x14ac:dyDescent="0.35">
      <c r="A967" t="str">
        <f t="shared" si="15"/>
        <v>137Tracking Error</v>
      </c>
      <c r="B967">
        <v>137</v>
      </c>
      <c r="C967" s="9" t="s">
        <v>38</v>
      </c>
      <c r="D967" s="8">
        <v>1.68</v>
      </c>
    </row>
    <row r="968" spans="1:4" x14ac:dyDescent="0.35">
      <c r="A968" t="str">
        <f t="shared" si="15"/>
        <v>137Treynor Ratio</v>
      </c>
      <c r="B968">
        <v>137</v>
      </c>
      <c r="C968" s="9" t="s">
        <v>39</v>
      </c>
      <c r="D968" s="8">
        <v>5.5E-2</v>
      </c>
    </row>
    <row r="969" spans="1:4" x14ac:dyDescent="0.35">
      <c r="A969" t="str">
        <f t="shared" si="15"/>
        <v>137Total Fees</v>
      </c>
      <c r="B969">
        <v>137</v>
      </c>
      <c r="C969" s="9" t="s">
        <v>40</v>
      </c>
      <c r="D969" s="8">
        <v>0</v>
      </c>
    </row>
    <row r="970" spans="1:4" x14ac:dyDescent="0.35">
      <c r="A970" t="str">
        <f t="shared" si="15"/>
        <v>137Estimated Strategy Capacity</v>
      </c>
      <c r="B970">
        <v>137</v>
      </c>
      <c r="C970" s="9" t="s">
        <v>41</v>
      </c>
      <c r="D970" s="8">
        <v>7500000</v>
      </c>
    </row>
    <row r="971" spans="1:4" x14ac:dyDescent="0.35">
      <c r="A971" t="str">
        <f t="shared" si="15"/>
        <v>138PSR</v>
      </c>
      <c r="B971">
        <v>138</v>
      </c>
      <c r="C971" t="s">
        <v>27</v>
      </c>
      <c r="D971" s="6">
        <v>9.3880000000000005E-2</v>
      </c>
    </row>
    <row r="972" spans="1:4" x14ac:dyDescent="0.35">
      <c r="A972" t="str">
        <f t="shared" si="15"/>
        <v>138Sharpe Ratio</v>
      </c>
      <c r="B972">
        <v>138</v>
      </c>
      <c r="C972" t="s">
        <v>1</v>
      </c>
      <c r="D972" s="6">
        <v>-0.36699999999999999</v>
      </c>
    </row>
    <row r="973" spans="1:4" x14ac:dyDescent="0.35">
      <c r="A973" t="str">
        <f t="shared" si="15"/>
        <v>138Total Trades</v>
      </c>
      <c r="B973">
        <v>138</v>
      </c>
      <c r="C973" t="s">
        <v>28</v>
      </c>
      <c r="D973" s="6">
        <v>459</v>
      </c>
    </row>
    <row r="974" spans="1:4" x14ac:dyDescent="0.35">
      <c r="A974" t="str">
        <f t="shared" si="15"/>
        <v>138Average Win</v>
      </c>
      <c r="B974">
        <v>138</v>
      </c>
      <c r="C974" t="s">
        <v>25</v>
      </c>
      <c r="D974" s="6">
        <v>4.1099999999999998E-2</v>
      </c>
    </row>
    <row r="975" spans="1:4" x14ac:dyDescent="0.35">
      <c r="A975" t="str">
        <f t="shared" si="15"/>
        <v>138Average Loss</v>
      </c>
      <c r="B975">
        <v>138</v>
      </c>
      <c r="C975" t="s">
        <v>29</v>
      </c>
      <c r="D975" s="6">
        <v>-7.9299999999999995E-2</v>
      </c>
    </row>
    <row r="976" spans="1:4" x14ac:dyDescent="0.35">
      <c r="A976" t="str">
        <f t="shared" si="15"/>
        <v>138Compounding Annual Return</v>
      </c>
      <c r="B976">
        <v>138</v>
      </c>
      <c r="C976" t="s">
        <v>30</v>
      </c>
      <c r="D976" s="6">
        <v>-0.46013999999999999</v>
      </c>
    </row>
    <row r="977" spans="1:4" x14ac:dyDescent="0.35">
      <c r="A977" t="str">
        <f t="shared" si="15"/>
        <v>138Drawdown</v>
      </c>
      <c r="B977">
        <v>138</v>
      </c>
      <c r="C977" t="s">
        <v>8</v>
      </c>
      <c r="D977" s="6">
        <v>0.59299999999999997</v>
      </c>
    </row>
    <row r="978" spans="1:4" x14ac:dyDescent="0.35">
      <c r="A978" t="str">
        <f t="shared" si="15"/>
        <v>138Expectancy</v>
      </c>
      <c r="B978">
        <v>138</v>
      </c>
      <c r="C978" t="s">
        <v>31</v>
      </c>
      <c r="D978" s="6">
        <v>-0.29099999999999998</v>
      </c>
    </row>
    <row r="979" spans="1:4" x14ac:dyDescent="0.35">
      <c r="A979" t="str">
        <f t="shared" si="15"/>
        <v>138Net Profit</v>
      </c>
      <c r="B979">
        <v>138</v>
      </c>
      <c r="C979" t="s">
        <v>32</v>
      </c>
      <c r="D979" s="6">
        <v>-0.32754</v>
      </c>
    </row>
    <row r="980" spans="1:4" x14ac:dyDescent="0.35">
      <c r="A980" t="str">
        <f t="shared" si="15"/>
        <v>138Loss Rate</v>
      </c>
      <c r="B980">
        <v>138</v>
      </c>
      <c r="C980" t="s">
        <v>33</v>
      </c>
      <c r="D980" s="6">
        <v>0.53</v>
      </c>
    </row>
    <row r="981" spans="1:4" x14ac:dyDescent="0.35">
      <c r="A981" t="str">
        <f t="shared" si="15"/>
        <v>138Win Rate</v>
      </c>
      <c r="B981">
        <v>138</v>
      </c>
      <c r="C981" t="s">
        <v>34</v>
      </c>
      <c r="D981" s="6">
        <v>0.47</v>
      </c>
    </row>
    <row r="982" spans="1:4" x14ac:dyDescent="0.35">
      <c r="A982" t="str">
        <f t="shared" si="15"/>
        <v>138Profit-Loss Ratio</v>
      </c>
      <c r="B982">
        <v>138</v>
      </c>
      <c r="C982" t="s">
        <v>26</v>
      </c>
      <c r="D982" s="6">
        <v>0.52</v>
      </c>
    </row>
    <row r="983" spans="1:4" x14ac:dyDescent="0.35">
      <c r="A983" t="str">
        <f t="shared" si="15"/>
        <v>138Alpha</v>
      </c>
      <c r="B983">
        <v>138</v>
      </c>
      <c r="C983" t="s">
        <v>23</v>
      </c>
      <c r="D983" s="6">
        <v>-0.36</v>
      </c>
    </row>
    <row r="984" spans="1:4" x14ac:dyDescent="0.35">
      <c r="A984" t="str">
        <f t="shared" si="15"/>
        <v>138Beta</v>
      </c>
      <c r="B984">
        <v>138</v>
      </c>
      <c r="C984" t="s">
        <v>24</v>
      </c>
      <c r="D984" s="6">
        <v>2.1549999999999998</v>
      </c>
    </row>
    <row r="985" spans="1:4" x14ac:dyDescent="0.35">
      <c r="A985" t="str">
        <f t="shared" si="15"/>
        <v>138Annual Standard Deviation</v>
      </c>
      <c r="B985">
        <v>138</v>
      </c>
      <c r="C985" t="s">
        <v>35</v>
      </c>
      <c r="D985" s="6">
        <v>0.60599999999999998</v>
      </c>
    </row>
    <row r="986" spans="1:4" x14ac:dyDescent="0.35">
      <c r="A986" t="str">
        <f t="shared" si="15"/>
        <v>138Annual Variance</v>
      </c>
      <c r="B986">
        <v>138</v>
      </c>
      <c r="C986" t="s">
        <v>36</v>
      </c>
      <c r="D986" s="6">
        <v>0.36699999999999999</v>
      </c>
    </row>
    <row r="987" spans="1:4" x14ac:dyDescent="0.35">
      <c r="A987" t="str">
        <f t="shared" si="15"/>
        <v>138Information Ratio</v>
      </c>
      <c r="B987">
        <v>138</v>
      </c>
      <c r="C987" t="s">
        <v>37</v>
      </c>
      <c r="D987" s="6">
        <v>-0.48199999999999998</v>
      </c>
    </row>
    <row r="988" spans="1:4" x14ac:dyDescent="0.35">
      <c r="A988" t="str">
        <f t="shared" si="15"/>
        <v>138Tracking Error</v>
      </c>
      <c r="B988">
        <v>138</v>
      </c>
      <c r="C988" t="s">
        <v>38</v>
      </c>
      <c r="D988" s="6">
        <v>0.59299999999999997</v>
      </c>
    </row>
    <row r="989" spans="1:4" x14ac:dyDescent="0.35">
      <c r="A989" t="str">
        <f t="shared" si="15"/>
        <v>138Treynor Ratio</v>
      </c>
      <c r="B989">
        <v>138</v>
      </c>
      <c r="C989" t="s">
        <v>39</v>
      </c>
      <c r="D989" s="6">
        <v>-0.10299999999999999</v>
      </c>
    </row>
    <row r="990" spans="1:4" x14ac:dyDescent="0.35">
      <c r="A990" t="str">
        <f t="shared" si="15"/>
        <v>138Total Fees</v>
      </c>
      <c r="B990">
        <v>138</v>
      </c>
      <c r="C990" t="s">
        <v>40</v>
      </c>
      <c r="D990" s="6">
        <v>0</v>
      </c>
    </row>
    <row r="991" spans="1:4" x14ac:dyDescent="0.35">
      <c r="A991" t="str">
        <f t="shared" si="15"/>
        <v>138Estimated Strategy Capacity</v>
      </c>
      <c r="B991">
        <v>138</v>
      </c>
      <c r="C991" t="s">
        <v>41</v>
      </c>
      <c r="D991" s="6">
        <v>19000000</v>
      </c>
    </row>
    <row r="992" spans="1:4" x14ac:dyDescent="0.35">
      <c r="A992" t="str">
        <f t="shared" si="15"/>
        <v>139PSR</v>
      </c>
      <c r="B992">
        <v>139</v>
      </c>
      <c r="C992" s="9" t="s">
        <v>27</v>
      </c>
      <c r="D992" s="8">
        <v>2.9389999999999999E-2</v>
      </c>
    </row>
    <row r="993" spans="1:4" x14ac:dyDescent="0.35">
      <c r="A993" t="str">
        <f t="shared" si="15"/>
        <v>139Sharpe Ratio</v>
      </c>
      <c r="B993">
        <v>139</v>
      </c>
      <c r="C993" s="9" t="s">
        <v>1</v>
      </c>
      <c r="D993" s="8">
        <v>-1.014</v>
      </c>
    </row>
    <row r="994" spans="1:4" x14ac:dyDescent="0.35">
      <c r="A994" t="str">
        <f t="shared" si="15"/>
        <v>139Total Trades</v>
      </c>
      <c r="B994">
        <v>139</v>
      </c>
      <c r="C994" s="9" t="s">
        <v>28</v>
      </c>
      <c r="D994" s="8">
        <v>222</v>
      </c>
    </row>
    <row r="995" spans="1:4" x14ac:dyDescent="0.35">
      <c r="A995" t="str">
        <f t="shared" si="15"/>
        <v>139Average Win</v>
      </c>
      <c r="B995">
        <v>139</v>
      </c>
      <c r="C995" s="9" t="s">
        <v>25</v>
      </c>
      <c r="D995" s="8">
        <v>2.5000000000000001E-3</v>
      </c>
    </row>
    <row r="996" spans="1:4" x14ac:dyDescent="0.35">
      <c r="A996" t="str">
        <f t="shared" si="15"/>
        <v>139Average Loss</v>
      </c>
      <c r="B996">
        <v>139</v>
      </c>
      <c r="C996" s="9" t="s">
        <v>29</v>
      </c>
      <c r="D996" s="8">
        <v>-3.5000000000000001E-3</v>
      </c>
    </row>
    <row r="997" spans="1:4" x14ac:dyDescent="0.35">
      <c r="A997" t="str">
        <f t="shared" si="15"/>
        <v>139Compounding Annual Return</v>
      </c>
      <c r="B997">
        <v>139</v>
      </c>
      <c r="C997" s="9" t="s">
        <v>30</v>
      </c>
      <c r="D997" s="8">
        <v>-1.9630000000000002E-2</v>
      </c>
    </row>
    <row r="998" spans="1:4" x14ac:dyDescent="0.35">
      <c r="A998" t="str">
        <f t="shared" si="15"/>
        <v>139Drawdown</v>
      </c>
      <c r="B998">
        <v>139</v>
      </c>
      <c r="C998" s="9" t="s">
        <v>8</v>
      </c>
      <c r="D998" s="8">
        <v>1.7999999999999999E-2</v>
      </c>
    </row>
    <row r="999" spans="1:4" x14ac:dyDescent="0.35">
      <c r="A999" t="str">
        <f t="shared" si="15"/>
        <v>139Expectancy</v>
      </c>
      <c r="B999">
        <v>139</v>
      </c>
      <c r="C999" s="9" t="s">
        <v>31</v>
      </c>
      <c r="D999" s="8">
        <v>-0.50700000000000001</v>
      </c>
    </row>
    <row r="1000" spans="1:4" x14ac:dyDescent="0.35">
      <c r="A1000" t="str">
        <f t="shared" si="15"/>
        <v>139Net Profit</v>
      </c>
      <c r="B1000">
        <v>139</v>
      </c>
      <c r="C1000" s="9" t="s">
        <v>32</v>
      </c>
      <c r="D1000" s="8">
        <v>-1.273E-2</v>
      </c>
    </row>
    <row r="1001" spans="1:4" x14ac:dyDescent="0.35">
      <c r="A1001" t="str">
        <f t="shared" si="15"/>
        <v>139Loss Rate</v>
      </c>
      <c r="B1001">
        <v>139</v>
      </c>
      <c r="C1001" s="9" t="s">
        <v>33</v>
      </c>
      <c r="D1001" s="8">
        <v>0.71</v>
      </c>
    </row>
    <row r="1002" spans="1:4" x14ac:dyDescent="0.35">
      <c r="A1002" t="str">
        <f t="shared" si="15"/>
        <v>139Win Rate</v>
      </c>
      <c r="B1002">
        <v>139</v>
      </c>
      <c r="C1002" s="9" t="s">
        <v>34</v>
      </c>
      <c r="D1002" s="8">
        <v>0.28999999999999998</v>
      </c>
    </row>
    <row r="1003" spans="1:4" x14ac:dyDescent="0.35">
      <c r="A1003" t="str">
        <f t="shared" si="15"/>
        <v>139Profit-Loss Ratio</v>
      </c>
      <c r="B1003">
        <v>139</v>
      </c>
      <c r="C1003" s="9" t="s">
        <v>26</v>
      </c>
      <c r="D1003" s="8">
        <v>0.73</v>
      </c>
    </row>
    <row r="1004" spans="1:4" x14ac:dyDescent="0.35">
      <c r="A1004" t="str">
        <f t="shared" si="15"/>
        <v>139Alpha</v>
      </c>
      <c r="B1004">
        <v>139</v>
      </c>
      <c r="C1004" s="9" t="s">
        <v>23</v>
      </c>
      <c r="D1004" s="8">
        <v>-7.0000000000000001E-3</v>
      </c>
    </row>
    <row r="1005" spans="1:4" x14ac:dyDescent="0.35">
      <c r="A1005" t="str">
        <f t="shared" si="15"/>
        <v>139Beta</v>
      </c>
      <c r="B1005">
        <v>139</v>
      </c>
      <c r="C1005" s="9" t="s">
        <v>24</v>
      </c>
      <c r="D1005" s="8">
        <v>-9.7000000000000003E-2</v>
      </c>
    </row>
    <row r="1006" spans="1:4" x14ac:dyDescent="0.35">
      <c r="A1006" t="str">
        <f t="shared" si="15"/>
        <v>139Annual Standard Deviation</v>
      </c>
      <c r="B1006">
        <v>139</v>
      </c>
      <c r="C1006" s="9" t="s">
        <v>35</v>
      </c>
      <c r="D1006" s="8">
        <v>1.2999999999999999E-2</v>
      </c>
    </row>
    <row r="1007" spans="1:4" x14ac:dyDescent="0.35">
      <c r="A1007" t="str">
        <f t="shared" si="15"/>
        <v>139Annual Variance</v>
      </c>
      <c r="B1007">
        <v>139</v>
      </c>
      <c r="C1007" s="9" t="s">
        <v>36</v>
      </c>
      <c r="D1007" s="8">
        <v>0</v>
      </c>
    </row>
    <row r="1008" spans="1:4" x14ac:dyDescent="0.35">
      <c r="A1008" t="str">
        <f t="shared" si="15"/>
        <v>139Information Ratio</v>
      </c>
      <c r="B1008">
        <v>139</v>
      </c>
      <c r="C1008" s="9" t="s">
        <v>37</v>
      </c>
      <c r="D1008" s="8">
        <v>-1.042</v>
      </c>
    </row>
    <row r="1009" spans="1:4" x14ac:dyDescent="0.35">
      <c r="A1009" t="str">
        <f t="shared" si="15"/>
        <v>139Tracking Error</v>
      </c>
      <c r="B1009">
        <v>139</v>
      </c>
      <c r="C1009" s="9" t="s">
        <v>38</v>
      </c>
      <c r="D1009" s="8">
        <v>7.3999999999999996E-2</v>
      </c>
    </row>
    <row r="1010" spans="1:4" x14ac:dyDescent="0.35">
      <c r="A1010" t="str">
        <f t="shared" si="15"/>
        <v>139Treynor Ratio</v>
      </c>
      <c r="B1010">
        <v>139</v>
      </c>
      <c r="C1010" s="9" t="s">
        <v>39</v>
      </c>
      <c r="D1010" s="8">
        <v>0.14000000000000001</v>
      </c>
    </row>
    <row r="1011" spans="1:4" x14ac:dyDescent="0.35">
      <c r="A1011" t="str">
        <f t="shared" si="15"/>
        <v>139Total Fees</v>
      </c>
      <c r="B1011">
        <v>139</v>
      </c>
      <c r="C1011" s="9" t="s">
        <v>40</v>
      </c>
      <c r="D1011" s="8">
        <v>0</v>
      </c>
    </row>
    <row r="1012" spans="1:4" x14ac:dyDescent="0.35">
      <c r="A1012" t="str">
        <f t="shared" si="15"/>
        <v>139Estimated Strategy Capacity</v>
      </c>
      <c r="B1012">
        <v>139</v>
      </c>
      <c r="C1012" s="9" t="s">
        <v>41</v>
      </c>
      <c r="D1012" s="8">
        <v>680000000</v>
      </c>
    </row>
    <row r="1013" spans="1:4" x14ac:dyDescent="0.35">
      <c r="A1013" t="str">
        <f t="shared" si="15"/>
        <v>140PSR</v>
      </c>
      <c r="B1013">
        <v>140</v>
      </c>
      <c r="C1013" s="9" t="s">
        <v>27</v>
      </c>
      <c r="D1013" s="8">
        <v>3.4819999999999997E-2</v>
      </c>
    </row>
    <row r="1014" spans="1:4" x14ac:dyDescent="0.35">
      <c r="A1014" t="str">
        <f t="shared" si="15"/>
        <v>140Sharpe Ratio</v>
      </c>
      <c r="B1014">
        <v>140</v>
      </c>
      <c r="C1014" s="9" t="s">
        <v>1</v>
      </c>
      <c r="D1014" s="8">
        <v>-0.873</v>
      </c>
    </row>
    <row r="1015" spans="1:4" x14ac:dyDescent="0.35">
      <c r="A1015" t="str">
        <f t="shared" si="15"/>
        <v>140Total Trades</v>
      </c>
      <c r="B1015">
        <v>140</v>
      </c>
      <c r="C1015" s="9" t="s">
        <v>28</v>
      </c>
      <c r="D1015" s="8">
        <v>222</v>
      </c>
    </row>
    <row r="1016" spans="1:4" x14ac:dyDescent="0.35">
      <c r="A1016" t="str">
        <f t="shared" si="15"/>
        <v>140Average Win</v>
      </c>
      <c r="B1016">
        <v>140</v>
      </c>
      <c r="C1016" s="9" t="s">
        <v>25</v>
      </c>
      <c r="D1016" s="8">
        <v>2.69E-2</v>
      </c>
    </row>
    <row r="1017" spans="1:4" x14ac:dyDescent="0.35">
      <c r="A1017" t="str">
        <f t="shared" si="15"/>
        <v>140Average Loss</v>
      </c>
      <c r="B1017">
        <v>140</v>
      </c>
      <c r="C1017" s="9" t="s">
        <v>29</v>
      </c>
      <c r="D1017" s="8">
        <v>-3.49E-2</v>
      </c>
    </row>
    <row r="1018" spans="1:4" x14ac:dyDescent="0.35">
      <c r="A1018" t="str">
        <f t="shared" si="15"/>
        <v>140Compounding Annual Return</v>
      </c>
      <c r="B1018">
        <v>140</v>
      </c>
      <c r="C1018" s="9" t="s">
        <v>30</v>
      </c>
      <c r="D1018" s="8">
        <v>-0.18998999999999999</v>
      </c>
    </row>
    <row r="1019" spans="1:4" x14ac:dyDescent="0.35">
      <c r="A1019" t="str">
        <f t="shared" si="15"/>
        <v>140Drawdown</v>
      </c>
      <c r="B1019">
        <v>140</v>
      </c>
      <c r="C1019" s="9" t="s">
        <v>8</v>
      </c>
      <c r="D1019" s="8">
        <v>0.17599999999999999</v>
      </c>
    </row>
    <row r="1020" spans="1:4" x14ac:dyDescent="0.35">
      <c r="A1020" t="str">
        <f t="shared" si="15"/>
        <v>140Expectancy</v>
      </c>
      <c r="B1020">
        <v>140</v>
      </c>
      <c r="C1020" s="9" t="s">
        <v>31</v>
      </c>
      <c r="D1020" s="8">
        <v>-0.49399999999999999</v>
      </c>
    </row>
    <row r="1021" spans="1:4" x14ac:dyDescent="0.35">
      <c r="A1021" t="str">
        <f t="shared" si="15"/>
        <v>140Net Profit</v>
      </c>
      <c r="B1021">
        <v>140</v>
      </c>
      <c r="C1021" s="9" t="s">
        <v>32</v>
      </c>
      <c r="D1021" s="8">
        <v>-0.12734000000000001</v>
      </c>
    </row>
    <row r="1022" spans="1:4" x14ac:dyDescent="0.35">
      <c r="A1022" t="str">
        <f t="shared" si="15"/>
        <v>140Loss Rate</v>
      </c>
      <c r="B1022">
        <v>140</v>
      </c>
      <c r="C1022" s="9" t="s">
        <v>33</v>
      </c>
      <c r="D1022" s="8">
        <v>0.71</v>
      </c>
    </row>
    <row r="1023" spans="1:4" x14ac:dyDescent="0.35">
      <c r="A1023" t="str">
        <f t="shared" si="15"/>
        <v>140Win Rate</v>
      </c>
      <c r="B1023">
        <v>140</v>
      </c>
      <c r="C1023" s="9" t="s">
        <v>34</v>
      </c>
      <c r="D1023" s="8">
        <v>0.28999999999999998</v>
      </c>
    </row>
    <row r="1024" spans="1:4" x14ac:dyDescent="0.35">
      <c r="A1024" t="str">
        <f t="shared" si="15"/>
        <v>140Profit-Loss Ratio</v>
      </c>
      <c r="B1024">
        <v>140</v>
      </c>
      <c r="C1024" s="9" t="s">
        <v>26</v>
      </c>
      <c r="D1024" s="8">
        <v>0.77</v>
      </c>
    </row>
    <row r="1025" spans="1:4" x14ac:dyDescent="0.35">
      <c r="A1025" t="str">
        <f t="shared" si="15"/>
        <v>140Alpha</v>
      </c>
      <c r="B1025">
        <v>140</v>
      </c>
      <c r="C1025" s="9" t="s">
        <v>23</v>
      </c>
      <c r="D1025" s="8">
        <v>-0.06</v>
      </c>
    </row>
    <row r="1026" spans="1:4" x14ac:dyDescent="0.35">
      <c r="A1026" t="str">
        <f t="shared" si="15"/>
        <v>140Beta</v>
      </c>
      <c r="B1026">
        <v>140</v>
      </c>
      <c r="C1026" s="9" t="s">
        <v>24</v>
      </c>
      <c r="D1026" s="8">
        <v>-1.0509999999999999</v>
      </c>
    </row>
    <row r="1027" spans="1:4" x14ac:dyDescent="0.35">
      <c r="A1027" t="str">
        <f t="shared" ref="A1027:A1090" si="16">B1027&amp;C1027</f>
        <v>140Annual Standard Deviation</v>
      </c>
      <c r="B1027">
        <v>140</v>
      </c>
      <c r="C1027" s="9" t="s">
        <v>35</v>
      </c>
      <c r="D1027" s="8">
        <v>0.14499999999999999</v>
      </c>
    </row>
    <row r="1028" spans="1:4" x14ac:dyDescent="0.35">
      <c r="A1028" t="str">
        <f t="shared" si="16"/>
        <v>140Annual Variance</v>
      </c>
      <c r="B1028">
        <v>140</v>
      </c>
      <c r="C1028" s="9" t="s">
        <v>36</v>
      </c>
      <c r="D1028" s="8">
        <v>2.1000000000000001E-2</v>
      </c>
    </row>
    <row r="1029" spans="1:4" x14ac:dyDescent="0.35">
      <c r="A1029" t="str">
        <f t="shared" si="16"/>
        <v>140Information Ratio</v>
      </c>
      <c r="B1029">
        <v>140</v>
      </c>
      <c r="C1029" s="9" t="s">
        <v>37</v>
      </c>
      <c r="D1029" s="8">
        <v>-1.02</v>
      </c>
    </row>
    <row r="1030" spans="1:4" x14ac:dyDescent="0.35">
      <c r="A1030" t="str">
        <f t="shared" si="16"/>
        <v>140Tracking Error</v>
      </c>
      <c r="B1030">
        <v>140</v>
      </c>
      <c r="C1030" s="9" t="s">
        <v>38</v>
      </c>
      <c r="D1030" s="8">
        <v>0.187</v>
      </c>
    </row>
    <row r="1031" spans="1:4" x14ac:dyDescent="0.35">
      <c r="A1031" t="str">
        <f t="shared" si="16"/>
        <v>140Treynor Ratio</v>
      </c>
      <c r="B1031">
        <v>140</v>
      </c>
      <c r="C1031" s="9" t="s">
        <v>39</v>
      </c>
      <c r="D1031" s="8">
        <v>0.121</v>
      </c>
    </row>
    <row r="1032" spans="1:4" x14ac:dyDescent="0.35">
      <c r="A1032" t="str">
        <f t="shared" si="16"/>
        <v>140Total Fees</v>
      </c>
      <c r="B1032">
        <v>140</v>
      </c>
      <c r="C1032" s="9" t="s">
        <v>40</v>
      </c>
      <c r="D1032" s="8">
        <v>0</v>
      </c>
    </row>
    <row r="1033" spans="1:4" x14ac:dyDescent="0.35">
      <c r="A1033" t="str">
        <f t="shared" si="16"/>
        <v>140Estimated Strategy Capacity</v>
      </c>
      <c r="B1033">
        <v>140</v>
      </c>
      <c r="C1033" s="9" t="s">
        <v>41</v>
      </c>
      <c r="D1033" s="8">
        <v>62000000</v>
      </c>
    </row>
    <row r="1034" spans="1:4" x14ac:dyDescent="0.35">
      <c r="A1034" t="str">
        <f t="shared" si="16"/>
        <v>141PSR</v>
      </c>
      <c r="B1034">
        <v>141</v>
      </c>
      <c r="C1034" s="9" t="s">
        <v>27</v>
      </c>
      <c r="D1034" s="8">
        <v>7.8109999999999999E-2</v>
      </c>
    </row>
    <row r="1035" spans="1:4" x14ac:dyDescent="0.35">
      <c r="A1035" t="str">
        <f t="shared" si="16"/>
        <v>141Sharpe Ratio</v>
      </c>
      <c r="B1035">
        <v>141</v>
      </c>
      <c r="C1035" s="9" t="s">
        <v>1</v>
      </c>
      <c r="D1035" s="8">
        <v>-0.36299999999999999</v>
      </c>
    </row>
    <row r="1036" spans="1:4" x14ac:dyDescent="0.35">
      <c r="A1036" t="str">
        <f t="shared" si="16"/>
        <v>141Total Trades</v>
      </c>
      <c r="B1036">
        <v>141</v>
      </c>
      <c r="C1036" s="9" t="s">
        <v>28</v>
      </c>
      <c r="D1036" s="8">
        <v>215</v>
      </c>
    </row>
    <row r="1037" spans="1:4" x14ac:dyDescent="0.35">
      <c r="A1037" t="str">
        <f t="shared" si="16"/>
        <v>141Average Win</v>
      </c>
      <c r="B1037">
        <v>141</v>
      </c>
      <c r="C1037" s="9" t="s">
        <v>25</v>
      </c>
      <c r="D1037" s="8">
        <v>0.13170000000000001</v>
      </c>
    </row>
    <row r="1038" spans="1:4" x14ac:dyDescent="0.35">
      <c r="A1038" t="str">
        <f t="shared" si="16"/>
        <v>141Average Loss</v>
      </c>
      <c r="B1038">
        <v>141</v>
      </c>
      <c r="C1038" s="9" t="s">
        <v>29</v>
      </c>
      <c r="D1038" s="8">
        <v>-0.1108</v>
      </c>
    </row>
    <row r="1039" spans="1:4" x14ac:dyDescent="0.35">
      <c r="A1039" t="str">
        <f t="shared" si="16"/>
        <v>141Compounding Annual Return</v>
      </c>
      <c r="B1039">
        <v>141</v>
      </c>
      <c r="C1039" s="9" t="s">
        <v>30</v>
      </c>
      <c r="D1039" s="8">
        <v>-0.87075999999999998</v>
      </c>
    </row>
    <row r="1040" spans="1:4" x14ac:dyDescent="0.35">
      <c r="A1040" t="str">
        <f t="shared" si="16"/>
        <v>141Drawdown</v>
      </c>
      <c r="B1040">
        <v>141</v>
      </c>
      <c r="C1040" s="9" t="s">
        <v>8</v>
      </c>
      <c r="D1040" s="8">
        <v>0.83699999999999997</v>
      </c>
    </row>
    <row r="1041" spans="1:4" x14ac:dyDescent="0.35">
      <c r="A1041" t="str">
        <f t="shared" si="16"/>
        <v>141Expectancy</v>
      </c>
      <c r="B1041">
        <v>141</v>
      </c>
      <c r="C1041" s="9" t="s">
        <v>31</v>
      </c>
      <c r="D1041" s="8">
        <v>-0.66300000000000003</v>
      </c>
    </row>
    <row r="1042" spans="1:4" x14ac:dyDescent="0.35">
      <c r="A1042" t="str">
        <f t="shared" si="16"/>
        <v>141Net Profit</v>
      </c>
      <c r="B1042">
        <v>141</v>
      </c>
      <c r="C1042" s="9" t="s">
        <v>32</v>
      </c>
      <c r="D1042" s="8">
        <v>-0.73358000000000001</v>
      </c>
    </row>
    <row r="1043" spans="1:4" x14ac:dyDescent="0.35">
      <c r="A1043" t="str">
        <f t="shared" si="16"/>
        <v>141Loss Rate</v>
      </c>
      <c r="B1043">
        <v>141</v>
      </c>
      <c r="C1043" s="9" t="s">
        <v>33</v>
      </c>
      <c r="D1043" s="8">
        <v>0.85</v>
      </c>
    </row>
    <row r="1044" spans="1:4" x14ac:dyDescent="0.35">
      <c r="A1044" t="str">
        <f t="shared" si="16"/>
        <v>141Win Rate</v>
      </c>
      <c r="B1044">
        <v>141</v>
      </c>
      <c r="C1044" s="9" t="s">
        <v>34</v>
      </c>
      <c r="D1044" s="8">
        <v>0.15</v>
      </c>
    </row>
    <row r="1045" spans="1:4" x14ac:dyDescent="0.35">
      <c r="A1045" t="str">
        <f t="shared" si="16"/>
        <v>141Profit-Loss Ratio</v>
      </c>
      <c r="B1045">
        <v>141</v>
      </c>
      <c r="C1045" s="9" t="s">
        <v>26</v>
      </c>
      <c r="D1045" s="8">
        <v>1.19</v>
      </c>
    </row>
    <row r="1046" spans="1:4" x14ac:dyDescent="0.35">
      <c r="A1046" t="str">
        <f t="shared" si="16"/>
        <v>141Alpha</v>
      </c>
      <c r="B1046">
        <v>141</v>
      </c>
      <c r="C1046" s="9" t="s">
        <v>23</v>
      </c>
      <c r="D1046" s="8">
        <v>0.15</v>
      </c>
    </row>
    <row r="1047" spans="1:4" x14ac:dyDescent="0.35">
      <c r="A1047" t="str">
        <f t="shared" si="16"/>
        <v>141Beta</v>
      </c>
      <c r="B1047">
        <v>141</v>
      </c>
      <c r="C1047" s="9" t="s">
        <v>24</v>
      </c>
      <c r="D1047" s="8">
        <v>-9.5239999999999991</v>
      </c>
    </row>
    <row r="1048" spans="1:4" x14ac:dyDescent="0.35">
      <c r="A1048" t="str">
        <f t="shared" si="16"/>
        <v>141Annual Standard Deviation</v>
      </c>
      <c r="B1048">
        <v>141</v>
      </c>
      <c r="C1048" s="9" t="s">
        <v>35</v>
      </c>
      <c r="D1048" s="8">
        <v>1.258</v>
      </c>
    </row>
    <row r="1049" spans="1:4" x14ac:dyDescent="0.35">
      <c r="A1049" t="str">
        <f t="shared" si="16"/>
        <v>141Annual Variance</v>
      </c>
      <c r="B1049">
        <v>141</v>
      </c>
      <c r="C1049" s="9" t="s">
        <v>36</v>
      </c>
      <c r="D1049" s="8">
        <v>1.5820000000000001</v>
      </c>
    </row>
    <row r="1050" spans="1:4" x14ac:dyDescent="0.35">
      <c r="A1050" t="str">
        <f t="shared" si="16"/>
        <v>141Information Ratio</v>
      </c>
      <c r="B1050">
        <v>141</v>
      </c>
      <c r="C1050" s="9" t="s">
        <v>37</v>
      </c>
      <c r="D1050" s="8">
        <v>-0.40200000000000002</v>
      </c>
    </row>
    <row r="1051" spans="1:4" x14ac:dyDescent="0.35">
      <c r="A1051" t="str">
        <f t="shared" si="16"/>
        <v>141Tracking Error</v>
      </c>
      <c r="B1051">
        <v>141</v>
      </c>
      <c r="C1051" s="9" t="s">
        <v>38</v>
      </c>
      <c r="D1051" s="8">
        <v>1.2929999999999999</v>
      </c>
    </row>
    <row r="1052" spans="1:4" x14ac:dyDescent="0.35">
      <c r="A1052" t="str">
        <f t="shared" si="16"/>
        <v>141Treynor Ratio</v>
      </c>
      <c r="B1052">
        <v>141</v>
      </c>
      <c r="C1052" s="9" t="s">
        <v>39</v>
      </c>
      <c r="D1052" s="8">
        <v>4.8000000000000001E-2</v>
      </c>
    </row>
    <row r="1053" spans="1:4" x14ac:dyDescent="0.35">
      <c r="A1053" t="str">
        <f t="shared" si="16"/>
        <v>141Total Fees</v>
      </c>
      <c r="B1053">
        <v>141</v>
      </c>
      <c r="C1053" s="9" t="s">
        <v>40</v>
      </c>
      <c r="D1053" s="8">
        <v>0</v>
      </c>
    </row>
    <row r="1054" spans="1:4" x14ac:dyDescent="0.35">
      <c r="A1054" t="str">
        <f t="shared" si="16"/>
        <v>141Estimated Strategy Capacity</v>
      </c>
      <c r="B1054">
        <v>141</v>
      </c>
      <c r="C1054" s="9" t="s">
        <v>41</v>
      </c>
      <c r="D1054" s="8">
        <v>4800000</v>
      </c>
    </row>
    <row r="1055" spans="1:4" x14ac:dyDescent="0.35">
      <c r="A1055" t="str">
        <f t="shared" si="16"/>
        <v>142PSR</v>
      </c>
      <c r="B1055">
        <v>142</v>
      </c>
      <c r="C1055" s="9" t="s">
        <v>27</v>
      </c>
      <c r="D1055" s="8">
        <v>8.1240000000000007E-2</v>
      </c>
    </row>
    <row r="1056" spans="1:4" x14ac:dyDescent="0.35">
      <c r="A1056" t="str">
        <f t="shared" si="16"/>
        <v>142Sharpe Ratio</v>
      </c>
      <c r="B1056">
        <v>142</v>
      </c>
      <c r="C1056" s="9" t="s">
        <v>1</v>
      </c>
      <c r="D1056" s="8">
        <v>-0.42</v>
      </c>
    </row>
    <row r="1057" spans="1:4" x14ac:dyDescent="0.35">
      <c r="A1057" t="str">
        <f t="shared" si="16"/>
        <v>142Total Trades</v>
      </c>
      <c r="B1057">
        <v>142</v>
      </c>
      <c r="C1057" s="9" t="s">
        <v>28</v>
      </c>
      <c r="D1057" s="8">
        <v>165</v>
      </c>
    </row>
    <row r="1058" spans="1:4" x14ac:dyDescent="0.35">
      <c r="A1058" t="str">
        <f t="shared" si="16"/>
        <v>142Average Win</v>
      </c>
      <c r="B1058">
        <v>142</v>
      </c>
      <c r="C1058" s="9" t="s">
        <v>25</v>
      </c>
      <c r="D1058" s="8">
        <v>1.2999999999999999E-3</v>
      </c>
    </row>
    <row r="1059" spans="1:4" x14ac:dyDescent="0.35">
      <c r="A1059" t="str">
        <f t="shared" si="16"/>
        <v>142Average Loss</v>
      </c>
      <c r="B1059">
        <v>142</v>
      </c>
      <c r="C1059" s="9" t="s">
        <v>29</v>
      </c>
      <c r="D1059" s="8">
        <v>-1.9E-3</v>
      </c>
    </row>
    <row r="1060" spans="1:4" x14ac:dyDescent="0.35">
      <c r="A1060" t="str">
        <f t="shared" si="16"/>
        <v>142Compounding Annual Return</v>
      </c>
      <c r="B1060">
        <v>142</v>
      </c>
      <c r="C1060" s="9" t="s">
        <v>30</v>
      </c>
      <c r="D1060" s="8">
        <v>-5.4999999999999997E-3</v>
      </c>
    </row>
    <row r="1061" spans="1:4" x14ac:dyDescent="0.35">
      <c r="A1061" t="str">
        <f t="shared" si="16"/>
        <v>142Drawdown</v>
      </c>
      <c r="B1061">
        <v>142</v>
      </c>
      <c r="C1061" s="9" t="s">
        <v>8</v>
      </c>
      <c r="D1061" s="8">
        <v>8.0000000000000002E-3</v>
      </c>
    </row>
    <row r="1062" spans="1:4" x14ac:dyDescent="0.35">
      <c r="A1062" t="str">
        <f t="shared" si="16"/>
        <v>142Expectancy</v>
      </c>
      <c r="B1062">
        <v>142</v>
      </c>
      <c r="C1062" s="9" t="s">
        <v>31</v>
      </c>
      <c r="D1062" s="8">
        <v>-0.32500000000000001</v>
      </c>
    </row>
    <row r="1063" spans="1:4" x14ac:dyDescent="0.35">
      <c r="A1063" t="str">
        <f t="shared" si="16"/>
        <v>142Net Profit</v>
      </c>
      <c r="B1063">
        <v>142</v>
      </c>
      <c r="C1063" s="9" t="s">
        <v>32</v>
      </c>
      <c r="D1063" s="8">
        <v>-3.5599999999999998E-3</v>
      </c>
    </row>
    <row r="1064" spans="1:4" x14ac:dyDescent="0.35">
      <c r="A1064" t="str">
        <f t="shared" si="16"/>
        <v>142Loss Rate</v>
      </c>
      <c r="B1064">
        <v>142</v>
      </c>
      <c r="C1064" s="9" t="s">
        <v>33</v>
      </c>
      <c r="D1064" s="8">
        <v>0.6</v>
      </c>
    </row>
    <row r="1065" spans="1:4" x14ac:dyDescent="0.35">
      <c r="A1065" t="str">
        <f t="shared" si="16"/>
        <v>142Win Rate</v>
      </c>
      <c r="B1065">
        <v>142</v>
      </c>
      <c r="C1065" s="9" t="s">
        <v>34</v>
      </c>
      <c r="D1065" s="8">
        <v>0.4</v>
      </c>
    </row>
    <row r="1066" spans="1:4" x14ac:dyDescent="0.35">
      <c r="A1066" t="str">
        <f t="shared" si="16"/>
        <v>142Profit-Loss Ratio</v>
      </c>
      <c r="B1066">
        <v>142</v>
      </c>
      <c r="C1066" s="9" t="s">
        <v>26</v>
      </c>
      <c r="D1066" s="8">
        <v>0.69</v>
      </c>
    </row>
    <row r="1067" spans="1:4" x14ac:dyDescent="0.35">
      <c r="A1067" t="str">
        <f t="shared" si="16"/>
        <v>142Alpha</v>
      </c>
      <c r="B1067">
        <v>142</v>
      </c>
      <c r="C1067" s="9" t="s">
        <v>23</v>
      </c>
      <c r="D1067" s="8">
        <v>0</v>
      </c>
    </row>
    <row r="1068" spans="1:4" x14ac:dyDescent="0.35">
      <c r="A1068" t="str">
        <f t="shared" si="16"/>
        <v>142Beta</v>
      </c>
      <c r="B1068">
        <v>142</v>
      </c>
      <c r="C1068" s="9" t="s">
        <v>24</v>
      </c>
      <c r="D1068" s="8">
        <v>-5.3999999999999999E-2</v>
      </c>
    </row>
    <row r="1069" spans="1:4" x14ac:dyDescent="0.35">
      <c r="A1069" t="str">
        <f t="shared" si="16"/>
        <v>142Annual Standard Deviation</v>
      </c>
      <c r="B1069">
        <v>142</v>
      </c>
      <c r="C1069" s="9" t="s">
        <v>35</v>
      </c>
      <c r="D1069" s="8">
        <v>8.9999999999999993E-3</v>
      </c>
    </row>
    <row r="1070" spans="1:4" x14ac:dyDescent="0.35">
      <c r="A1070" t="str">
        <f t="shared" si="16"/>
        <v>142Annual Variance</v>
      </c>
      <c r="B1070">
        <v>142</v>
      </c>
      <c r="C1070" s="9" t="s">
        <v>36</v>
      </c>
      <c r="D1070" s="8">
        <v>0</v>
      </c>
    </row>
    <row r="1071" spans="1:4" x14ac:dyDescent="0.35">
      <c r="A1071" t="str">
        <f t="shared" si="16"/>
        <v>142Information Ratio</v>
      </c>
      <c r="B1071">
        <v>142</v>
      </c>
      <c r="C1071" s="9" t="s">
        <v>37</v>
      </c>
      <c r="D1071" s="8">
        <v>-0.95299999999999996</v>
      </c>
    </row>
    <row r="1072" spans="1:4" x14ac:dyDescent="0.35">
      <c r="A1072" t="str">
        <f t="shared" si="16"/>
        <v>142Tracking Error</v>
      </c>
      <c r="B1072">
        <v>142</v>
      </c>
      <c r="C1072" s="9" t="s">
        <v>38</v>
      </c>
      <c r="D1072" s="8">
        <v>7.0999999999999994E-2</v>
      </c>
    </row>
    <row r="1073" spans="1:4" x14ac:dyDescent="0.35">
      <c r="A1073" t="str">
        <f t="shared" si="16"/>
        <v>142Treynor Ratio</v>
      </c>
      <c r="B1073">
        <v>142</v>
      </c>
      <c r="C1073" s="9" t="s">
        <v>39</v>
      </c>
      <c r="D1073" s="8">
        <v>7.0000000000000007E-2</v>
      </c>
    </row>
    <row r="1074" spans="1:4" x14ac:dyDescent="0.35">
      <c r="A1074" t="str">
        <f t="shared" si="16"/>
        <v>142Total Fees</v>
      </c>
      <c r="B1074">
        <v>142</v>
      </c>
      <c r="C1074" s="9" t="s">
        <v>40</v>
      </c>
      <c r="D1074" s="8">
        <v>0</v>
      </c>
    </row>
    <row r="1075" spans="1:4" x14ac:dyDescent="0.35">
      <c r="A1075" t="str">
        <f t="shared" si="16"/>
        <v>142Estimated Strategy Capacity</v>
      </c>
      <c r="B1075">
        <v>142</v>
      </c>
      <c r="C1075" s="9" t="s">
        <v>41</v>
      </c>
      <c r="D1075" s="8">
        <v>270000000</v>
      </c>
    </row>
    <row r="1076" spans="1:4" x14ac:dyDescent="0.35">
      <c r="A1076" t="str">
        <f t="shared" si="16"/>
        <v>143PSR</v>
      </c>
      <c r="B1076">
        <v>143</v>
      </c>
      <c r="C1076" s="9" t="s">
        <v>27</v>
      </c>
      <c r="D1076" s="8">
        <v>8.8220000000000007E-2</v>
      </c>
    </row>
    <row r="1077" spans="1:4" x14ac:dyDescent="0.35">
      <c r="A1077" t="str">
        <f t="shared" si="16"/>
        <v>143Sharpe Ratio</v>
      </c>
      <c r="B1077">
        <v>143</v>
      </c>
      <c r="C1077" s="9" t="s">
        <v>1</v>
      </c>
      <c r="D1077" s="8">
        <v>-0.376</v>
      </c>
    </row>
    <row r="1078" spans="1:4" x14ac:dyDescent="0.35">
      <c r="A1078" t="str">
        <f t="shared" si="16"/>
        <v>143Total Trades</v>
      </c>
      <c r="B1078">
        <v>143</v>
      </c>
      <c r="C1078" s="9" t="s">
        <v>28</v>
      </c>
      <c r="D1078" s="8">
        <v>165</v>
      </c>
    </row>
    <row r="1079" spans="1:4" x14ac:dyDescent="0.35">
      <c r="A1079" t="str">
        <f t="shared" si="16"/>
        <v>143Average Win</v>
      </c>
      <c r="B1079">
        <v>143</v>
      </c>
      <c r="C1079" s="9" t="s">
        <v>25</v>
      </c>
      <c r="D1079" s="8">
        <v>1.3299999999999999E-2</v>
      </c>
    </row>
    <row r="1080" spans="1:4" x14ac:dyDescent="0.35">
      <c r="A1080" t="str">
        <f t="shared" si="16"/>
        <v>143Average Loss</v>
      </c>
      <c r="B1080">
        <v>143</v>
      </c>
      <c r="C1080" s="9" t="s">
        <v>29</v>
      </c>
      <c r="D1080" s="8">
        <v>-1.89E-2</v>
      </c>
    </row>
    <row r="1081" spans="1:4" x14ac:dyDescent="0.35">
      <c r="A1081" t="str">
        <f t="shared" si="16"/>
        <v>143Compounding Annual Return</v>
      </c>
      <c r="B1081">
        <v>143</v>
      </c>
      <c r="C1081" s="9" t="s">
        <v>30</v>
      </c>
      <c r="D1081" s="8">
        <v>-5.4539999999999998E-2</v>
      </c>
    </row>
    <row r="1082" spans="1:4" x14ac:dyDescent="0.35">
      <c r="A1082" t="str">
        <f t="shared" si="16"/>
        <v>143Drawdown</v>
      </c>
      <c r="B1082">
        <v>143</v>
      </c>
      <c r="C1082" s="9" t="s">
        <v>8</v>
      </c>
      <c r="D1082" s="8">
        <v>8.1000000000000003E-2</v>
      </c>
    </row>
    <row r="1083" spans="1:4" x14ac:dyDescent="0.35">
      <c r="A1083" t="str">
        <f t="shared" si="16"/>
        <v>143Expectancy</v>
      </c>
      <c r="B1083">
        <v>143</v>
      </c>
      <c r="C1083" s="9" t="s">
        <v>31</v>
      </c>
      <c r="D1083" s="8">
        <v>-0.318</v>
      </c>
    </row>
    <row r="1084" spans="1:4" x14ac:dyDescent="0.35">
      <c r="A1084" t="str">
        <f t="shared" si="16"/>
        <v>143Net Profit</v>
      </c>
      <c r="B1084">
        <v>143</v>
      </c>
      <c r="C1084" s="9" t="s">
        <v>32</v>
      </c>
      <c r="D1084" s="8">
        <v>-3.5610000000000003E-2</v>
      </c>
    </row>
    <row r="1085" spans="1:4" x14ac:dyDescent="0.35">
      <c r="A1085" t="str">
        <f t="shared" si="16"/>
        <v>143Loss Rate</v>
      </c>
      <c r="B1085">
        <v>143</v>
      </c>
      <c r="C1085" s="9" t="s">
        <v>33</v>
      </c>
      <c r="D1085" s="8">
        <v>0.6</v>
      </c>
    </row>
    <row r="1086" spans="1:4" x14ac:dyDescent="0.35">
      <c r="A1086" t="str">
        <f t="shared" si="16"/>
        <v>143Win Rate</v>
      </c>
      <c r="B1086">
        <v>143</v>
      </c>
      <c r="C1086" s="9" t="s">
        <v>34</v>
      </c>
      <c r="D1086" s="8">
        <v>0.4</v>
      </c>
    </row>
    <row r="1087" spans="1:4" x14ac:dyDescent="0.35">
      <c r="A1087" t="str">
        <f t="shared" si="16"/>
        <v>143Profit-Loss Ratio</v>
      </c>
      <c r="B1087">
        <v>143</v>
      </c>
      <c r="C1087" s="9" t="s">
        <v>26</v>
      </c>
      <c r="D1087" s="8">
        <v>0.71</v>
      </c>
    </row>
    <row r="1088" spans="1:4" x14ac:dyDescent="0.35">
      <c r="A1088" t="str">
        <f t="shared" si="16"/>
        <v>143Alpha</v>
      </c>
      <c r="B1088">
        <v>143</v>
      </c>
      <c r="C1088" s="9" t="s">
        <v>23</v>
      </c>
      <c r="D1088" s="8">
        <v>1E-3</v>
      </c>
    </row>
    <row r="1089" spans="1:4" x14ac:dyDescent="0.35">
      <c r="A1089" t="str">
        <f t="shared" si="16"/>
        <v>143Beta</v>
      </c>
      <c r="B1089">
        <v>143</v>
      </c>
      <c r="C1089" s="9" t="s">
        <v>24</v>
      </c>
      <c r="D1089" s="8">
        <v>-0.55500000000000005</v>
      </c>
    </row>
    <row r="1090" spans="1:4" x14ac:dyDescent="0.35">
      <c r="A1090" t="str">
        <f t="shared" si="16"/>
        <v>143Annual Standard Deviation</v>
      </c>
      <c r="B1090">
        <v>143</v>
      </c>
      <c r="C1090" s="9" t="s">
        <v>35</v>
      </c>
      <c r="D1090" s="8">
        <v>9.0999999999999998E-2</v>
      </c>
    </row>
    <row r="1091" spans="1:4" x14ac:dyDescent="0.35">
      <c r="A1091" t="str">
        <f t="shared" ref="A1091:A1154" si="17">B1091&amp;C1091</f>
        <v>143Annual Variance</v>
      </c>
      <c r="B1091">
        <v>143</v>
      </c>
      <c r="C1091" s="9" t="s">
        <v>36</v>
      </c>
      <c r="D1091" s="8">
        <v>8.0000000000000002E-3</v>
      </c>
    </row>
    <row r="1092" spans="1:4" x14ac:dyDescent="0.35">
      <c r="A1092" t="str">
        <f t="shared" si="17"/>
        <v>143Information Ratio</v>
      </c>
      <c r="B1092">
        <v>143</v>
      </c>
      <c r="C1092" s="9" t="s">
        <v>37</v>
      </c>
      <c r="D1092" s="8">
        <v>-0.73599999999999999</v>
      </c>
    </row>
    <row r="1093" spans="1:4" x14ac:dyDescent="0.35">
      <c r="A1093" t="str">
        <f t="shared" si="17"/>
        <v>143Tracking Error</v>
      </c>
      <c r="B1093">
        <v>143</v>
      </c>
      <c r="C1093" s="9" t="s">
        <v>38</v>
      </c>
      <c r="D1093" s="8">
        <v>0.13300000000000001</v>
      </c>
    </row>
    <row r="1094" spans="1:4" x14ac:dyDescent="0.35">
      <c r="A1094" t="str">
        <f t="shared" si="17"/>
        <v>143Treynor Ratio</v>
      </c>
      <c r="B1094">
        <v>143</v>
      </c>
      <c r="C1094" s="9" t="s">
        <v>39</v>
      </c>
      <c r="D1094" s="8">
        <v>6.2E-2</v>
      </c>
    </row>
    <row r="1095" spans="1:4" x14ac:dyDescent="0.35">
      <c r="A1095" t="str">
        <f t="shared" si="17"/>
        <v>143Total Fees</v>
      </c>
      <c r="B1095">
        <v>143</v>
      </c>
      <c r="C1095" s="9" t="s">
        <v>40</v>
      </c>
      <c r="D1095" s="8">
        <v>0</v>
      </c>
    </row>
    <row r="1096" spans="1:4" x14ac:dyDescent="0.35">
      <c r="A1096" t="str">
        <f t="shared" si="17"/>
        <v>143Estimated Strategy Capacity</v>
      </c>
      <c r="B1096">
        <v>143</v>
      </c>
      <c r="C1096" s="9" t="s">
        <v>41</v>
      </c>
      <c r="D1096" s="8">
        <v>28000000</v>
      </c>
    </row>
    <row r="1097" spans="1:4" x14ac:dyDescent="0.35">
      <c r="A1097" t="str">
        <f t="shared" si="17"/>
        <v>144PSR</v>
      </c>
      <c r="B1097">
        <v>144</v>
      </c>
      <c r="C1097" s="9" t="s">
        <v>27</v>
      </c>
      <c r="D1097" s="8">
        <v>0.12673999999999999</v>
      </c>
    </row>
    <row r="1098" spans="1:4" x14ac:dyDescent="0.35">
      <c r="A1098" t="str">
        <f t="shared" si="17"/>
        <v>144Sharpe Ratio</v>
      </c>
      <c r="B1098">
        <v>144</v>
      </c>
      <c r="C1098" s="9" t="s">
        <v>1</v>
      </c>
      <c r="D1098" s="8">
        <v>-0.17599999999999999</v>
      </c>
    </row>
    <row r="1099" spans="1:4" x14ac:dyDescent="0.35">
      <c r="A1099" t="str">
        <f t="shared" si="17"/>
        <v>144Total Trades</v>
      </c>
      <c r="B1099">
        <v>144</v>
      </c>
      <c r="C1099" s="9" t="s">
        <v>28</v>
      </c>
      <c r="D1099" s="8">
        <v>165</v>
      </c>
    </row>
    <row r="1100" spans="1:4" x14ac:dyDescent="0.35">
      <c r="A1100" t="str">
        <f t="shared" si="17"/>
        <v>144Average Win</v>
      </c>
      <c r="B1100">
        <v>144</v>
      </c>
      <c r="C1100" s="9" t="s">
        <v>25</v>
      </c>
      <c r="D1100" s="8">
        <v>7.8700000000000006E-2</v>
      </c>
    </row>
    <row r="1101" spans="1:4" x14ac:dyDescent="0.35">
      <c r="A1101" t="str">
        <f t="shared" si="17"/>
        <v>144Average Loss</v>
      </c>
      <c r="B1101">
        <v>144</v>
      </c>
      <c r="C1101" s="9" t="s">
        <v>29</v>
      </c>
      <c r="D1101" s="8">
        <v>-9.69E-2</v>
      </c>
    </row>
    <row r="1102" spans="1:4" x14ac:dyDescent="0.35">
      <c r="A1102" t="str">
        <f t="shared" si="17"/>
        <v>144Compounding Annual Return</v>
      </c>
      <c r="B1102">
        <v>144</v>
      </c>
      <c r="C1102" s="9" t="s">
        <v>30</v>
      </c>
      <c r="D1102" s="8">
        <v>-0.2616</v>
      </c>
    </row>
    <row r="1103" spans="1:4" x14ac:dyDescent="0.35">
      <c r="A1103" t="str">
        <f t="shared" si="17"/>
        <v>144Drawdown</v>
      </c>
      <c r="B1103">
        <v>144</v>
      </c>
      <c r="C1103" s="9" t="s">
        <v>8</v>
      </c>
      <c r="D1103" s="8">
        <v>0.375</v>
      </c>
    </row>
    <row r="1104" spans="1:4" x14ac:dyDescent="0.35">
      <c r="A1104" t="str">
        <f t="shared" si="17"/>
        <v>144Expectancy</v>
      </c>
      <c r="B1104">
        <v>144</v>
      </c>
      <c r="C1104" s="9" t="s">
        <v>31</v>
      </c>
      <c r="D1104" s="8">
        <v>-0.27500000000000002</v>
      </c>
    </row>
    <row r="1105" spans="1:4" x14ac:dyDescent="0.35">
      <c r="A1105" t="str">
        <f t="shared" si="17"/>
        <v>144Net Profit</v>
      </c>
      <c r="B1105">
        <v>144</v>
      </c>
      <c r="C1105" s="9" t="s">
        <v>32</v>
      </c>
      <c r="D1105" s="8">
        <v>-0.17802999999999999</v>
      </c>
    </row>
    <row r="1106" spans="1:4" x14ac:dyDescent="0.35">
      <c r="A1106" t="str">
        <f t="shared" si="17"/>
        <v>144Loss Rate</v>
      </c>
      <c r="B1106">
        <v>144</v>
      </c>
      <c r="C1106" s="9" t="s">
        <v>33</v>
      </c>
      <c r="D1106" s="8">
        <v>0.6</v>
      </c>
    </row>
    <row r="1107" spans="1:4" x14ac:dyDescent="0.35">
      <c r="A1107" t="str">
        <f t="shared" si="17"/>
        <v>144Win Rate</v>
      </c>
      <c r="B1107">
        <v>144</v>
      </c>
      <c r="C1107" s="9" t="s">
        <v>34</v>
      </c>
      <c r="D1107" s="8">
        <v>0.4</v>
      </c>
    </row>
    <row r="1108" spans="1:4" x14ac:dyDescent="0.35">
      <c r="A1108" t="str">
        <f t="shared" si="17"/>
        <v>144Profit-Loss Ratio</v>
      </c>
      <c r="B1108">
        <v>144</v>
      </c>
      <c r="C1108" s="9" t="s">
        <v>26</v>
      </c>
      <c r="D1108" s="8">
        <v>0.81</v>
      </c>
    </row>
    <row r="1109" spans="1:4" x14ac:dyDescent="0.35">
      <c r="A1109" t="str">
        <f t="shared" si="17"/>
        <v>144Alpha</v>
      </c>
      <c r="B1109">
        <v>144</v>
      </c>
      <c r="C1109" s="9" t="s">
        <v>23</v>
      </c>
      <c r="D1109" s="8">
        <v>0.115</v>
      </c>
    </row>
    <row r="1110" spans="1:4" x14ac:dyDescent="0.35">
      <c r="A1110" t="str">
        <f t="shared" si="17"/>
        <v>144Beta</v>
      </c>
      <c r="B1110">
        <v>144</v>
      </c>
      <c r="C1110" s="9" t="s">
        <v>24</v>
      </c>
      <c r="D1110" s="8">
        <v>-3.1469999999999998</v>
      </c>
    </row>
    <row r="1111" spans="1:4" x14ac:dyDescent="0.35">
      <c r="A1111" t="str">
        <f t="shared" si="17"/>
        <v>144Annual Standard Deviation</v>
      </c>
      <c r="B1111">
        <v>144</v>
      </c>
      <c r="C1111" s="9" t="s">
        <v>35</v>
      </c>
      <c r="D1111" s="8">
        <v>0.48699999999999999</v>
      </c>
    </row>
    <row r="1112" spans="1:4" x14ac:dyDescent="0.35">
      <c r="A1112" t="str">
        <f t="shared" si="17"/>
        <v>144Annual Variance</v>
      </c>
      <c r="B1112">
        <v>144</v>
      </c>
      <c r="C1112" s="9" t="s">
        <v>36</v>
      </c>
      <c r="D1112" s="8">
        <v>0.23799999999999999</v>
      </c>
    </row>
    <row r="1113" spans="1:4" x14ac:dyDescent="0.35">
      <c r="A1113" t="str">
        <f t="shared" si="17"/>
        <v>144Information Ratio</v>
      </c>
      <c r="B1113">
        <v>144</v>
      </c>
      <c r="C1113" s="9" t="s">
        <v>37</v>
      </c>
      <c r="D1113" s="8">
        <v>-0.28799999999999998</v>
      </c>
    </row>
    <row r="1114" spans="1:4" x14ac:dyDescent="0.35">
      <c r="A1114" t="str">
        <f t="shared" si="17"/>
        <v>144Tracking Error</v>
      </c>
      <c r="B1114">
        <v>144</v>
      </c>
      <c r="C1114" s="9" t="s">
        <v>38</v>
      </c>
      <c r="D1114" s="8">
        <v>0.52</v>
      </c>
    </row>
    <row r="1115" spans="1:4" x14ac:dyDescent="0.35">
      <c r="A1115" t="str">
        <f t="shared" si="17"/>
        <v>144Treynor Ratio</v>
      </c>
      <c r="B1115">
        <v>144</v>
      </c>
      <c r="C1115" s="9" t="s">
        <v>39</v>
      </c>
      <c r="D1115" s="8">
        <v>2.7E-2</v>
      </c>
    </row>
    <row r="1116" spans="1:4" x14ac:dyDescent="0.35">
      <c r="A1116" t="str">
        <f t="shared" si="17"/>
        <v>144Total Fees</v>
      </c>
      <c r="B1116">
        <v>144</v>
      </c>
      <c r="C1116" s="9" t="s">
        <v>40</v>
      </c>
      <c r="D1116" s="8">
        <v>0</v>
      </c>
    </row>
    <row r="1117" spans="1:4" x14ac:dyDescent="0.35">
      <c r="A1117" t="str">
        <f t="shared" si="17"/>
        <v>144Estimated Strategy Capacity</v>
      </c>
      <c r="B1117">
        <v>144</v>
      </c>
      <c r="C1117" s="9" t="s">
        <v>41</v>
      </c>
      <c r="D1117" s="8">
        <v>5700000</v>
      </c>
    </row>
    <row r="1118" spans="1:4" x14ac:dyDescent="0.35">
      <c r="A1118" t="str">
        <f t="shared" si="17"/>
        <v>163PSR</v>
      </c>
      <c r="B1118">
        <v>163</v>
      </c>
      <c r="C1118" s="9" t="s">
        <v>27</v>
      </c>
      <c r="D1118" s="8">
        <v>0.66979</v>
      </c>
    </row>
    <row r="1119" spans="1:4" x14ac:dyDescent="0.35">
      <c r="A1119" t="str">
        <f t="shared" si="17"/>
        <v>163Sharpe Ratio</v>
      </c>
      <c r="B1119">
        <v>163</v>
      </c>
      <c r="C1119" s="9" t="s">
        <v>1</v>
      </c>
      <c r="D1119" s="8">
        <v>1.4079999999999999</v>
      </c>
    </row>
    <row r="1120" spans="1:4" x14ac:dyDescent="0.35">
      <c r="A1120" t="str">
        <f t="shared" si="17"/>
        <v>163Total Trades</v>
      </c>
      <c r="B1120">
        <v>163</v>
      </c>
      <c r="C1120" s="9" t="s">
        <v>28</v>
      </c>
      <c r="D1120" s="8">
        <v>1016</v>
      </c>
    </row>
    <row r="1121" spans="1:4" x14ac:dyDescent="0.35">
      <c r="A1121" t="str">
        <f t="shared" si="17"/>
        <v>163Average Win</v>
      </c>
      <c r="B1121">
        <v>163</v>
      </c>
      <c r="C1121" s="9" t="s">
        <v>25</v>
      </c>
      <c r="D1121" s="8">
        <v>1.6999999999999999E-3</v>
      </c>
    </row>
    <row r="1122" spans="1:4" x14ac:dyDescent="0.35">
      <c r="A1122" t="str">
        <f t="shared" si="17"/>
        <v>163Average Loss</v>
      </c>
      <c r="B1122">
        <v>163</v>
      </c>
      <c r="C1122" s="9" t="s">
        <v>29</v>
      </c>
      <c r="D1122" s="8">
        <v>-8.9999999999999998E-4</v>
      </c>
    </row>
    <row r="1123" spans="1:4" x14ac:dyDescent="0.35">
      <c r="A1123" t="str">
        <f t="shared" si="17"/>
        <v>163Compounding Annual Return</v>
      </c>
      <c r="B1123">
        <v>163</v>
      </c>
      <c r="C1123" s="9" t="s">
        <v>30</v>
      </c>
      <c r="D1123" s="8">
        <v>2.0559999999999998E-2</v>
      </c>
    </row>
    <row r="1124" spans="1:4" x14ac:dyDescent="0.35">
      <c r="A1124" t="str">
        <f t="shared" si="17"/>
        <v>163Drawdown</v>
      </c>
      <c r="B1124">
        <v>163</v>
      </c>
      <c r="C1124" s="9" t="s">
        <v>8</v>
      </c>
      <c r="D1124" s="8">
        <v>6.0000000000000001E-3</v>
      </c>
    </row>
    <row r="1125" spans="1:4" x14ac:dyDescent="0.35">
      <c r="A1125" t="str">
        <f t="shared" si="17"/>
        <v>163Expectancy</v>
      </c>
      <c r="B1125">
        <v>163</v>
      </c>
      <c r="C1125" s="9" t="s">
        <v>31</v>
      </c>
      <c r="D1125" s="8">
        <v>0.42</v>
      </c>
    </row>
    <row r="1126" spans="1:4" x14ac:dyDescent="0.35">
      <c r="A1126" t="str">
        <f t="shared" si="17"/>
        <v>163Net Profit</v>
      </c>
      <c r="B1126">
        <v>163</v>
      </c>
      <c r="C1126" s="9" t="s">
        <v>32</v>
      </c>
      <c r="D1126" s="8">
        <v>1.324E-2</v>
      </c>
    </row>
    <row r="1127" spans="1:4" x14ac:dyDescent="0.35">
      <c r="A1127" t="str">
        <f t="shared" si="17"/>
        <v>163Loss Rate</v>
      </c>
      <c r="B1127">
        <v>163</v>
      </c>
      <c r="C1127" s="9" t="s">
        <v>33</v>
      </c>
      <c r="D1127" s="8">
        <v>0.48</v>
      </c>
    </row>
    <row r="1128" spans="1:4" x14ac:dyDescent="0.35">
      <c r="A1128" t="str">
        <f t="shared" si="17"/>
        <v>163Win Rate</v>
      </c>
      <c r="B1128">
        <v>163</v>
      </c>
      <c r="C1128" s="9" t="s">
        <v>34</v>
      </c>
      <c r="D1128" s="8">
        <v>0.52</v>
      </c>
    </row>
    <row r="1129" spans="1:4" x14ac:dyDescent="0.35">
      <c r="A1129" t="str">
        <f t="shared" si="17"/>
        <v>163Profit-Loss Ratio</v>
      </c>
      <c r="B1129">
        <v>163</v>
      </c>
      <c r="C1129" s="9" t="s">
        <v>26</v>
      </c>
      <c r="D1129" s="8">
        <v>1.76</v>
      </c>
    </row>
    <row r="1130" spans="1:4" x14ac:dyDescent="0.35">
      <c r="A1130" t="str">
        <f t="shared" si="17"/>
        <v>163Alpha</v>
      </c>
      <c r="B1130">
        <v>163</v>
      </c>
      <c r="C1130" s="9" t="s">
        <v>23</v>
      </c>
      <c r="D1130" s="8">
        <v>1.6E-2</v>
      </c>
    </row>
    <row r="1131" spans="1:4" x14ac:dyDescent="0.35">
      <c r="A1131" t="str">
        <f t="shared" si="17"/>
        <v>163Beta</v>
      </c>
      <c r="B1131">
        <v>163</v>
      </c>
      <c r="C1131" s="9" t="s">
        <v>24</v>
      </c>
      <c r="D1131" s="8">
        <v>-0.02</v>
      </c>
    </row>
    <row r="1132" spans="1:4" x14ac:dyDescent="0.35">
      <c r="A1132" t="str">
        <f t="shared" si="17"/>
        <v>163Annual Standard Deviation</v>
      </c>
      <c r="B1132">
        <v>163</v>
      </c>
      <c r="C1132" s="9" t="s">
        <v>35</v>
      </c>
      <c r="D1132" s="8">
        <v>0.01</v>
      </c>
    </row>
    <row r="1133" spans="1:4" x14ac:dyDescent="0.35">
      <c r="A1133" t="str">
        <f t="shared" si="17"/>
        <v>163Annual Variance</v>
      </c>
      <c r="B1133">
        <v>163</v>
      </c>
      <c r="C1133" s="9" t="s">
        <v>36</v>
      </c>
      <c r="D1133" s="8">
        <v>0</v>
      </c>
    </row>
    <row r="1134" spans="1:4" x14ac:dyDescent="0.35">
      <c r="A1134" t="str">
        <f t="shared" si="17"/>
        <v>163Information Ratio</v>
      </c>
      <c r="B1134">
        <v>163</v>
      </c>
      <c r="C1134" s="9" t="s">
        <v>37</v>
      </c>
      <c r="D1134" s="8">
        <v>-0.71799999999999997</v>
      </c>
    </row>
    <row r="1135" spans="1:4" x14ac:dyDescent="0.35">
      <c r="A1135" t="str">
        <f t="shared" si="17"/>
        <v>163Tracking Error</v>
      </c>
      <c r="B1135">
        <v>163</v>
      </c>
      <c r="C1135" s="9" t="s">
        <v>38</v>
      </c>
      <c r="D1135" s="8">
        <v>6.9000000000000006E-2</v>
      </c>
    </row>
    <row r="1136" spans="1:4" x14ac:dyDescent="0.35">
      <c r="A1136" t="str">
        <f t="shared" si="17"/>
        <v>163Treynor Ratio</v>
      </c>
      <c r="B1136">
        <v>163</v>
      </c>
      <c r="C1136" s="9" t="s">
        <v>39</v>
      </c>
      <c r="D1136" s="8">
        <v>-0.71499999999999997</v>
      </c>
    </row>
    <row r="1137" spans="1:4" x14ac:dyDescent="0.35">
      <c r="A1137" t="str">
        <f t="shared" si="17"/>
        <v>163Total Fees</v>
      </c>
      <c r="B1137">
        <v>163</v>
      </c>
      <c r="C1137" s="9" t="s">
        <v>40</v>
      </c>
      <c r="D1137" s="8">
        <v>0</v>
      </c>
    </row>
    <row r="1138" spans="1:4" x14ac:dyDescent="0.35">
      <c r="A1138" t="str">
        <f t="shared" si="17"/>
        <v>163Estimated Strategy Capacity</v>
      </c>
      <c r="B1138">
        <v>163</v>
      </c>
      <c r="C1138" s="9" t="s">
        <v>41</v>
      </c>
      <c r="D1138" s="8">
        <v>56000000</v>
      </c>
    </row>
    <row r="1139" spans="1:4" x14ac:dyDescent="0.35">
      <c r="A1139" t="str">
        <f t="shared" si="17"/>
        <v>164PSR</v>
      </c>
      <c r="B1139">
        <v>164</v>
      </c>
      <c r="C1139" s="11" t="s">
        <v>27</v>
      </c>
      <c r="D1139" s="8">
        <v>0.55000000000000004</v>
      </c>
    </row>
    <row r="1140" spans="1:4" x14ac:dyDescent="0.35">
      <c r="A1140" t="str">
        <f t="shared" si="17"/>
        <v>164Sharpe Ratio</v>
      </c>
      <c r="B1140">
        <v>164</v>
      </c>
      <c r="C1140" s="9" t="s">
        <v>1</v>
      </c>
      <c r="D1140" s="8">
        <v>1.5469999999999999</v>
      </c>
    </row>
    <row r="1141" spans="1:4" x14ac:dyDescent="0.35">
      <c r="A1141" t="str">
        <f t="shared" si="17"/>
        <v>164Total Trades</v>
      </c>
      <c r="B1141">
        <v>164</v>
      </c>
      <c r="C1141" s="9" t="s">
        <v>28</v>
      </c>
      <c r="D1141" s="8">
        <v>1016</v>
      </c>
    </row>
    <row r="1142" spans="1:4" x14ac:dyDescent="0.35">
      <c r="A1142" t="str">
        <f t="shared" si="17"/>
        <v>164Average Win</v>
      </c>
      <c r="B1142">
        <v>164</v>
      </c>
      <c r="C1142" s="9" t="s">
        <v>25</v>
      </c>
      <c r="D1142" s="8">
        <v>1.5800000000000002E-2</v>
      </c>
    </row>
    <row r="1143" spans="1:4" x14ac:dyDescent="0.35">
      <c r="A1143" t="str">
        <f t="shared" si="17"/>
        <v>164Average Loss</v>
      </c>
      <c r="B1143">
        <v>164</v>
      </c>
      <c r="C1143" s="9" t="s">
        <v>29</v>
      </c>
      <c r="D1143" s="8">
        <v>-8.8000000000000005E-3</v>
      </c>
    </row>
    <row r="1144" spans="1:4" x14ac:dyDescent="0.35">
      <c r="A1144" t="str">
        <f t="shared" si="17"/>
        <v>164Compounding Annual Return</v>
      </c>
      <c r="B1144">
        <v>164</v>
      </c>
      <c r="C1144" s="9" t="s">
        <v>30</v>
      </c>
      <c r="D1144" s="8">
        <v>0.21215999999999999</v>
      </c>
    </row>
    <row r="1145" spans="1:4" x14ac:dyDescent="0.35">
      <c r="A1145" t="str">
        <f t="shared" si="17"/>
        <v>164Drawdown</v>
      </c>
      <c r="B1145">
        <v>164</v>
      </c>
      <c r="C1145" s="9" t="s">
        <v>8</v>
      </c>
      <c r="D1145" s="8">
        <v>5.3999999999999999E-2</v>
      </c>
    </row>
    <row r="1146" spans="1:4" x14ac:dyDescent="0.35">
      <c r="A1146" t="str">
        <f t="shared" si="17"/>
        <v>164Expectancy</v>
      </c>
      <c r="B1146">
        <v>164</v>
      </c>
      <c r="C1146" s="9" t="s">
        <v>31</v>
      </c>
      <c r="D1146" s="8">
        <v>0.443</v>
      </c>
    </row>
    <row r="1147" spans="1:4" x14ac:dyDescent="0.35">
      <c r="A1147" t="str">
        <f t="shared" si="17"/>
        <v>164Net Profit</v>
      </c>
      <c r="B1147">
        <v>164</v>
      </c>
      <c r="C1147" s="9" t="s">
        <v>32</v>
      </c>
      <c r="D1147" s="8">
        <v>0.13245000000000001</v>
      </c>
    </row>
    <row r="1148" spans="1:4" x14ac:dyDescent="0.35">
      <c r="A1148" t="str">
        <f t="shared" si="17"/>
        <v>164Loss Rate</v>
      </c>
      <c r="B1148">
        <v>164</v>
      </c>
      <c r="C1148" s="9" t="s">
        <v>33</v>
      </c>
      <c r="D1148" s="8">
        <v>0.48</v>
      </c>
    </row>
    <row r="1149" spans="1:4" x14ac:dyDescent="0.35">
      <c r="A1149" t="str">
        <f t="shared" si="17"/>
        <v>164Win Rate</v>
      </c>
      <c r="B1149">
        <v>164</v>
      </c>
      <c r="C1149" s="9" t="s">
        <v>34</v>
      </c>
      <c r="D1149" s="8">
        <v>0.52</v>
      </c>
    </row>
    <row r="1150" spans="1:4" x14ac:dyDescent="0.35">
      <c r="A1150" t="str">
        <f t="shared" si="17"/>
        <v>164Profit-Loss Ratio</v>
      </c>
      <c r="B1150">
        <v>164</v>
      </c>
      <c r="C1150" s="9" t="s">
        <v>26</v>
      </c>
      <c r="D1150" s="8">
        <v>1.8</v>
      </c>
    </row>
    <row r="1151" spans="1:4" x14ac:dyDescent="0.35">
      <c r="A1151" t="str">
        <f t="shared" si="17"/>
        <v>164Alpha</v>
      </c>
      <c r="B1151">
        <v>164</v>
      </c>
      <c r="C1151" s="9" t="s">
        <v>23</v>
      </c>
      <c r="D1151" s="8">
        <v>0.16</v>
      </c>
    </row>
    <row r="1152" spans="1:4" x14ac:dyDescent="0.35">
      <c r="A1152" t="str">
        <f t="shared" si="17"/>
        <v>164Beta</v>
      </c>
      <c r="B1152">
        <v>164</v>
      </c>
      <c r="C1152" s="9" t="s">
        <v>24</v>
      </c>
      <c r="D1152" s="8">
        <v>-0.184</v>
      </c>
    </row>
    <row r="1153" spans="1:4" x14ac:dyDescent="0.35">
      <c r="A1153" t="str">
        <f t="shared" si="17"/>
        <v>164Annual Standard Deviation</v>
      </c>
      <c r="B1153">
        <v>164</v>
      </c>
      <c r="C1153" s="9" t="s">
        <v>35</v>
      </c>
      <c r="D1153" s="8">
        <v>9.6000000000000002E-2</v>
      </c>
    </row>
    <row r="1154" spans="1:4" x14ac:dyDescent="0.35">
      <c r="A1154" t="str">
        <f t="shared" si="17"/>
        <v>164Annual Variance</v>
      </c>
      <c r="B1154">
        <v>164</v>
      </c>
      <c r="C1154" s="9" t="s">
        <v>36</v>
      </c>
      <c r="D1154" s="8">
        <v>8.9999999999999993E-3</v>
      </c>
    </row>
    <row r="1155" spans="1:4" x14ac:dyDescent="0.35">
      <c r="A1155" t="str">
        <f t="shared" ref="A1155:A1218" si="18">B1155&amp;C1155</f>
        <v>164Information Ratio</v>
      </c>
      <c r="B1155">
        <v>164</v>
      </c>
      <c r="C1155" s="9" t="s">
        <v>37</v>
      </c>
      <c r="D1155" s="8">
        <v>0.68200000000000005</v>
      </c>
    </row>
    <row r="1156" spans="1:4" x14ac:dyDescent="0.35">
      <c r="A1156" t="str">
        <f t="shared" si="18"/>
        <v>164Tracking Error</v>
      </c>
      <c r="B1156">
        <v>164</v>
      </c>
      <c r="C1156" s="9" t="s">
        <v>38</v>
      </c>
      <c r="D1156" s="8">
        <v>0.123</v>
      </c>
    </row>
    <row r="1157" spans="1:4" x14ac:dyDescent="0.35">
      <c r="A1157" t="str">
        <f t="shared" si="18"/>
        <v>164Treynor Ratio</v>
      </c>
      <c r="B1157">
        <v>164</v>
      </c>
      <c r="C1157" s="9" t="s">
        <v>39</v>
      </c>
      <c r="D1157" s="8">
        <v>-0.80200000000000005</v>
      </c>
    </row>
    <row r="1158" spans="1:4" x14ac:dyDescent="0.35">
      <c r="A1158" t="str">
        <f t="shared" si="18"/>
        <v>164Total Fees</v>
      </c>
      <c r="B1158">
        <v>164</v>
      </c>
      <c r="C1158" s="9" t="s">
        <v>40</v>
      </c>
      <c r="D1158" s="8">
        <v>0</v>
      </c>
    </row>
    <row r="1159" spans="1:4" x14ac:dyDescent="0.35">
      <c r="A1159" t="str">
        <f t="shared" si="18"/>
        <v>164Estimated Strategy Capacity</v>
      </c>
      <c r="B1159">
        <v>164</v>
      </c>
      <c r="C1159" s="9" t="s">
        <v>41</v>
      </c>
      <c r="D1159" s="8">
        <v>7300000</v>
      </c>
    </row>
    <row r="1160" spans="1:4" x14ac:dyDescent="0.35">
      <c r="A1160" t="str">
        <f t="shared" si="18"/>
        <v>165PSR</v>
      </c>
      <c r="B1160">
        <v>165</v>
      </c>
      <c r="C1160" s="9" t="s">
        <v>27</v>
      </c>
      <c r="D1160" s="8">
        <v>0.74877000000000005</v>
      </c>
    </row>
    <row r="1161" spans="1:4" x14ac:dyDescent="0.35">
      <c r="A1161" t="str">
        <f t="shared" si="18"/>
        <v>165Sharpe Ratio</v>
      </c>
      <c r="B1161">
        <v>165</v>
      </c>
      <c r="C1161" s="9" t="s">
        <v>1</v>
      </c>
      <c r="D1161" s="8">
        <v>2.17</v>
      </c>
    </row>
    <row r="1162" spans="1:4" x14ac:dyDescent="0.35">
      <c r="A1162" t="str">
        <f t="shared" si="18"/>
        <v>165Total Trades</v>
      </c>
      <c r="B1162">
        <v>165</v>
      </c>
      <c r="C1162" s="9" t="s">
        <v>28</v>
      </c>
      <c r="D1162" s="8">
        <v>1016</v>
      </c>
    </row>
    <row r="1163" spans="1:4" x14ac:dyDescent="0.35">
      <c r="A1163" t="str">
        <f t="shared" si="18"/>
        <v>165Average Win</v>
      </c>
      <c r="B1163">
        <v>165</v>
      </c>
      <c r="C1163" s="9" t="s">
        <v>25</v>
      </c>
      <c r="D1163" s="8">
        <v>6.6699999999999995E-2</v>
      </c>
    </row>
    <row r="1164" spans="1:4" x14ac:dyDescent="0.35">
      <c r="A1164" t="str">
        <f t="shared" si="18"/>
        <v>165Average Loss</v>
      </c>
      <c r="B1164">
        <v>165</v>
      </c>
      <c r="C1164" s="9" t="s">
        <v>29</v>
      </c>
      <c r="D1164" s="8">
        <v>-3.4099999999999998E-2</v>
      </c>
    </row>
    <row r="1165" spans="1:4" x14ac:dyDescent="0.35">
      <c r="A1165" t="str">
        <f t="shared" si="18"/>
        <v>165Compounding Annual Return</v>
      </c>
      <c r="B1165">
        <v>165</v>
      </c>
      <c r="C1165" s="9" t="s">
        <v>30</v>
      </c>
      <c r="D1165" s="8">
        <v>1.19475</v>
      </c>
    </row>
    <row r="1166" spans="1:4" x14ac:dyDescent="0.35">
      <c r="A1166" t="str">
        <f t="shared" si="18"/>
        <v>165Drawdown</v>
      </c>
      <c r="B1166">
        <v>165</v>
      </c>
      <c r="C1166" s="9" t="s">
        <v>8</v>
      </c>
      <c r="D1166" s="8">
        <v>0.24099999999999999</v>
      </c>
    </row>
    <row r="1167" spans="1:4" x14ac:dyDescent="0.35">
      <c r="A1167" t="str">
        <f t="shared" si="18"/>
        <v>165Expectancy</v>
      </c>
      <c r="B1167">
        <v>165</v>
      </c>
      <c r="C1167" s="9" t="s">
        <v>31</v>
      </c>
      <c r="D1167" s="8">
        <v>0.52400000000000002</v>
      </c>
    </row>
    <row r="1168" spans="1:4" x14ac:dyDescent="0.35">
      <c r="A1168" t="str">
        <f t="shared" si="18"/>
        <v>165Net Profit</v>
      </c>
      <c r="B1168">
        <v>165</v>
      </c>
      <c r="C1168" s="9" t="s">
        <v>32</v>
      </c>
      <c r="D1168" s="8">
        <v>0.66222999999999999</v>
      </c>
    </row>
    <row r="1169" spans="1:4" x14ac:dyDescent="0.35">
      <c r="A1169" t="str">
        <f t="shared" si="18"/>
        <v>165Loss Rate</v>
      </c>
      <c r="B1169">
        <v>165</v>
      </c>
      <c r="C1169" s="9" t="s">
        <v>33</v>
      </c>
      <c r="D1169" s="8">
        <v>0.48</v>
      </c>
    </row>
    <row r="1170" spans="1:4" x14ac:dyDescent="0.35">
      <c r="A1170" t="str">
        <f t="shared" si="18"/>
        <v>165Win Rate</v>
      </c>
      <c r="B1170">
        <v>165</v>
      </c>
      <c r="C1170" s="9" t="s">
        <v>34</v>
      </c>
      <c r="D1170" s="8">
        <v>0.52</v>
      </c>
    </row>
    <row r="1171" spans="1:4" x14ac:dyDescent="0.35">
      <c r="A1171" t="str">
        <f t="shared" si="18"/>
        <v>165Profit-Loss Ratio</v>
      </c>
      <c r="B1171">
        <v>165</v>
      </c>
      <c r="C1171" s="9" t="s">
        <v>26</v>
      </c>
      <c r="D1171" s="8">
        <v>1.96</v>
      </c>
    </row>
    <row r="1172" spans="1:4" x14ac:dyDescent="0.35">
      <c r="A1172" t="str">
        <f t="shared" si="18"/>
        <v>165Alpha</v>
      </c>
      <c r="B1172">
        <v>165</v>
      </c>
      <c r="C1172" s="9" t="s">
        <v>23</v>
      </c>
      <c r="D1172" s="8">
        <v>0.89800000000000002</v>
      </c>
    </row>
    <row r="1173" spans="1:4" x14ac:dyDescent="0.35">
      <c r="A1173" t="str">
        <f t="shared" si="18"/>
        <v>165Beta</v>
      </c>
      <c r="B1173">
        <v>165</v>
      </c>
      <c r="C1173" s="9" t="s">
        <v>24</v>
      </c>
      <c r="D1173" s="8">
        <v>-0.70199999999999996</v>
      </c>
    </row>
    <row r="1174" spans="1:4" x14ac:dyDescent="0.35">
      <c r="A1174" t="str">
        <f t="shared" si="18"/>
        <v>165Annual Standard Deviation</v>
      </c>
      <c r="B1174">
        <v>165</v>
      </c>
      <c r="C1174" s="9" t="s">
        <v>35</v>
      </c>
      <c r="D1174" s="8">
        <v>0.39300000000000002</v>
      </c>
    </row>
    <row r="1175" spans="1:4" x14ac:dyDescent="0.35">
      <c r="A1175" t="str">
        <f t="shared" si="18"/>
        <v>165Annual Variance</v>
      </c>
      <c r="B1175">
        <v>165</v>
      </c>
      <c r="C1175" s="9" t="s">
        <v>36</v>
      </c>
      <c r="D1175" s="8">
        <v>0.155</v>
      </c>
    </row>
    <row r="1176" spans="1:4" x14ac:dyDescent="0.35">
      <c r="A1176" t="str">
        <f t="shared" si="18"/>
        <v>165Information Ratio</v>
      </c>
      <c r="B1176">
        <v>165</v>
      </c>
      <c r="C1176" s="9" t="s">
        <v>37</v>
      </c>
      <c r="D1176" s="8">
        <v>1.9419999999999999</v>
      </c>
    </row>
    <row r="1177" spans="1:4" x14ac:dyDescent="0.35">
      <c r="A1177" t="str">
        <f t="shared" si="18"/>
        <v>165Tracking Error</v>
      </c>
      <c r="B1177">
        <v>165</v>
      </c>
      <c r="C1177" s="9" t="s">
        <v>38</v>
      </c>
      <c r="D1177" s="8">
        <v>0.40699999999999997</v>
      </c>
    </row>
    <row r="1178" spans="1:4" x14ac:dyDescent="0.35">
      <c r="A1178" t="str">
        <f t="shared" si="18"/>
        <v>165Treynor Ratio</v>
      </c>
      <c r="B1178">
        <v>165</v>
      </c>
      <c r="C1178" s="9" t="s">
        <v>39</v>
      </c>
      <c r="D1178" s="8">
        <v>-1.2170000000000001</v>
      </c>
    </row>
    <row r="1179" spans="1:4" x14ac:dyDescent="0.35">
      <c r="A1179" t="str">
        <f t="shared" si="18"/>
        <v>165Total Fees</v>
      </c>
      <c r="B1179">
        <v>165</v>
      </c>
      <c r="C1179" s="9" t="s">
        <v>40</v>
      </c>
      <c r="D1179" s="8">
        <v>0</v>
      </c>
    </row>
    <row r="1180" spans="1:4" x14ac:dyDescent="0.35">
      <c r="A1180" t="str">
        <f t="shared" si="18"/>
        <v>165Estimated Strategy Capacity</v>
      </c>
      <c r="B1180">
        <v>165</v>
      </c>
      <c r="C1180" s="9" t="s">
        <v>41</v>
      </c>
      <c r="D1180" s="8">
        <v>2500000</v>
      </c>
    </row>
    <row r="1181" spans="1:4" x14ac:dyDescent="0.35">
      <c r="A1181" t="str">
        <f t="shared" si="18"/>
        <v>166PSR</v>
      </c>
      <c r="B1181">
        <v>166</v>
      </c>
      <c r="C1181" s="9" t="s">
        <v>27</v>
      </c>
      <c r="D1181" s="8">
        <v>0.31459999999999999</v>
      </c>
    </row>
    <row r="1182" spans="1:4" x14ac:dyDescent="0.35">
      <c r="A1182" t="str">
        <f t="shared" si="18"/>
        <v>166Sharpe Ratio</v>
      </c>
      <c r="B1182">
        <v>166</v>
      </c>
      <c r="C1182" s="9" t="s">
        <v>1</v>
      </c>
      <c r="D1182" s="8">
        <v>0.497</v>
      </c>
    </row>
    <row r="1183" spans="1:4" x14ac:dyDescent="0.35">
      <c r="A1183" t="str">
        <f t="shared" si="18"/>
        <v>166Total Trades</v>
      </c>
      <c r="B1183">
        <v>166</v>
      </c>
      <c r="C1183" s="9" t="s">
        <v>28</v>
      </c>
      <c r="D1183" s="8">
        <v>514</v>
      </c>
    </row>
    <row r="1184" spans="1:4" x14ac:dyDescent="0.35">
      <c r="A1184" t="str">
        <f t="shared" si="18"/>
        <v>166Average Win</v>
      </c>
      <c r="B1184">
        <v>166</v>
      </c>
      <c r="C1184" s="9" t="s">
        <v>25</v>
      </c>
      <c r="D1184" s="8">
        <v>1.9E-3</v>
      </c>
    </row>
    <row r="1185" spans="1:4" x14ac:dyDescent="0.35">
      <c r="A1185" t="str">
        <f t="shared" si="18"/>
        <v>166Average Loss</v>
      </c>
      <c r="B1185">
        <v>166</v>
      </c>
      <c r="C1185" s="9" t="s">
        <v>29</v>
      </c>
      <c r="D1185" s="8">
        <v>-2.3E-3</v>
      </c>
    </row>
    <row r="1186" spans="1:4" x14ac:dyDescent="0.35">
      <c r="A1186" t="str">
        <f t="shared" si="18"/>
        <v>166Compounding Annual Return</v>
      </c>
      <c r="B1186">
        <v>166</v>
      </c>
      <c r="C1186" s="9" t="s">
        <v>30</v>
      </c>
      <c r="D1186" s="8">
        <v>1.6400000000000001E-2</v>
      </c>
    </row>
    <row r="1187" spans="1:4" x14ac:dyDescent="0.35">
      <c r="A1187" t="str">
        <f t="shared" si="18"/>
        <v>166Drawdown</v>
      </c>
      <c r="B1187">
        <v>166</v>
      </c>
      <c r="C1187" s="9" t="s">
        <v>8</v>
      </c>
      <c r="D1187" s="8">
        <v>2.9000000000000001E-2</v>
      </c>
    </row>
    <row r="1188" spans="1:4" x14ac:dyDescent="0.35">
      <c r="A1188" t="str">
        <f t="shared" si="18"/>
        <v>166Expectancy</v>
      </c>
      <c r="B1188">
        <v>166</v>
      </c>
      <c r="C1188" s="9" t="s">
        <v>31</v>
      </c>
      <c r="D1188" s="8">
        <v>0.28499999999999998</v>
      </c>
    </row>
    <row r="1189" spans="1:4" x14ac:dyDescent="0.35">
      <c r="A1189" t="str">
        <f t="shared" si="18"/>
        <v>166Net Profit</v>
      </c>
      <c r="B1189">
        <v>166</v>
      </c>
      <c r="C1189" s="9" t="s">
        <v>32</v>
      </c>
      <c r="D1189" s="8">
        <v>1.057E-2</v>
      </c>
    </row>
    <row r="1190" spans="1:4" x14ac:dyDescent="0.35">
      <c r="A1190" t="str">
        <f t="shared" si="18"/>
        <v>166Loss Rate</v>
      </c>
      <c r="B1190">
        <v>166</v>
      </c>
      <c r="C1190" s="9" t="s">
        <v>33</v>
      </c>
      <c r="D1190" s="8">
        <v>0.28999999999999998</v>
      </c>
    </row>
    <row r="1191" spans="1:4" x14ac:dyDescent="0.35">
      <c r="A1191" t="str">
        <f t="shared" si="18"/>
        <v>166Win Rate</v>
      </c>
      <c r="B1191">
        <v>166</v>
      </c>
      <c r="C1191" s="9" t="s">
        <v>34</v>
      </c>
      <c r="D1191" s="8">
        <v>0.71</v>
      </c>
    </row>
    <row r="1192" spans="1:4" x14ac:dyDescent="0.35">
      <c r="A1192" t="str">
        <f t="shared" si="18"/>
        <v>166Profit-Loss Ratio</v>
      </c>
      <c r="B1192">
        <v>166</v>
      </c>
      <c r="C1192" s="9" t="s">
        <v>26</v>
      </c>
      <c r="D1192" s="8">
        <v>0.82</v>
      </c>
    </row>
    <row r="1193" spans="1:4" x14ac:dyDescent="0.35">
      <c r="A1193" t="str">
        <f t="shared" si="18"/>
        <v>166Alpha</v>
      </c>
      <c r="B1193">
        <v>166</v>
      </c>
      <c r="C1193" s="9" t="s">
        <v>23</v>
      </c>
      <c r="D1193" s="8">
        <v>1.7000000000000001E-2</v>
      </c>
    </row>
    <row r="1194" spans="1:4" x14ac:dyDescent="0.35">
      <c r="A1194" t="str">
        <f t="shared" si="18"/>
        <v>166Beta</v>
      </c>
      <c r="B1194">
        <v>166</v>
      </c>
      <c r="C1194" s="9" t="s">
        <v>24</v>
      </c>
      <c r="D1194" s="8">
        <v>-8.5999999999999993E-2</v>
      </c>
    </row>
    <row r="1195" spans="1:4" x14ac:dyDescent="0.35">
      <c r="A1195" t="str">
        <f t="shared" si="18"/>
        <v>166Annual Standard Deviation</v>
      </c>
      <c r="B1195">
        <v>166</v>
      </c>
      <c r="C1195" s="9" t="s">
        <v>35</v>
      </c>
      <c r="D1195" s="8">
        <v>2.3E-2</v>
      </c>
    </row>
    <row r="1196" spans="1:4" x14ac:dyDescent="0.35">
      <c r="A1196" t="str">
        <f t="shared" si="18"/>
        <v>166Annual Variance</v>
      </c>
      <c r="B1196">
        <v>166</v>
      </c>
      <c r="C1196" s="9" t="s">
        <v>36</v>
      </c>
      <c r="D1196" s="8">
        <v>1E-3</v>
      </c>
    </row>
    <row r="1197" spans="1:4" x14ac:dyDescent="0.35">
      <c r="A1197" t="str">
        <f t="shared" si="18"/>
        <v>166Information Ratio</v>
      </c>
      <c r="B1197">
        <v>166</v>
      </c>
      <c r="C1197" s="9" t="s">
        <v>37</v>
      </c>
      <c r="D1197" s="8">
        <v>-0.68600000000000005</v>
      </c>
    </row>
    <row r="1198" spans="1:4" x14ac:dyDescent="0.35">
      <c r="A1198" t="str">
        <f t="shared" si="18"/>
        <v>166Tracking Error</v>
      </c>
      <c r="B1198">
        <v>166</v>
      </c>
      <c r="C1198" s="9" t="s">
        <v>38</v>
      </c>
      <c r="D1198" s="8">
        <v>7.5999999999999998E-2</v>
      </c>
    </row>
    <row r="1199" spans="1:4" x14ac:dyDescent="0.35">
      <c r="A1199" t="str">
        <f t="shared" si="18"/>
        <v>166Treynor Ratio</v>
      </c>
      <c r="B1199">
        <v>166</v>
      </c>
      <c r="C1199" s="9" t="s">
        <v>39</v>
      </c>
      <c r="D1199" s="8">
        <v>-0.13500000000000001</v>
      </c>
    </row>
    <row r="1200" spans="1:4" x14ac:dyDescent="0.35">
      <c r="A1200" t="str">
        <f t="shared" si="18"/>
        <v>166Total Fees</v>
      </c>
      <c r="B1200">
        <v>166</v>
      </c>
      <c r="C1200" s="9" t="s">
        <v>40</v>
      </c>
      <c r="D1200" s="8">
        <v>0</v>
      </c>
    </row>
    <row r="1201" spans="1:4" x14ac:dyDescent="0.35">
      <c r="A1201" t="str">
        <f t="shared" si="18"/>
        <v>166Estimated Strategy Capacity</v>
      </c>
      <c r="B1201">
        <v>166</v>
      </c>
      <c r="C1201" s="9" t="s">
        <v>41</v>
      </c>
      <c r="D1201" s="8">
        <v>3900000000</v>
      </c>
    </row>
    <row r="1202" spans="1:4" x14ac:dyDescent="0.35">
      <c r="A1202" t="str">
        <f t="shared" si="18"/>
        <v>167PSR</v>
      </c>
      <c r="B1202">
        <v>167</v>
      </c>
      <c r="C1202" s="9" t="s">
        <v>27</v>
      </c>
      <c r="D1202" s="8">
        <v>0.34744000000000003</v>
      </c>
    </row>
    <row r="1203" spans="1:4" x14ac:dyDescent="0.35">
      <c r="A1203" t="str">
        <f t="shared" si="18"/>
        <v>167Sharpe Ratio</v>
      </c>
      <c r="B1203">
        <v>167</v>
      </c>
      <c r="C1203" s="9" t="s">
        <v>1</v>
      </c>
      <c r="D1203" s="8">
        <v>0.63200000000000001</v>
      </c>
    </row>
    <row r="1204" spans="1:4" x14ac:dyDescent="0.35">
      <c r="A1204" t="str">
        <f t="shared" si="18"/>
        <v>167Total Trades</v>
      </c>
      <c r="B1204">
        <v>167</v>
      </c>
      <c r="C1204" s="9" t="s">
        <v>28</v>
      </c>
      <c r="D1204" s="8">
        <v>514</v>
      </c>
    </row>
    <row r="1205" spans="1:4" x14ac:dyDescent="0.35">
      <c r="A1205" t="str">
        <f t="shared" si="18"/>
        <v>167Average Win</v>
      </c>
      <c r="B1205">
        <v>167</v>
      </c>
      <c r="C1205" s="9" t="s">
        <v>25</v>
      </c>
      <c r="D1205" s="8">
        <v>1.7999999999999999E-2</v>
      </c>
    </row>
    <row r="1206" spans="1:4" x14ac:dyDescent="0.35">
      <c r="A1206" t="str">
        <f t="shared" si="18"/>
        <v>167Average Loss</v>
      </c>
      <c r="B1206">
        <v>167</v>
      </c>
      <c r="C1206" s="9" t="s">
        <v>29</v>
      </c>
      <c r="D1206" s="8">
        <v>-2.0799999999999999E-2</v>
      </c>
    </row>
    <row r="1207" spans="1:4" x14ac:dyDescent="0.35">
      <c r="A1207" t="str">
        <f t="shared" si="18"/>
        <v>167Compounding Annual Return</v>
      </c>
      <c r="B1207">
        <v>167</v>
      </c>
      <c r="C1207" s="9" t="s">
        <v>30</v>
      </c>
      <c r="D1207" s="8">
        <v>0.16818</v>
      </c>
    </row>
    <row r="1208" spans="1:4" x14ac:dyDescent="0.35">
      <c r="A1208" t="str">
        <f t="shared" si="18"/>
        <v>167Drawdown</v>
      </c>
      <c r="B1208">
        <v>167</v>
      </c>
      <c r="C1208" s="9" t="s">
        <v>8</v>
      </c>
      <c r="D1208" s="8">
        <v>0.246</v>
      </c>
    </row>
    <row r="1209" spans="1:4" x14ac:dyDescent="0.35">
      <c r="A1209" t="str">
        <f t="shared" si="18"/>
        <v>167Expectancy</v>
      </c>
      <c r="B1209">
        <v>167</v>
      </c>
      <c r="C1209" s="9" t="s">
        <v>31</v>
      </c>
      <c r="D1209" s="8">
        <v>0.318</v>
      </c>
    </row>
    <row r="1210" spans="1:4" x14ac:dyDescent="0.35">
      <c r="A1210" t="str">
        <f t="shared" si="18"/>
        <v>167Net Profit</v>
      </c>
      <c r="B1210">
        <v>167</v>
      </c>
      <c r="C1210" s="9" t="s">
        <v>32</v>
      </c>
      <c r="D1210" s="8">
        <v>0.10571</v>
      </c>
    </row>
    <row r="1211" spans="1:4" x14ac:dyDescent="0.35">
      <c r="A1211" t="str">
        <f t="shared" si="18"/>
        <v>167Loss Rate</v>
      </c>
      <c r="B1211">
        <v>167</v>
      </c>
      <c r="C1211" s="9" t="s">
        <v>33</v>
      </c>
      <c r="D1211" s="8">
        <v>0.28999999999999998</v>
      </c>
    </row>
    <row r="1212" spans="1:4" x14ac:dyDescent="0.35">
      <c r="A1212" t="str">
        <f t="shared" si="18"/>
        <v>167Win Rate</v>
      </c>
      <c r="B1212">
        <v>167</v>
      </c>
      <c r="C1212" s="9" t="s">
        <v>34</v>
      </c>
      <c r="D1212" s="8">
        <v>0.71</v>
      </c>
    </row>
    <row r="1213" spans="1:4" x14ac:dyDescent="0.35">
      <c r="A1213" t="str">
        <f t="shared" si="18"/>
        <v>167Profit-Loss Ratio</v>
      </c>
      <c r="B1213">
        <v>167</v>
      </c>
      <c r="C1213" s="9" t="s">
        <v>26</v>
      </c>
      <c r="D1213" s="8">
        <v>0.87</v>
      </c>
    </row>
    <row r="1214" spans="1:4" x14ac:dyDescent="0.35">
      <c r="A1214" t="str">
        <f t="shared" si="18"/>
        <v>167Alpha</v>
      </c>
      <c r="B1214">
        <v>167</v>
      </c>
      <c r="C1214" s="9" t="s">
        <v>23</v>
      </c>
      <c r="D1214" s="8">
        <v>0.19500000000000001</v>
      </c>
    </row>
    <row r="1215" spans="1:4" x14ac:dyDescent="0.35">
      <c r="A1215" t="str">
        <f t="shared" si="18"/>
        <v>167Beta</v>
      </c>
      <c r="B1215">
        <v>167</v>
      </c>
      <c r="C1215" s="9" t="s">
        <v>24</v>
      </c>
      <c r="D1215" s="8">
        <v>-0.82899999999999996</v>
      </c>
    </row>
    <row r="1216" spans="1:4" x14ac:dyDescent="0.35">
      <c r="A1216" t="str">
        <f t="shared" si="18"/>
        <v>167Annual Standard Deviation</v>
      </c>
      <c r="B1216">
        <v>167</v>
      </c>
      <c r="C1216" s="9" t="s">
        <v>35</v>
      </c>
      <c r="D1216" s="8">
        <v>0.22500000000000001</v>
      </c>
    </row>
    <row r="1217" spans="1:4" x14ac:dyDescent="0.35">
      <c r="A1217" t="str">
        <f t="shared" si="18"/>
        <v>167Annual Variance</v>
      </c>
      <c r="B1217">
        <v>167</v>
      </c>
      <c r="C1217" s="9" t="s">
        <v>36</v>
      </c>
      <c r="D1217" s="8">
        <v>5.0999999999999997E-2</v>
      </c>
    </row>
    <row r="1218" spans="1:4" x14ac:dyDescent="0.35">
      <c r="A1218" t="str">
        <f t="shared" si="18"/>
        <v>167Information Ratio</v>
      </c>
      <c r="B1218">
        <v>167</v>
      </c>
      <c r="C1218" s="9" t="s">
        <v>37</v>
      </c>
      <c r="D1218" s="8">
        <v>0.314</v>
      </c>
    </row>
    <row r="1219" spans="1:4" x14ac:dyDescent="0.35">
      <c r="A1219" t="str">
        <f t="shared" ref="A1219:A1282" si="19">B1219&amp;C1219</f>
        <v>167Tracking Error</v>
      </c>
      <c r="B1219">
        <v>167</v>
      </c>
      <c r="C1219" s="9" t="s">
        <v>38</v>
      </c>
      <c r="D1219" s="8">
        <v>0.25</v>
      </c>
    </row>
    <row r="1220" spans="1:4" x14ac:dyDescent="0.35">
      <c r="A1220" t="str">
        <f t="shared" si="19"/>
        <v>167Treynor Ratio</v>
      </c>
      <c r="B1220">
        <v>167</v>
      </c>
      <c r="C1220" s="9" t="s">
        <v>39</v>
      </c>
      <c r="D1220" s="8">
        <v>-0.17199999999999999</v>
      </c>
    </row>
    <row r="1221" spans="1:4" x14ac:dyDescent="0.35">
      <c r="A1221" t="str">
        <f t="shared" si="19"/>
        <v>167Total Fees</v>
      </c>
      <c r="B1221">
        <v>167</v>
      </c>
      <c r="C1221" s="9" t="s">
        <v>40</v>
      </c>
      <c r="D1221" s="8">
        <v>0</v>
      </c>
    </row>
    <row r="1222" spans="1:4" x14ac:dyDescent="0.35">
      <c r="A1222" t="str">
        <f t="shared" si="19"/>
        <v>167Estimated Strategy Capacity</v>
      </c>
      <c r="B1222">
        <v>167</v>
      </c>
      <c r="C1222" s="9" t="s">
        <v>41</v>
      </c>
      <c r="D1222" s="8">
        <v>430000000</v>
      </c>
    </row>
    <row r="1223" spans="1:4" x14ac:dyDescent="0.35">
      <c r="A1223" t="str">
        <f t="shared" si="19"/>
        <v>168PSR</v>
      </c>
      <c r="B1223">
        <v>168</v>
      </c>
      <c r="C1223" s="9" t="s">
        <v>27</v>
      </c>
      <c r="D1223" s="8">
        <v>0.41891</v>
      </c>
    </row>
    <row r="1224" spans="1:4" x14ac:dyDescent="0.35">
      <c r="A1224" t="str">
        <f t="shared" si="19"/>
        <v>168Sharpe Ratio</v>
      </c>
      <c r="B1224">
        <v>168</v>
      </c>
      <c r="C1224" s="9" t="s">
        <v>1</v>
      </c>
      <c r="D1224" s="8">
        <v>1.224</v>
      </c>
    </row>
    <row r="1225" spans="1:4" x14ac:dyDescent="0.35">
      <c r="A1225" t="str">
        <f t="shared" si="19"/>
        <v>168Total Trades</v>
      </c>
      <c r="B1225">
        <v>168</v>
      </c>
      <c r="C1225" s="9" t="s">
        <v>28</v>
      </c>
      <c r="D1225" s="8">
        <v>516</v>
      </c>
    </row>
    <row r="1226" spans="1:4" x14ac:dyDescent="0.35">
      <c r="A1226" t="str">
        <f t="shared" si="19"/>
        <v>168Average Win</v>
      </c>
      <c r="B1226">
        <v>168</v>
      </c>
      <c r="C1226" s="9" t="s">
        <v>25</v>
      </c>
      <c r="D1226" s="8">
        <v>7.4499999999999997E-2</v>
      </c>
    </row>
    <row r="1227" spans="1:4" x14ac:dyDescent="0.35">
      <c r="A1227" t="str">
        <f t="shared" si="19"/>
        <v>168Average Loss</v>
      </c>
      <c r="B1227">
        <v>168</v>
      </c>
      <c r="C1227" s="9" t="s">
        <v>29</v>
      </c>
      <c r="D1227" s="8">
        <v>-7.4700000000000003E-2</v>
      </c>
    </row>
    <row r="1228" spans="1:4" x14ac:dyDescent="0.35">
      <c r="A1228" t="str">
        <f t="shared" si="19"/>
        <v>168Compounding Annual Return</v>
      </c>
      <c r="B1228">
        <v>168</v>
      </c>
      <c r="C1228" s="9" t="s">
        <v>30</v>
      </c>
      <c r="D1228" s="8">
        <v>0.51556999999999997</v>
      </c>
    </row>
    <row r="1229" spans="1:4" x14ac:dyDescent="0.35">
      <c r="A1229" t="str">
        <f t="shared" si="19"/>
        <v>168Drawdown</v>
      </c>
      <c r="B1229">
        <v>168</v>
      </c>
      <c r="C1229" s="9" t="s">
        <v>8</v>
      </c>
      <c r="D1229" s="8">
        <v>0.73799999999999999</v>
      </c>
    </row>
    <row r="1230" spans="1:4" x14ac:dyDescent="0.35">
      <c r="A1230" t="str">
        <f t="shared" si="19"/>
        <v>168Expectancy</v>
      </c>
      <c r="B1230">
        <v>168</v>
      </c>
      <c r="C1230" s="9" t="s">
        <v>31</v>
      </c>
      <c r="D1230" s="8">
        <v>0.26100000000000001</v>
      </c>
    </row>
    <row r="1231" spans="1:4" x14ac:dyDescent="0.35">
      <c r="A1231" t="str">
        <f t="shared" si="19"/>
        <v>168Net Profit</v>
      </c>
      <c r="B1231">
        <v>168</v>
      </c>
      <c r="C1231" s="9" t="s">
        <v>32</v>
      </c>
      <c r="D1231" s="8">
        <v>0.30837999999999999</v>
      </c>
    </row>
    <row r="1232" spans="1:4" x14ac:dyDescent="0.35">
      <c r="A1232" t="str">
        <f t="shared" si="19"/>
        <v>168Loss Rate</v>
      </c>
      <c r="B1232">
        <v>168</v>
      </c>
      <c r="C1232" s="9" t="s">
        <v>33</v>
      </c>
      <c r="D1232" s="8">
        <v>0.37</v>
      </c>
    </row>
    <row r="1233" spans="1:4" x14ac:dyDescent="0.35">
      <c r="A1233" t="str">
        <f t="shared" si="19"/>
        <v>168Win Rate</v>
      </c>
      <c r="B1233">
        <v>168</v>
      </c>
      <c r="C1233" s="9" t="s">
        <v>34</v>
      </c>
      <c r="D1233" s="8">
        <v>0.63</v>
      </c>
    </row>
    <row r="1234" spans="1:4" x14ac:dyDescent="0.35">
      <c r="A1234" t="str">
        <f t="shared" si="19"/>
        <v>168Profit-Loss Ratio</v>
      </c>
      <c r="B1234">
        <v>168</v>
      </c>
      <c r="C1234" s="9" t="s">
        <v>26</v>
      </c>
      <c r="D1234" s="8">
        <v>1</v>
      </c>
    </row>
    <row r="1235" spans="1:4" x14ac:dyDescent="0.35">
      <c r="A1235" t="str">
        <f t="shared" si="19"/>
        <v>168Alpha</v>
      </c>
      <c r="B1235">
        <v>168</v>
      </c>
      <c r="C1235" s="9" t="s">
        <v>23</v>
      </c>
      <c r="D1235" s="8">
        <v>1.5</v>
      </c>
    </row>
    <row r="1236" spans="1:4" x14ac:dyDescent="0.35">
      <c r="A1236" t="str">
        <f t="shared" si="19"/>
        <v>168Beta</v>
      </c>
      <c r="B1236">
        <v>168</v>
      </c>
      <c r="C1236" s="9" t="s">
        <v>24</v>
      </c>
      <c r="D1236" s="8">
        <v>-3.633</v>
      </c>
    </row>
    <row r="1237" spans="1:4" x14ac:dyDescent="0.35">
      <c r="A1237" t="str">
        <f t="shared" si="19"/>
        <v>168Annual Standard Deviation</v>
      </c>
      <c r="B1237">
        <v>168</v>
      </c>
      <c r="C1237" s="9" t="s">
        <v>35</v>
      </c>
      <c r="D1237" s="8">
        <v>1.0369999999999999</v>
      </c>
    </row>
    <row r="1238" spans="1:4" x14ac:dyDescent="0.35">
      <c r="A1238" t="str">
        <f t="shared" si="19"/>
        <v>168Annual Variance</v>
      </c>
      <c r="B1238">
        <v>168</v>
      </c>
      <c r="C1238" s="9" t="s">
        <v>36</v>
      </c>
      <c r="D1238" s="8">
        <v>1.0740000000000001</v>
      </c>
    </row>
    <row r="1239" spans="1:4" x14ac:dyDescent="0.35">
      <c r="A1239" t="str">
        <f t="shared" si="19"/>
        <v>168Information Ratio</v>
      </c>
      <c r="B1239">
        <v>168</v>
      </c>
      <c r="C1239" s="9" t="s">
        <v>37</v>
      </c>
      <c r="D1239" s="8">
        <v>1.143</v>
      </c>
    </row>
    <row r="1240" spans="1:4" x14ac:dyDescent="0.35">
      <c r="A1240" t="str">
        <f t="shared" si="19"/>
        <v>168Tracking Error</v>
      </c>
      <c r="B1240">
        <v>168</v>
      </c>
      <c r="C1240" s="9" t="s">
        <v>38</v>
      </c>
      <c r="D1240" s="8">
        <v>1.054</v>
      </c>
    </row>
    <row r="1241" spans="1:4" x14ac:dyDescent="0.35">
      <c r="A1241" t="str">
        <f t="shared" si="19"/>
        <v>168Treynor Ratio</v>
      </c>
      <c r="B1241">
        <v>168</v>
      </c>
      <c r="C1241" s="9" t="s">
        <v>39</v>
      </c>
      <c r="D1241" s="8">
        <v>-0.34899999999999998</v>
      </c>
    </row>
    <row r="1242" spans="1:4" x14ac:dyDescent="0.35">
      <c r="A1242" t="str">
        <f t="shared" si="19"/>
        <v>168Total Fees</v>
      </c>
      <c r="B1242">
        <v>168</v>
      </c>
      <c r="C1242" s="9" t="s">
        <v>40</v>
      </c>
      <c r="D1242" s="8">
        <v>0</v>
      </c>
    </row>
    <row r="1243" spans="1:4" x14ac:dyDescent="0.35">
      <c r="A1243" t="str">
        <f t="shared" si="19"/>
        <v>168Estimated Strategy Capacity</v>
      </c>
      <c r="B1243">
        <v>168</v>
      </c>
      <c r="C1243" s="9" t="s">
        <v>41</v>
      </c>
      <c r="D1243" s="8">
        <v>100000000</v>
      </c>
    </row>
    <row r="1244" spans="1:4" x14ac:dyDescent="0.35">
      <c r="A1244" t="str">
        <f t="shared" si="19"/>
        <v>169PSR</v>
      </c>
      <c r="B1244">
        <v>169</v>
      </c>
      <c r="C1244" s="9" t="s">
        <v>27</v>
      </c>
      <c r="D1244" s="8">
        <v>0.73838000000000004</v>
      </c>
    </row>
    <row r="1245" spans="1:4" x14ac:dyDescent="0.35">
      <c r="A1245" t="str">
        <f t="shared" si="19"/>
        <v>169Sharpe Ratio</v>
      </c>
      <c r="B1245">
        <v>169</v>
      </c>
      <c r="C1245" s="9" t="s">
        <v>1</v>
      </c>
      <c r="D1245" s="8">
        <v>1.569</v>
      </c>
    </row>
    <row r="1246" spans="1:4" x14ac:dyDescent="0.35">
      <c r="A1246" t="str">
        <f t="shared" si="19"/>
        <v>169Total Trades</v>
      </c>
      <c r="B1246">
        <v>169</v>
      </c>
      <c r="C1246" s="9" t="s">
        <v>28</v>
      </c>
      <c r="D1246" s="8">
        <v>368</v>
      </c>
    </row>
    <row r="1247" spans="1:4" x14ac:dyDescent="0.35">
      <c r="A1247" t="str">
        <f t="shared" si="19"/>
        <v>169Average Win</v>
      </c>
      <c r="B1247">
        <v>169</v>
      </c>
      <c r="C1247" s="9" t="s">
        <v>25</v>
      </c>
      <c r="D1247" s="8">
        <v>4.4000000000000003E-3</v>
      </c>
    </row>
    <row r="1248" spans="1:4" x14ac:dyDescent="0.35">
      <c r="A1248" t="str">
        <f t="shared" si="19"/>
        <v>169Average Loss</v>
      </c>
      <c r="B1248">
        <v>169</v>
      </c>
      <c r="C1248" s="9" t="s">
        <v>29</v>
      </c>
      <c r="D1248" s="8">
        <v>-1.6000000000000001E-3</v>
      </c>
    </row>
    <row r="1249" spans="1:4" x14ac:dyDescent="0.35">
      <c r="A1249" t="str">
        <f t="shared" si="19"/>
        <v>169Compounding Annual Return</v>
      </c>
      <c r="B1249">
        <v>169</v>
      </c>
      <c r="C1249" s="9" t="s">
        <v>30</v>
      </c>
      <c r="D1249" s="8">
        <v>3.4750000000000003E-2</v>
      </c>
    </row>
    <row r="1250" spans="1:4" x14ac:dyDescent="0.35">
      <c r="A1250" t="str">
        <f t="shared" si="19"/>
        <v>169Drawdown</v>
      </c>
      <c r="B1250">
        <v>169</v>
      </c>
      <c r="C1250" s="9" t="s">
        <v>8</v>
      </c>
      <c r="D1250" s="8">
        <v>7.0000000000000001E-3</v>
      </c>
    </row>
    <row r="1251" spans="1:4" x14ac:dyDescent="0.35">
      <c r="A1251" t="str">
        <f t="shared" si="19"/>
        <v>169Expectancy</v>
      </c>
      <c r="B1251">
        <v>169</v>
      </c>
      <c r="C1251" s="9" t="s">
        <v>31</v>
      </c>
      <c r="D1251" s="8">
        <v>1.2190000000000001</v>
      </c>
    </row>
    <row r="1252" spans="1:4" x14ac:dyDescent="0.35">
      <c r="A1252" t="str">
        <f t="shared" si="19"/>
        <v>169Net Profit</v>
      </c>
      <c r="B1252">
        <v>169</v>
      </c>
      <c r="C1252" s="9" t="s">
        <v>32</v>
      </c>
      <c r="D1252" s="8">
        <v>2.2329999999999999E-2</v>
      </c>
    </row>
    <row r="1253" spans="1:4" x14ac:dyDescent="0.35">
      <c r="A1253" t="str">
        <f t="shared" si="19"/>
        <v>169Loss Rate</v>
      </c>
      <c r="B1253">
        <v>169</v>
      </c>
      <c r="C1253" s="9" t="s">
        <v>33</v>
      </c>
      <c r="D1253" s="8">
        <v>0.42</v>
      </c>
    </row>
    <row r="1254" spans="1:4" x14ac:dyDescent="0.35">
      <c r="A1254" t="str">
        <f t="shared" si="19"/>
        <v>169Win Rate</v>
      </c>
      <c r="B1254">
        <v>169</v>
      </c>
      <c r="C1254" s="9" t="s">
        <v>34</v>
      </c>
      <c r="D1254" s="8">
        <v>0.57999999999999996</v>
      </c>
    </row>
    <row r="1255" spans="1:4" x14ac:dyDescent="0.35">
      <c r="A1255" t="str">
        <f t="shared" si="19"/>
        <v>169Profit-Loss Ratio</v>
      </c>
      <c r="B1255">
        <v>169</v>
      </c>
      <c r="C1255" s="9" t="s">
        <v>26</v>
      </c>
      <c r="D1255" s="8">
        <v>2.8</v>
      </c>
    </row>
    <row r="1256" spans="1:4" x14ac:dyDescent="0.35">
      <c r="A1256" t="str">
        <f t="shared" si="19"/>
        <v>169Alpha</v>
      </c>
      <c r="B1256">
        <v>169</v>
      </c>
      <c r="C1256" s="9" t="s">
        <v>23</v>
      </c>
      <c r="D1256" s="8">
        <v>2.8000000000000001E-2</v>
      </c>
    </row>
    <row r="1257" spans="1:4" x14ac:dyDescent="0.35">
      <c r="A1257" t="str">
        <f t="shared" si="19"/>
        <v>169Beta</v>
      </c>
      <c r="B1257">
        <v>169</v>
      </c>
      <c r="C1257" s="9" t="s">
        <v>24</v>
      </c>
      <c r="D1257" s="8">
        <v>-6.3E-2</v>
      </c>
    </row>
    <row r="1258" spans="1:4" x14ac:dyDescent="0.35">
      <c r="A1258" t="str">
        <f t="shared" si="19"/>
        <v>169Annual Standard Deviation</v>
      </c>
      <c r="B1258">
        <v>169</v>
      </c>
      <c r="C1258" s="9" t="s">
        <v>35</v>
      </c>
      <c r="D1258" s="8">
        <v>1.4999999999999999E-2</v>
      </c>
    </row>
    <row r="1259" spans="1:4" x14ac:dyDescent="0.35">
      <c r="A1259" t="str">
        <f t="shared" si="19"/>
        <v>169Annual Variance</v>
      </c>
      <c r="B1259">
        <v>169</v>
      </c>
      <c r="C1259" s="9" t="s">
        <v>36</v>
      </c>
      <c r="D1259" s="8">
        <v>0</v>
      </c>
    </row>
    <row r="1260" spans="1:4" x14ac:dyDescent="0.35">
      <c r="A1260" t="str">
        <f t="shared" si="19"/>
        <v>169Information Ratio</v>
      </c>
      <c r="B1260">
        <v>169</v>
      </c>
      <c r="C1260" s="9" t="s">
        <v>37</v>
      </c>
      <c r="D1260" s="8">
        <v>-0.54600000000000004</v>
      </c>
    </row>
    <row r="1261" spans="1:4" x14ac:dyDescent="0.35">
      <c r="A1261" t="str">
        <f t="shared" si="19"/>
        <v>169Tracking Error</v>
      </c>
      <c r="B1261">
        <v>169</v>
      </c>
      <c r="C1261" s="9" t="s">
        <v>38</v>
      </c>
      <c r="D1261" s="8">
        <v>7.1999999999999995E-2</v>
      </c>
    </row>
    <row r="1262" spans="1:4" x14ac:dyDescent="0.35">
      <c r="A1262" t="str">
        <f t="shared" si="19"/>
        <v>169Treynor Ratio</v>
      </c>
      <c r="B1262">
        <v>169</v>
      </c>
      <c r="C1262" s="9" t="s">
        <v>39</v>
      </c>
      <c r="D1262" s="8">
        <v>-0.38100000000000001</v>
      </c>
    </row>
    <row r="1263" spans="1:4" x14ac:dyDescent="0.35">
      <c r="A1263" t="str">
        <f t="shared" si="19"/>
        <v>169Total Fees</v>
      </c>
      <c r="B1263">
        <v>169</v>
      </c>
      <c r="C1263" s="9" t="s">
        <v>40</v>
      </c>
      <c r="D1263" s="8">
        <v>0</v>
      </c>
    </row>
    <row r="1264" spans="1:4" x14ac:dyDescent="0.35">
      <c r="A1264" t="str">
        <f t="shared" si="19"/>
        <v>169Estimated Strategy Capacity</v>
      </c>
      <c r="B1264">
        <v>169</v>
      </c>
      <c r="C1264" s="9" t="s">
        <v>41</v>
      </c>
      <c r="D1264" s="8">
        <v>2700000000</v>
      </c>
    </row>
    <row r="1265" spans="1:4" x14ac:dyDescent="0.35">
      <c r="A1265" t="str">
        <f t="shared" si="19"/>
        <v>170PSR</v>
      </c>
      <c r="B1265">
        <v>170</v>
      </c>
      <c r="C1265" s="9" t="s">
        <v>27</v>
      </c>
      <c r="D1265" s="8">
        <v>0.74775000000000003</v>
      </c>
    </row>
    <row r="1266" spans="1:4" x14ac:dyDescent="0.35">
      <c r="A1266" t="str">
        <f t="shared" si="19"/>
        <v>170Sharpe Ratio</v>
      </c>
      <c r="B1266">
        <v>170</v>
      </c>
      <c r="C1266" s="9" t="s">
        <v>1</v>
      </c>
      <c r="D1266" s="8">
        <v>1.7569999999999999</v>
      </c>
    </row>
    <row r="1267" spans="1:4" x14ac:dyDescent="0.35">
      <c r="A1267" t="str">
        <f t="shared" si="19"/>
        <v>170Total Trades</v>
      </c>
      <c r="B1267">
        <v>170</v>
      </c>
      <c r="C1267" s="9" t="s">
        <v>28</v>
      </c>
      <c r="D1267" s="8">
        <v>368</v>
      </c>
    </row>
    <row r="1268" spans="1:4" x14ac:dyDescent="0.35">
      <c r="A1268" t="str">
        <f t="shared" si="19"/>
        <v>170Average Win</v>
      </c>
      <c r="B1268">
        <v>170</v>
      </c>
      <c r="C1268" s="9" t="s">
        <v>25</v>
      </c>
      <c r="D1268" s="8">
        <v>4.1000000000000002E-2</v>
      </c>
    </row>
    <row r="1269" spans="1:4" x14ac:dyDescent="0.35">
      <c r="A1269" t="str">
        <f t="shared" si="19"/>
        <v>170Average Loss</v>
      </c>
      <c r="B1269">
        <v>170</v>
      </c>
      <c r="C1269" s="9" t="s">
        <v>29</v>
      </c>
      <c r="D1269" s="8">
        <v>-1.44E-2</v>
      </c>
    </row>
    <row r="1270" spans="1:4" x14ac:dyDescent="0.35">
      <c r="A1270" t="str">
        <f t="shared" si="19"/>
        <v>170Compounding Annual Return</v>
      </c>
      <c r="B1270">
        <v>170</v>
      </c>
      <c r="C1270" s="9" t="s">
        <v>30</v>
      </c>
      <c r="D1270" s="8">
        <v>0.36585000000000001</v>
      </c>
    </row>
    <row r="1271" spans="1:4" x14ac:dyDescent="0.35">
      <c r="A1271" t="str">
        <f t="shared" si="19"/>
        <v>170Drawdown</v>
      </c>
      <c r="B1271">
        <v>170</v>
      </c>
      <c r="C1271" s="9" t="s">
        <v>8</v>
      </c>
      <c r="D1271" s="8">
        <v>5.8999999999999997E-2</v>
      </c>
    </row>
    <row r="1272" spans="1:4" x14ac:dyDescent="0.35">
      <c r="A1272" t="str">
        <f t="shared" si="19"/>
        <v>170Expectancy</v>
      </c>
      <c r="B1272">
        <v>170</v>
      </c>
      <c r="C1272" s="9" t="s">
        <v>31</v>
      </c>
      <c r="D1272" s="8">
        <v>1.2390000000000001</v>
      </c>
    </row>
    <row r="1273" spans="1:4" x14ac:dyDescent="0.35">
      <c r="A1273" t="str">
        <f t="shared" si="19"/>
        <v>170Net Profit</v>
      </c>
      <c r="B1273">
        <v>170</v>
      </c>
      <c r="C1273" s="9" t="s">
        <v>32</v>
      </c>
      <c r="D1273" s="8">
        <v>0.2233</v>
      </c>
    </row>
    <row r="1274" spans="1:4" x14ac:dyDescent="0.35">
      <c r="A1274" t="str">
        <f t="shared" si="19"/>
        <v>170Loss Rate</v>
      </c>
      <c r="B1274">
        <v>170</v>
      </c>
      <c r="C1274" s="9" t="s">
        <v>33</v>
      </c>
      <c r="D1274" s="8">
        <v>0.42</v>
      </c>
    </row>
    <row r="1275" spans="1:4" x14ac:dyDescent="0.35">
      <c r="A1275" t="str">
        <f t="shared" si="19"/>
        <v>170Win Rate</v>
      </c>
      <c r="B1275">
        <v>170</v>
      </c>
      <c r="C1275" s="9" t="s">
        <v>34</v>
      </c>
      <c r="D1275" s="8">
        <v>0.57999999999999996</v>
      </c>
    </row>
    <row r="1276" spans="1:4" x14ac:dyDescent="0.35">
      <c r="A1276" t="str">
        <f t="shared" si="19"/>
        <v>170Profit-Loss Ratio</v>
      </c>
      <c r="B1276">
        <v>170</v>
      </c>
      <c r="C1276" s="9" t="s">
        <v>26</v>
      </c>
      <c r="D1276" s="8">
        <v>2.84</v>
      </c>
    </row>
    <row r="1277" spans="1:4" x14ac:dyDescent="0.35">
      <c r="A1277" t="str">
        <f t="shared" si="19"/>
        <v>170Alpha</v>
      </c>
      <c r="B1277">
        <v>170</v>
      </c>
      <c r="C1277" s="9" t="s">
        <v>23</v>
      </c>
      <c r="D1277" s="8">
        <v>0.29199999999999998</v>
      </c>
    </row>
    <row r="1278" spans="1:4" x14ac:dyDescent="0.35">
      <c r="A1278" t="str">
        <f t="shared" si="19"/>
        <v>170Beta</v>
      </c>
      <c r="B1278">
        <v>170</v>
      </c>
      <c r="C1278" s="9" t="s">
        <v>24</v>
      </c>
      <c r="D1278" s="8">
        <v>-0.59399999999999997</v>
      </c>
    </row>
    <row r="1279" spans="1:4" x14ac:dyDescent="0.35">
      <c r="A1279" t="str">
        <f t="shared" si="19"/>
        <v>170Annual Standard Deviation</v>
      </c>
      <c r="B1279">
        <v>170</v>
      </c>
      <c r="C1279" s="9" t="s">
        <v>35</v>
      </c>
      <c r="D1279" s="8">
        <v>0.14499999999999999</v>
      </c>
    </row>
    <row r="1280" spans="1:4" x14ac:dyDescent="0.35">
      <c r="A1280" t="str">
        <f t="shared" si="19"/>
        <v>170Annual Variance</v>
      </c>
      <c r="B1280">
        <v>170</v>
      </c>
      <c r="C1280" s="9" t="s">
        <v>36</v>
      </c>
      <c r="D1280" s="8">
        <v>2.1000000000000001E-2</v>
      </c>
    </row>
    <row r="1281" spans="1:4" x14ac:dyDescent="0.35">
      <c r="A1281" t="str">
        <f t="shared" si="19"/>
        <v>170Information Ratio</v>
      </c>
      <c r="B1281">
        <v>170</v>
      </c>
      <c r="C1281" s="9" t="s">
        <v>37</v>
      </c>
      <c r="D1281" s="8">
        <v>1.087</v>
      </c>
    </row>
    <row r="1282" spans="1:4" x14ac:dyDescent="0.35">
      <c r="A1282" t="str">
        <f t="shared" si="19"/>
        <v>170Tracking Error</v>
      </c>
      <c r="B1282">
        <v>170</v>
      </c>
      <c r="C1282" s="9" t="s">
        <v>38</v>
      </c>
      <c r="D1282" s="8">
        <v>0.17499999999999999</v>
      </c>
    </row>
    <row r="1283" spans="1:4" x14ac:dyDescent="0.35">
      <c r="A1283" t="str">
        <f t="shared" ref="A1283:A1346" si="20">B1283&amp;C1283</f>
        <v>170Treynor Ratio</v>
      </c>
      <c r="B1283">
        <v>170</v>
      </c>
      <c r="C1283" s="9" t="s">
        <v>39</v>
      </c>
      <c r="D1283" s="8">
        <v>-0.42699999999999999</v>
      </c>
    </row>
    <row r="1284" spans="1:4" x14ac:dyDescent="0.35">
      <c r="A1284" t="str">
        <f t="shared" si="20"/>
        <v>170Total Fees</v>
      </c>
      <c r="B1284">
        <v>170</v>
      </c>
      <c r="C1284" s="9" t="s">
        <v>40</v>
      </c>
      <c r="D1284" s="8">
        <v>0</v>
      </c>
    </row>
    <row r="1285" spans="1:4" x14ac:dyDescent="0.35">
      <c r="A1285" t="str">
        <f t="shared" si="20"/>
        <v>170Estimated Strategy Capacity</v>
      </c>
      <c r="B1285">
        <v>170</v>
      </c>
      <c r="C1285" s="9" t="s">
        <v>41</v>
      </c>
      <c r="D1285" s="8">
        <v>330000000</v>
      </c>
    </row>
    <row r="1286" spans="1:4" x14ac:dyDescent="0.35">
      <c r="A1286" t="str">
        <f t="shared" si="20"/>
        <v>171PSR</v>
      </c>
      <c r="B1286">
        <v>171</v>
      </c>
      <c r="C1286" s="9" t="s">
        <v>27</v>
      </c>
      <c r="D1286" s="8">
        <v>0.77110999999999996</v>
      </c>
    </row>
    <row r="1287" spans="1:4" x14ac:dyDescent="0.35">
      <c r="A1287" t="str">
        <f t="shared" si="20"/>
        <v>171Sharpe Ratio</v>
      </c>
      <c r="B1287">
        <v>171</v>
      </c>
      <c r="C1287" s="9" t="s">
        <v>1</v>
      </c>
      <c r="D1287" s="8">
        <v>2.7010000000000001</v>
      </c>
    </row>
    <row r="1288" spans="1:4" x14ac:dyDescent="0.35">
      <c r="A1288" t="str">
        <f t="shared" si="20"/>
        <v>171Total Trades</v>
      </c>
      <c r="B1288">
        <v>171</v>
      </c>
      <c r="C1288" s="9" t="s">
        <v>28</v>
      </c>
      <c r="D1288" s="8">
        <v>368</v>
      </c>
    </row>
    <row r="1289" spans="1:4" x14ac:dyDescent="0.35">
      <c r="A1289" t="str">
        <f t="shared" si="20"/>
        <v>171Average Win</v>
      </c>
      <c r="B1289">
        <v>171</v>
      </c>
      <c r="C1289" s="9" t="s">
        <v>25</v>
      </c>
      <c r="D1289" s="8">
        <v>0.17030000000000001</v>
      </c>
    </row>
    <row r="1290" spans="1:4" x14ac:dyDescent="0.35">
      <c r="A1290" t="str">
        <f t="shared" si="20"/>
        <v>171Average Loss</v>
      </c>
      <c r="B1290">
        <v>171</v>
      </c>
      <c r="C1290" s="9" t="s">
        <v>29</v>
      </c>
      <c r="D1290" s="8">
        <v>-5.7599999999999998E-2</v>
      </c>
    </row>
    <row r="1291" spans="1:4" x14ac:dyDescent="0.35">
      <c r="A1291" t="str">
        <f t="shared" si="20"/>
        <v>171Compounding Annual Return</v>
      </c>
      <c r="B1291">
        <v>171</v>
      </c>
      <c r="C1291" s="9" t="s">
        <v>30</v>
      </c>
      <c r="D1291" s="8">
        <v>2.1892800000000001</v>
      </c>
    </row>
    <row r="1292" spans="1:4" x14ac:dyDescent="0.35">
      <c r="A1292" t="str">
        <f t="shared" si="20"/>
        <v>171Drawdown</v>
      </c>
      <c r="B1292">
        <v>171</v>
      </c>
      <c r="C1292" s="9" t="s">
        <v>8</v>
      </c>
      <c r="D1292" s="8">
        <v>0.252</v>
      </c>
    </row>
    <row r="1293" spans="1:4" x14ac:dyDescent="0.35">
      <c r="A1293" t="str">
        <f t="shared" si="20"/>
        <v>171Expectancy</v>
      </c>
      <c r="B1293">
        <v>171</v>
      </c>
      <c r="C1293" s="9" t="s">
        <v>31</v>
      </c>
      <c r="D1293" s="8">
        <v>1.3089999999999999</v>
      </c>
    </row>
    <row r="1294" spans="1:4" x14ac:dyDescent="0.35">
      <c r="A1294" t="str">
        <f t="shared" si="20"/>
        <v>171Net Profit</v>
      </c>
      <c r="B1294">
        <v>171</v>
      </c>
      <c r="C1294" s="9" t="s">
        <v>32</v>
      </c>
      <c r="D1294" s="8">
        <v>1.1165</v>
      </c>
    </row>
    <row r="1295" spans="1:4" x14ac:dyDescent="0.35">
      <c r="A1295" t="str">
        <f t="shared" si="20"/>
        <v>171Loss Rate</v>
      </c>
      <c r="B1295">
        <v>171</v>
      </c>
      <c r="C1295" s="9" t="s">
        <v>33</v>
      </c>
      <c r="D1295" s="8">
        <v>0.42</v>
      </c>
    </row>
    <row r="1296" spans="1:4" x14ac:dyDescent="0.35">
      <c r="A1296" t="str">
        <f t="shared" si="20"/>
        <v>171Win Rate</v>
      </c>
      <c r="B1296">
        <v>171</v>
      </c>
      <c r="C1296" s="9" t="s">
        <v>34</v>
      </c>
      <c r="D1296" s="8">
        <v>0.57999999999999996</v>
      </c>
    </row>
    <row r="1297" spans="1:4" x14ac:dyDescent="0.35">
      <c r="A1297" t="str">
        <f t="shared" si="20"/>
        <v>171Profit-Loss Ratio</v>
      </c>
      <c r="B1297">
        <v>171</v>
      </c>
      <c r="C1297" s="9" t="s">
        <v>26</v>
      </c>
      <c r="D1297" s="8">
        <v>2.96</v>
      </c>
    </row>
    <row r="1298" spans="1:4" x14ac:dyDescent="0.35">
      <c r="A1298" t="str">
        <f t="shared" si="20"/>
        <v>171Alpha</v>
      </c>
      <c r="B1298">
        <v>171</v>
      </c>
      <c r="C1298" s="9" t="s">
        <v>23</v>
      </c>
      <c r="D1298" s="8">
        <v>1.7809999999999999</v>
      </c>
    </row>
    <row r="1299" spans="1:4" x14ac:dyDescent="0.35">
      <c r="A1299" t="str">
        <f t="shared" si="20"/>
        <v>171Beta</v>
      </c>
      <c r="B1299">
        <v>171</v>
      </c>
      <c r="C1299" s="9" t="s">
        <v>24</v>
      </c>
      <c r="D1299" s="8">
        <v>-2.403</v>
      </c>
    </row>
    <row r="1300" spans="1:4" x14ac:dyDescent="0.35">
      <c r="A1300" t="str">
        <f t="shared" si="20"/>
        <v>171Annual Standard Deviation</v>
      </c>
      <c r="B1300">
        <v>171</v>
      </c>
      <c r="C1300" s="9" t="s">
        <v>35</v>
      </c>
      <c r="D1300" s="8">
        <v>0.60299999999999998</v>
      </c>
    </row>
    <row r="1301" spans="1:4" x14ac:dyDescent="0.35">
      <c r="A1301" t="str">
        <f t="shared" si="20"/>
        <v>171Annual Variance</v>
      </c>
      <c r="B1301">
        <v>171</v>
      </c>
      <c r="C1301" s="9" t="s">
        <v>36</v>
      </c>
      <c r="D1301" s="8">
        <v>0.36399999999999999</v>
      </c>
    </row>
    <row r="1302" spans="1:4" x14ac:dyDescent="0.35">
      <c r="A1302" t="str">
        <f t="shared" si="20"/>
        <v>171Information Ratio</v>
      </c>
      <c r="B1302">
        <v>171</v>
      </c>
      <c r="C1302" s="9" t="s">
        <v>37</v>
      </c>
      <c r="D1302" s="8">
        <v>2.5070000000000001</v>
      </c>
    </row>
    <row r="1303" spans="1:4" x14ac:dyDescent="0.35">
      <c r="A1303" t="str">
        <f t="shared" si="20"/>
        <v>171Tracking Error</v>
      </c>
      <c r="B1303">
        <v>171</v>
      </c>
      <c r="C1303" s="9" t="s">
        <v>38</v>
      </c>
      <c r="D1303" s="8">
        <v>0.624</v>
      </c>
    </row>
    <row r="1304" spans="1:4" x14ac:dyDescent="0.35">
      <c r="A1304" t="str">
        <f t="shared" si="20"/>
        <v>171Treynor Ratio</v>
      </c>
      <c r="B1304">
        <v>171</v>
      </c>
      <c r="C1304" s="9" t="s">
        <v>39</v>
      </c>
      <c r="D1304" s="8">
        <v>-0.67700000000000005</v>
      </c>
    </row>
    <row r="1305" spans="1:4" x14ac:dyDescent="0.35">
      <c r="A1305" t="str">
        <f t="shared" si="20"/>
        <v>171Total Fees</v>
      </c>
      <c r="B1305">
        <v>171</v>
      </c>
      <c r="C1305" s="9" t="s">
        <v>40</v>
      </c>
      <c r="D1305" s="8">
        <v>0</v>
      </c>
    </row>
    <row r="1306" spans="1:4" x14ac:dyDescent="0.35">
      <c r="A1306" t="str">
        <f t="shared" si="20"/>
        <v>171Estimated Strategy Capacity</v>
      </c>
      <c r="B1306">
        <v>171</v>
      </c>
      <c r="C1306" s="9" t="s">
        <v>41</v>
      </c>
      <c r="D1306" s="8">
        <v>120000000</v>
      </c>
    </row>
    <row r="1307" spans="1:4" x14ac:dyDescent="0.35">
      <c r="A1307" t="str">
        <f t="shared" si="20"/>
        <v>189PSR</v>
      </c>
      <c r="B1307">
        <v>189</v>
      </c>
      <c r="C1307" t="s">
        <v>27</v>
      </c>
      <c r="D1307" s="2">
        <v>0.41333999999999999</v>
      </c>
    </row>
    <row r="1308" spans="1:4" x14ac:dyDescent="0.35">
      <c r="A1308" t="str">
        <f t="shared" si="20"/>
        <v>189Sharpe Ratio</v>
      </c>
      <c r="B1308">
        <v>189</v>
      </c>
      <c r="C1308" t="s">
        <v>1</v>
      </c>
      <c r="D1308" s="2">
        <v>1.1559999999999999</v>
      </c>
    </row>
    <row r="1309" spans="1:4" x14ac:dyDescent="0.35">
      <c r="A1309" t="str">
        <f t="shared" si="20"/>
        <v>189Total Trades</v>
      </c>
      <c r="B1309">
        <v>189</v>
      </c>
      <c r="C1309" t="s">
        <v>28</v>
      </c>
      <c r="D1309" s="2">
        <v>268</v>
      </c>
    </row>
    <row r="1310" spans="1:4" x14ac:dyDescent="0.35">
      <c r="A1310" t="str">
        <f t="shared" si="20"/>
        <v>189Average Win</v>
      </c>
      <c r="B1310">
        <v>189</v>
      </c>
      <c r="C1310" t="s">
        <v>25</v>
      </c>
      <c r="D1310" s="2">
        <v>0.1784</v>
      </c>
    </row>
    <row r="1311" spans="1:4" x14ac:dyDescent="0.35">
      <c r="A1311" t="str">
        <f t="shared" si="20"/>
        <v>189Average Loss</v>
      </c>
      <c r="B1311">
        <v>189</v>
      </c>
      <c r="C1311" t="s">
        <v>29</v>
      </c>
      <c r="D1311" s="2">
        <v>-8.6199999999999999E-2</v>
      </c>
    </row>
    <row r="1312" spans="1:4" x14ac:dyDescent="0.35">
      <c r="A1312" t="str">
        <f t="shared" si="20"/>
        <v>189Compounding Annual Return</v>
      </c>
      <c r="B1312">
        <v>189</v>
      </c>
      <c r="C1312" t="s">
        <v>30</v>
      </c>
      <c r="D1312" s="2">
        <v>0.60363999999999995</v>
      </c>
    </row>
    <row r="1313" spans="1:4" x14ac:dyDescent="0.35">
      <c r="A1313" t="str">
        <f t="shared" si="20"/>
        <v>189Drawdown</v>
      </c>
      <c r="B1313">
        <v>189</v>
      </c>
      <c r="C1313" t="s">
        <v>8</v>
      </c>
      <c r="D1313" s="2">
        <v>0.69099999999999995</v>
      </c>
    </row>
    <row r="1314" spans="1:4" x14ac:dyDescent="0.35">
      <c r="A1314" t="str">
        <f t="shared" si="20"/>
        <v>189Expectancy</v>
      </c>
      <c r="B1314">
        <v>189</v>
      </c>
      <c r="C1314" t="s">
        <v>31</v>
      </c>
      <c r="D1314" s="2">
        <v>0.91900000000000004</v>
      </c>
    </row>
    <row r="1315" spans="1:4" x14ac:dyDescent="0.35">
      <c r="A1315" t="str">
        <f t="shared" si="20"/>
        <v>189Net Profit</v>
      </c>
      <c r="B1315">
        <v>189</v>
      </c>
      <c r="C1315" t="s">
        <v>32</v>
      </c>
      <c r="D1315" s="2">
        <v>0.35528999999999999</v>
      </c>
    </row>
    <row r="1316" spans="1:4" x14ac:dyDescent="0.35">
      <c r="A1316" t="str">
        <f t="shared" si="20"/>
        <v>189Loss Rate</v>
      </c>
      <c r="B1316">
        <v>189</v>
      </c>
      <c r="C1316" t="s">
        <v>33</v>
      </c>
      <c r="D1316" s="2">
        <v>0.38</v>
      </c>
    </row>
    <row r="1317" spans="1:4" x14ac:dyDescent="0.35">
      <c r="A1317" t="str">
        <f t="shared" si="20"/>
        <v>189Win Rate</v>
      </c>
      <c r="B1317">
        <v>189</v>
      </c>
      <c r="C1317" t="s">
        <v>34</v>
      </c>
      <c r="D1317" s="2">
        <v>0.62</v>
      </c>
    </row>
    <row r="1318" spans="1:4" x14ac:dyDescent="0.35">
      <c r="A1318" t="str">
        <f t="shared" si="20"/>
        <v>189Profit-Loss Ratio</v>
      </c>
      <c r="B1318">
        <v>189</v>
      </c>
      <c r="C1318" t="s">
        <v>26</v>
      </c>
      <c r="D1318" s="2">
        <v>2.0699999999999998</v>
      </c>
    </row>
    <row r="1319" spans="1:4" x14ac:dyDescent="0.35">
      <c r="A1319" t="str">
        <f t="shared" si="20"/>
        <v>189Alpha</v>
      </c>
      <c r="B1319">
        <v>189</v>
      </c>
      <c r="C1319" t="s">
        <v>23</v>
      </c>
      <c r="D1319" s="2">
        <v>1.34</v>
      </c>
    </row>
    <row r="1320" spans="1:4" x14ac:dyDescent="0.35">
      <c r="A1320" t="str">
        <f t="shared" si="20"/>
        <v>189Beta</v>
      </c>
      <c r="B1320">
        <v>189</v>
      </c>
      <c r="C1320" t="s">
        <v>24</v>
      </c>
      <c r="D1320" s="2">
        <v>-4.1079999999999997</v>
      </c>
    </row>
    <row r="1321" spans="1:4" x14ac:dyDescent="0.35">
      <c r="A1321" t="str">
        <f t="shared" si="20"/>
        <v>189Annual Standard Deviation</v>
      </c>
      <c r="B1321">
        <v>189</v>
      </c>
      <c r="C1321" t="s">
        <v>35</v>
      </c>
      <c r="D1321" s="2">
        <v>0.93200000000000005</v>
      </c>
    </row>
    <row r="1322" spans="1:4" x14ac:dyDescent="0.35">
      <c r="A1322" t="str">
        <f t="shared" si="20"/>
        <v>189Annual Variance</v>
      </c>
      <c r="B1322">
        <v>189</v>
      </c>
      <c r="C1322" t="s">
        <v>36</v>
      </c>
      <c r="D1322" s="2">
        <v>0.86799999999999999</v>
      </c>
    </row>
    <row r="1323" spans="1:4" x14ac:dyDescent="0.35">
      <c r="A1323" t="str">
        <f t="shared" si="20"/>
        <v>189Information Ratio</v>
      </c>
      <c r="B1323">
        <v>189</v>
      </c>
      <c r="C1323" t="s">
        <v>37</v>
      </c>
      <c r="D1323" s="2">
        <v>1.0629999999999999</v>
      </c>
    </row>
    <row r="1324" spans="1:4" x14ac:dyDescent="0.35">
      <c r="A1324" t="str">
        <f t="shared" si="20"/>
        <v>189Tracking Error</v>
      </c>
      <c r="B1324">
        <v>189</v>
      </c>
      <c r="C1324" t="s">
        <v>38</v>
      </c>
      <c r="D1324" s="2">
        <v>0.95399999999999996</v>
      </c>
    </row>
    <row r="1325" spans="1:4" x14ac:dyDescent="0.35">
      <c r="A1325" t="str">
        <f t="shared" si="20"/>
        <v>189Treynor Ratio</v>
      </c>
      <c r="B1325">
        <v>189</v>
      </c>
      <c r="C1325" t="s">
        <v>39</v>
      </c>
      <c r="D1325" s="2">
        <v>-0.26200000000000001</v>
      </c>
    </row>
    <row r="1326" spans="1:4" x14ac:dyDescent="0.35">
      <c r="A1326" t="str">
        <f t="shared" si="20"/>
        <v>189Total Fees</v>
      </c>
      <c r="B1326">
        <v>189</v>
      </c>
      <c r="C1326" t="s">
        <v>40</v>
      </c>
      <c r="D1326" s="2">
        <v>0</v>
      </c>
    </row>
    <row r="1327" spans="1:4" x14ac:dyDescent="0.35">
      <c r="A1327" t="str">
        <f t="shared" si="20"/>
        <v>189Estimated Strategy Capacity</v>
      </c>
      <c r="B1327">
        <v>189</v>
      </c>
      <c r="C1327" t="s">
        <v>41</v>
      </c>
      <c r="D1327" s="2">
        <v>2800000</v>
      </c>
    </row>
    <row r="1328" spans="1:4" x14ac:dyDescent="0.35">
      <c r="A1328" t="str">
        <f t="shared" si="20"/>
        <v>188PSR</v>
      </c>
      <c r="B1328">
        <v>188</v>
      </c>
      <c r="C1328" s="9" t="s">
        <v>27</v>
      </c>
      <c r="D1328" s="8">
        <v>0.31263000000000002</v>
      </c>
    </row>
    <row r="1329" spans="1:4" x14ac:dyDescent="0.35">
      <c r="A1329" t="str">
        <f t="shared" si="20"/>
        <v>188Sharpe Ratio</v>
      </c>
      <c r="B1329">
        <v>188</v>
      </c>
      <c r="C1329" s="9" t="s">
        <v>1</v>
      </c>
      <c r="D1329" s="8">
        <v>0.52100000000000002</v>
      </c>
    </row>
    <row r="1330" spans="1:4" x14ac:dyDescent="0.35">
      <c r="A1330" t="str">
        <f t="shared" si="20"/>
        <v>188Total Trades</v>
      </c>
      <c r="B1330">
        <v>188</v>
      </c>
      <c r="C1330" s="9" t="s">
        <v>28</v>
      </c>
      <c r="D1330" s="8">
        <v>268</v>
      </c>
    </row>
    <row r="1331" spans="1:4" x14ac:dyDescent="0.35">
      <c r="A1331" t="str">
        <f t="shared" si="20"/>
        <v>188Average Win</v>
      </c>
      <c r="B1331">
        <v>188</v>
      </c>
      <c r="C1331" s="9" t="s">
        <v>25</v>
      </c>
      <c r="D1331" s="8">
        <v>4.0599999999999997E-2</v>
      </c>
    </row>
    <row r="1332" spans="1:4" x14ac:dyDescent="0.35">
      <c r="A1332" t="str">
        <f t="shared" si="20"/>
        <v>188Average Loss</v>
      </c>
      <c r="B1332">
        <v>188</v>
      </c>
      <c r="C1332" s="9" t="s">
        <v>29</v>
      </c>
      <c r="D1332" s="8">
        <v>-2.3400000000000001E-2</v>
      </c>
    </row>
    <row r="1333" spans="1:4" x14ac:dyDescent="0.35">
      <c r="A1333" t="str">
        <f t="shared" si="20"/>
        <v>188Compounding Annual Return</v>
      </c>
      <c r="B1333">
        <v>188</v>
      </c>
      <c r="C1333" s="9" t="s">
        <v>30</v>
      </c>
      <c r="D1333" s="8">
        <v>0.11203</v>
      </c>
    </row>
    <row r="1334" spans="1:4" x14ac:dyDescent="0.35">
      <c r="A1334" t="str">
        <f t="shared" si="20"/>
        <v>188Drawdown</v>
      </c>
      <c r="B1334">
        <v>188</v>
      </c>
      <c r="C1334" s="9" t="s">
        <v>8</v>
      </c>
      <c r="D1334" s="8">
        <v>0.20899999999999999</v>
      </c>
    </row>
    <row r="1335" spans="1:4" x14ac:dyDescent="0.35">
      <c r="A1335" t="str">
        <f t="shared" si="20"/>
        <v>188Expectancy</v>
      </c>
      <c r="B1335">
        <v>188</v>
      </c>
      <c r="C1335" s="9" t="s">
        <v>31</v>
      </c>
      <c r="D1335" s="8">
        <v>0.71</v>
      </c>
    </row>
    <row r="1336" spans="1:4" x14ac:dyDescent="0.35">
      <c r="A1336" t="str">
        <f t="shared" si="20"/>
        <v>188Net Profit</v>
      </c>
      <c r="B1336">
        <v>188</v>
      </c>
      <c r="C1336" s="9" t="s">
        <v>32</v>
      </c>
      <c r="D1336" s="8">
        <v>7.1059999999999998E-2</v>
      </c>
    </row>
    <row r="1337" spans="1:4" x14ac:dyDescent="0.35">
      <c r="A1337" t="str">
        <f t="shared" si="20"/>
        <v>188Loss Rate</v>
      </c>
      <c r="B1337">
        <v>188</v>
      </c>
      <c r="C1337" s="9" t="s">
        <v>33</v>
      </c>
      <c r="D1337" s="8">
        <v>0.38</v>
      </c>
    </row>
    <row r="1338" spans="1:4" x14ac:dyDescent="0.35">
      <c r="A1338" t="str">
        <f t="shared" si="20"/>
        <v>188Win Rate</v>
      </c>
      <c r="B1338">
        <v>188</v>
      </c>
      <c r="C1338" s="9" t="s">
        <v>34</v>
      </c>
      <c r="D1338" s="8">
        <v>0.62</v>
      </c>
    </row>
    <row r="1339" spans="1:4" x14ac:dyDescent="0.35">
      <c r="A1339" t="str">
        <f t="shared" si="20"/>
        <v>188Profit-Loss Ratio</v>
      </c>
      <c r="B1339">
        <v>188</v>
      </c>
      <c r="C1339" s="9" t="s">
        <v>26</v>
      </c>
      <c r="D1339" s="8">
        <v>1.74</v>
      </c>
    </row>
    <row r="1340" spans="1:4" x14ac:dyDescent="0.35">
      <c r="A1340" t="str">
        <f t="shared" si="20"/>
        <v>188Alpha</v>
      </c>
      <c r="B1340">
        <v>188</v>
      </c>
      <c r="C1340" s="9" t="s">
        <v>23</v>
      </c>
      <c r="D1340" s="8">
        <v>0.14799999999999999</v>
      </c>
    </row>
    <row r="1341" spans="1:4" x14ac:dyDescent="0.35">
      <c r="A1341" t="str">
        <f t="shared" si="20"/>
        <v>188Beta</v>
      </c>
      <c r="B1341">
        <v>188</v>
      </c>
      <c r="C1341" s="9" t="s">
        <v>24</v>
      </c>
      <c r="D1341" s="8">
        <v>-0.84599999999999997</v>
      </c>
    </row>
    <row r="1342" spans="1:4" x14ac:dyDescent="0.35">
      <c r="A1342" t="str">
        <f t="shared" si="20"/>
        <v>188Annual Standard Deviation</v>
      </c>
      <c r="B1342">
        <v>188</v>
      </c>
      <c r="C1342" s="9" t="s">
        <v>35</v>
      </c>
      <c r="D1342" s="8">
        <v>0.18</v>
      </c>
    </row>
    <row r="1343" spans="1:4" x14ac:dyDescent="0.35">
      <c r="A1343" t="str">
        <f t="shared" si="20"/>
        <v>188Annual Variance</v>
      </c>
      <c r="B1343">
        <v>188</v>
      </c>
      <c r="C1343" s="9" t="s">
        <v>36</v>
      </c>
      <c r="D1343" s="8">
        <v>3.2000000000000001E-2</v>
      </c>
    </row>
    <row r="1344" spans="1:4" x14ac:dyDescent="0.35">
      <c r="A1344" t="str">
        <f t="shared" si="20"/>
        <v>188Information Ratio</v>
      </c>
      <c r="B1344">
        <v>188</v>
      </c>
      <c r="C1344" s="9" t="s">
        <v>37</v>
      </c>
      <c r="D1344" s="8">
        <v>0.14299999999999999</v>
      </c>
    </row>
    <row r="1345" spans="1:4" x14ac:dyDescent="0.35">
      <c r="A1345" t="str">
        <f t="shared" si="20"/>
        <v>188Tracking Error</v>
      </c>
      <c r="B1345">
        <v>188</v>
      </c>
      <c r="C1345" s="9" t="s">
        <v>38</v>
      </c>
      <c r="D1345" s="8">
        <v>0.21099999999999999</v>
      </c>
    </row>
    <row r="1346" spans="1:4" x14ac:dyDescent="0.35">
      <c r="A1346" t="str">
        <f t="shared" si="20"/>
        <v>188Treynor Ratio</v>
      </c>
      <c r="B1346">
        <v>188</v>
      </c>
      <c r="C1346" s="9" t="s">
        <v>39</v>
      </c>
      <c r="D1346" s="8">
        <v>-0.111</v>
      </c>
    </row>
    <row r="1347" spans="1:4" x14ac:dyDescent="0.35">
      <c r="A1347" t="str">
        <f t="shared" ref="A1347:A1410" si="21">B1347&amp;C1347</f>
        <v>188Total Fees</v>
      </c>
      <c r="B1347">
        <v>188</v>
      </c>
      <c r="C1347" s="9" t="s">
        <v>40</v>
      </c>
      <c r="D1347" s="8">
        <v>0</v>
      </c>
    </row>
    <row r="1348" spans="1:4" x14ac:dyDescent="0.35">
      <c r="A1348" t="str">
        <f t="shared" si="21"/>
        <v>188Estimated Strategy Capacity</v>
      </c>
      <c r="B1348">
        <v>188</v>
      </c>
      <c r="C1348" s="9" t="s">
        <v>41</v>
      </c>
      <c r="D1348" s="8">
        <v>9900000</v>
      </c>
    </row>
    <row r="1349" spans="1:4" x14ac:dyDescent="0.35">
      <c r="A1349" t="str">
        <f t="shared" si="21"/>
        <v>187PSR</v>
      </c>
      <c r="B1349">
        <v>187</v>
      </c>
      <c r="C1349" s="9" t="s">
        <v>27</v>
      </c>
      <c r="D1349" s="8">
        <v>0.28816000000000003</v>
      </c>
    </row>
    <row r="1350" spans="1:4" x14ac:dyDescent="0.35">
      <c r="A1350" t="str">
        <f t="shared" si="21"/>
        <v>187Sharpe Ratio</v>
      </c>
      <c r="B1350">
        <v>187</v>
      </c>
      <c r="C1350" s="9" t="s">
        <v>1</v>
      </c>
      <c r="D1350" s="8">
        <v>0.42299999999999999</v>
      </c>
    </row>
    <row r="1351" spans="1:4" x14ac:dyDescent="0.35">
      <c r="A1351" t="str">
        <f t="shared" si="21"/>
        <v>187Total Trades</v>
      </c>
      <c r="B1351">
        <v>187</v>
      </c>
      <c r="C1351" s="9" t="s">
        <v>28</v>
      </c>
      <c r="D1351" s="8">
        <v>268</v>
      </c>
    </row>
    <row r="1352" spans="1:4" x14ac:dyDescent="0.35">
      <c r="A1352" t="str">
        <f t="shared" si="21"/>
        <v>187Average Win</v>
      </c>
      <c r="B1352">
        <v>187</v>
      </c>
      <c r="C1352" s="9" t="s">
        <v>25</v>
      </c>
      <c r="D1352" s="8">
        <v>4.1999999999999997E-3</v>
      </c>
    </row>
    <row r="1353" spans="1:4" x14ac:dyDescent="0.35">
      <c r="A1353" t="str">
        <f t="shared" si="21"/>
        <v>187Average Loss</v>
      </c>
      <c r="B1353">
        <v>187</v>
      </c>
      <c r="C1353" s="9" t="s">
        <v>29</v>
      </c>
      <c r="D1353" s="8">
        <v>-2.5000000000000001E-3</v>
      </c>
    </row>
    <row r="1354" spans="1:4" x14ac:dyDescent="0.35">
      <c r="A1354" t="str">
        <f t="shared" si="21"/>
        <v>187Compounding Annual Return</v>
      </c>
      <c r="B1354">
        <v>187</v>
      </c>
      <c r="C1354" s="9" t="s">
        <v>30</v>
      </c>
      <c r="D1354" s="8">
        <v>1.1010000000000001E-2</v>
      </c>
    </row>
    <row r="1355" spans="1:4" x14ac:dyDescent="0.35">
      <c r="A1355" t="str">
        <f t="shared" si="21"/>
        <v>187Drawdown</v>
      </c>
      <c r="B1355">
        <v>187</v>
      </c>
      <c r="C1355" s="9" t="s">
        <v>8</v>
      </c>
      <c r="D1355" s="8">
        <v>2.4E-2</v>
      </c>
    </row>
    <row r="1356" spans="1:4" x14ac:dyDescent="0.35">
      <c r="A1356" t="str">
        <f t="shared" si="21"/>
        <v>187Expectancy</v>
      </c>
      <c r="B1356">
        <v>187</v>
      </c>
      <c r="C1356" s="9" t="s">
        <v>31</v>
      </c>
      <c r="D1356" s="8">
        <v>0.65800000000000003</v>
      </c>
    </row>
    <row r="1357" spans="1:4" x14ac:dyDescent="0.35">
      <c r="A1357" t="str">
        <f t="shared" si="21"/>
        <v>187Net Profit</v>
      </c>
      <c r="B1357">
        <v>187</v>
      </c>
      <c r="C1357" s="9" t="s">
        <v>32</v>
      </c>
      <c r="D1357" s="8">
        <v>7.11E-3</v>
      </c>
    </row>
    <row r="1358" spans="1:4" x14ac:dyDescent="0.35">
      <c r="A1358" t="str">
        <f t="shared" si="21"/>
        <v>187Loss Rate</v>
      </c>
      <c r="B1358">
        <v>187</v>
      </c>
      <c r="C1358" s="9" t="s">
        <v>33</v>
      </c>
      <c r="D1358" s="8">
        <v>0.38</v>
      </c>
    </row>
    <row r="1359" spans="1:4" x14ac:dyDescent="0.35">
      <c r="A1359" t="str">
        <f t="shared" si="21"/>
        <v>187Win Rate</v>
      </c>
      <c r="B1359">
        <v>187</v>
      </c>
      <c r="C1359" s="9" t="s">
        <v>34</v>
      </c>
      <c r="D1359" s="8">
        <v>0.62</v>
      </c>
    </row>
    <row r="1360" spans="1:4" x14ac:dyDescent="0.35">
      <c r="A1360" t="str">
        <f t="shared" si="21"/>
        <v>187Profit-Loss Ratio</v>
      </c>
      <c r="B1360">
        <v>187</v>
      </c>
      <c r="C1360" s="9" t="s">
        <v>26</v>
      </c>
      <c r="D1360" s="8">
        <v>1.65</v>
      </c>
    </row>
    <row r="1361" spans="1:4" x14ac:dyDescent="0.35">
      <c r="A1361" t="str">
        <f t="shared" si="21"/>
        <v>187Alpha</v>
      </c>
      <c r="B1361">
        <v>187</v>
      </c>
      <c r="C1361" s="9" t="s">
        <v>23</v>
      </c>
      <c r="D1361" s="8">
        <v>1.2999999999999999E-2</v>
      </c>
    </row>
    <row r="1362" spans="1:4" x14ac:dyDescent="0.35">
      <c r="A1362" t="str">
        <f t="shared" si="21"/>
        <v>187Beta</v>
      </c>
      <c r="B1362">
        <v>187</v>
      </c>
      <c r="C1362" s="9" t="s">
        <v>24</v>
      </c>
      <c r="D1362" s="8">
        <v>-8.5999999999999993E-2</v>
      </c>
    </row>
    <row r="1363" spans="1:4" x14ac:dyDescent="0.35">
      <c r="A1363" t="str">
        <f t="shared" si="21"/>
        <v>187Annual Standard Deviation</v>
      </c>
      <c r="B1363">
        <v>187</v>
      </c>
      <c r="C1363" s="9" t="s">
        <v>35</v>
      </c>
      <c r="D1363" s="8">
        <v>1.7999999999999999E-2</v>
      </c>
    </row>
    <row r="1364" spans="1:4" x14ac:dyDescent="0.35">
      <c r="A1364" t="str">
        <f t="shared" si="21"/>
        <v>187Annual Variance</v>
      </c>
      <c r="B1364">
        <v>187</v>
      </c>
      <c r="C1364" s="9" t="s">
        <v>36</v>
      </c>
      <c r="D1364" s="8">
        <v>0</v>
      </c>
    </row>
    <row r="1365" spans="1:4" x14ac:dyDescent="0.35">
      <c r="A1365" t="str">
        <f t="shared" si="21"/>
        <v>187Information Ratio</v>
      </c>
      <c r="B1365">
        <v>187</v>
      </c>
      <c r="C1365" s="9" t="s">
        <v>37</v>
      </c>
      <c r="D1365" s="8">
        <v>-0.75</v>
      </c>
    </row>
    <row r="1366" spans="1:4" x14ac:dyDescent="0.35">
      <c r="A1366" t="str">
        <f t="shared" si="21"/>
        <v>187Tracking Error</v>
      </c>
      <c r="B1366">
        <v>187</v>
      </c>
      <c r="C1366" s="9" t="s">
        <v>38</v>
      </c>
      <c r="D1366" s="8">
        <v>7.4999999999999997E-2</v>
      </c>
    </row>
    <row r="1367" spans="1:4" x14ac:dyDescent="0.35">
      <c r="A1367" t="str">
        <f t="shared" si="21"/>
        <v>187Treynor Ratio</v>
      </c>
      <c r="B1367">
        <v>187</v>
      </c>
      <c r="C1367" s="9" t="s">
        <v>39</v>
      </c>
      <c r="D1367" s="8">
        <v>-0.09</v>
      </c>
    </row>
    <row r="1368" spans="1:4" x14ac:dyDescent="0.35">
      <c r="A1368" t="str">
        <f t="shared" si="21"/>
        <v>187Total Fees</v>
      </c>
      <c r="B1368">
        <v>187</v>
      </c>
      <c r="C1368" s="9" t="s">
        <v>40</v>
      </c>
      <c r="D1368" s="8">
        <v>0</v>
      </c>
    </row>
    <row r="1369" spans="1:4" x14ac:dyDescent="0.35">
      <c r="A1369" t="str">
        <f t="shared" si="21"/>
        <v>187Estimated Strategy Capacity</v>
      </c>
      <c r="B1369">
        <v>187</v>
      </c>
      <c r="C1369" s="9" t="s">
        <v>41</v>
      </c>
      <c r="D1369" s="8">
        <v>88000000</v>
      </c>
    </row>
    <row r="1370" spans="1:4" x14ac:dyDescent="0.35">
      <c r="A1370" t="str">
        <f t="shared" si="21"/>
        <v>186PSR</v>
      </c>
      <c r="B1370">
        <v>186</v>
      </c>
      <c r="C1370" s="9" t="s">
        <v>27</v>
      </c>
      <c r="D1370" s="8">
        <v>0.77017000000000002</v>
      </c>
    </row>
    <row r="1371" spans="1:4" x14ac:dyDescent="0.35">
      <c r="A1371" t="str">
        <f t="shared" si="21"/>
        <v>186Sharpe Ratio</v>
      </c>
      <c r="B1371">
        <v>186</v>
      </c>
      <c r="C1371" s="9" t="s">
        <v>1</v>
      </c>
      <c r="D1371" s="8">
        <v>2.6789999999999998</v>
      </c>
    </row>
    <row r="1372" spans="1:4" x14ac:dyDescent="0.35">
      <c r="A1372" t="str">
        <f t="shared" si="21"/>
        <v>186Total Trades</v>
      </c>
      <c r="B1372">
        <v>186</v>
      </c>
      <c r="C1372" s="9" t="s">
        <v>28</v>
      </c>
      <c r="D1372" s="8">
        <v>386</v>
      </c>
    </row>
    <row r="1373" spans="1:4" x14ac:dyDescent="0.35">
      <c r="A1373" t="str">
        <f t="shared" si="21"/>
        <v>186Average Win</v>
      </c>
      <c r="B1373">
        <v>186</v>
      </c>
      <c r="C1373" s="9" t="s">
        <v>25</v>
      </c>
      <c r="D1373" s="8">
        <v>0.17280000000000001</v>
      </c>
    </row>
    <row r="1374" spans="1:4" x14ac:dyDescent="0.35">
      <c r="A1374" t="str">
        <f t="shared" si="21"/>
        <v>186Average Loss</v>
      </c>
      <c r="B1374">
        <v>186</v>
      </c>
      <c r="C1374" s="9" t="s">
        <v>29</v>
      </c>
      <c r="D1374" s="8">
        <v>-7.6300000000000007E-2</v>
      </c>
    </row>
    <row r="1375" spans="1:4" x14ac:dyDescent="0.35">
      <c r="A1375" t="str">
        <f t="shared" si="21"/>
        <v>186Compounding Annual Return</v>
      </c>
      <c r="B1375">
        <v>186</v>
      </c>
      <c r="C1375" s="9" t="s">
        <v>30</v>
      </c>
      <c r="D1375" s="8">
        <v>2.3147700000000002</v>
      </c>
    </row>
    <row r="1376" spans="1:4" x14ac:dyDescent="0.35">
      <c r="A1376" t="str">
        <f t="shared" si="21"/>
        <v>186Drawdown</v>
      </c>
      <c r="B1376">
        <v>186</v>
      </c>
      <c r="C1376" s="9" t="s">
        <v>8</v>
      </c>
      <c r="D1376" s="8">
        <v>0.28299999999999997</v>
      </c>
    </row>
    <row r="1377" spans="1:4" x14ac:dyDescent="0.35">
      <c r="A1377" t="str">
        <f t="shared" si="21"/>
        <v>186Expectancy</v>
      </c>
      <c r="B1377">
        <v>186</v>
      </c>
      <c r="C1377" s="9" t="s">
        <v>31</v>
      </c>
      <c r="D1377" s="8">
        <v>1.1759999999999999</v>
      </c>
    </row>
    <row r="1378" spans="1:4" x14ac:dyDescent="0.35">
      <c r="A1378" t="str">
        <f t="shared" si="21"/>
        <v>186Net Profit</v>
      </c>
      <c r="B1378">
        <v>186</v>
      </c>
      <c r="C1378" s="9" t="s">
        <v>32</v>
      </c>
      <c r="D1378" s="8">
        <v>1.16997</v>
      </c>
    </row>
    <row r="1379" spans="1:4" x14ac:dyDescent="0.35">
      <c r="A1379" t="str">
        <f t="shared" si="21"/>
        <v>186Loss Rate</v>
      </c>
      <c r="B1379">
        <v>186</v>
      </c>
      <c r="C1379" s="9" t="s">
        <v>33</v>
      </c>
      <c r="D1379" s="8">
        <v>0.33</v>
      </c>
    </row>
    <row r="1380" spans="1:4" x14ac:dyDescent="0.35">
      <c r="A1380" t="str">
        <f t="shared" si="21"/>
        <v>186Win Rate</v>
      </c>
      <c r="B1380">
        <v>186</v>
      </c>
      <c r="C1380" s="9" t="s">
        <v>34</v>
      </c>
      <c r="D1380" s="8">
        <v>0.67</v>
      </c>
    </row>
    <row r="1381" spans="1:4" x14ac:dyDescent="0.35">
      <c r="A1381" t="str">
        <f t="shared" si="21"/>
        <v>186Profit-Loss Ratio</v>
      </c>
      <c r="B1381">
        <v>186</v>
      </c>
      <c r="C1381" s="10" t="s">
        <v>26</v>
      </c>
      <c r="D1381" s="8">
        <v>2.2599999999999998</v>
      </c>
    </row>
    <row r="1382" spans="1:4" x14ac:dyDescent="0.35">
      <c r="A1382" t="str">
        <f t="shared" si="21"/>
        <v>186Alpha</v>
      </c>
      <c r="B1382">
        <v>186</v>
      </c>
      <c r="C1382" s="10" t="s">
        <v>23</v>
      </c>
      <c r="D1382" s="8">
        <v>1.899</v>
      </c>
    </row>
    <row r="1383" spans="1:4" x14ac:dyDescent="0.35">
      <c r="A1383" t="str">
        <f t="shared" si="21"/>
        <v>186Beta</v>
      </c>
      <c r="B1383">
        <v>186</v>
      </c>
      <c r="C1383" s="10" t="s">
        <v>24</v>
      </c>
      <c r="D1383" s="8">
        <v>-2.2629999999999999</v>
      </c>
    </row>
    <row r="1384" spans="1:4" x14ac:dyDescent="0.35">
      <c r="A1384" t="str">
        <f t="shared" si="21"/>
        <v>186Annual Standard Deviation</v>
      </c>
      <c r="B1384">
        <v>186</v>
      </c>
      <c r="C1384" s="10" t="s">
        <v>35</v>
      </c>
      <c r="D1384" s="8">
        <v>0.65500000000000003</v>
      </c>
    </row>
    <row r="1385" spans="1:4" x14ac:dyDescent="0.35">
      <c r="A1385" t="str">
        <f t="shared" si="21"/>
        <v>186Annual Variance</v>
      </c>
      <c r="B1385">
        <v>186</v>
      </c>
      <c r="C1385" s="10" t="s">
        <v>36</v>
      </c>
      <c r="D1385" s="8">
        <v>0.42899999999999999</v>
      </c>
    </row>
    <row r="1386" spans="1:4" x14ac:dyDescent="0.35">
      <c r="A1386" t="str">
        <f t="shared" si="21"/>
        <v>186Information Ratio</v>
      </c>
      <c r="B1386">
        <v>186</v>
      </c>
      <c r="C1386" s="10" t="s">
        <v>37</v>
      </c>
      <c r="D1386" s="8">
        <v>2.5099999999999998</v>
      </c>
    </row>
    <row r="1387" spans="1:4" x14ac:dyDescent="0.35">
      <c r="A1387" t="str">
        <f t="shared" si="21"/>
        <v>186Tracking Error</v>
      </c>
      <c r="B1387">
        <v>186</v>
      </c>
      <c r="C1387" s="10" t="s">
        <v>38</v>
      </c>
      <c r="D1387" s="8">
        <v>0.67400000000000004</v>
      </c>
    </row>
    <row r="1388" spans="1:4" x14ac:dyDescent="0.35">
      <c r="A1388" t="str">
        <f t="shared" si="21"/>
        <v>186Treynor Ratio</v>
      </c>
      <c r="B1388">
        <v>186</v>
      </c>
      <c r="C1388" s="10" t="s">
        <v>39</v>
      </c>
      <c r="D1388" s="8">
        <v>-0.77600000000000002</v>
      </c>
    </row>
    <row r="1389" spans="1:4" x14ac:dyDescent="0.35">
      <c r="A1389" t="str">
        <f t="shared" si="21"/>
        <v>186Total Fees</v>
      </c>
      <c r="B1389">
        <v>186</v>
      </c>
      <c r="C1389" s="10" t="s">
        <v>40</v>
      </c>
      <c r="D1389" s="8">
        <v>0</v>
      </c>
    </row>
    <row r="1390" spans="1:4" x14ac:dyDescent="0.35">
      <c r="A1390" t="str">
        <f t="shared" si="21"/>
        <v>186Estimated Strategy Capacity</v>
      </c>
      <c r="B1390">
        <v>186</v>
      </c>
      <c r="C1390" s="10" t="s">
        <v>41</v>
      </c>
      <c r="D1390" s="8">
        <v>1700000</v>
      </c>
    </row>
    <row r="1391" spans="1:4" x14ac:dyDescent="0.35">
      <c r="A1391" t="str">
        <f t="shared" si="21"/>
        <v>185PSR</v>
      </c>
      <c r="B1391">
        <v>185</v>
      </c>
      <c r="C1391" s="9" t="s">
        <v>27</v>
      </c>
      <c r="D1391" s="8">
        <v>0.75388999999999995</v>
      </c>
    </row>
    <row r="1392" spans="1:4" x14ac:dyDescent="0.35">
      <c r="A1392" t="str">
        <f t="shared" si="21"/>
        <v>185Sharpe Ratio</v>
      </c>
      <c r="B1392">
        <v>185</v>
      </c>
      <c r="C1392" s="9" t="s">
        <v>1</v>
      </c>
      <c r="D1392" s="8">
        <v>1.7749999999999999</v>
      </c>
    </row>
    <row r="1393" spans="1:4" x14ac:dyDescent="0.35">
      <c r="A1393" t="str">
        <f t="shared" si="21"/>
        <v>185Total Trades</v>
      </c>
      <c r="B1393">
        <v>185</v>
      </c>
      <c r="C1393" s="9" t="s">
        <v>28</v>
      </c>
      <c r="D1393" s="8">
        <v>386</v>
      </c>
    </row>
    <row r="1394" spans="1:4" x14ac:dyDescent="0.35">
      <c r="A1394" t="str">
        <f t="shared" si="21"/>
        <v>185Average Win</v>
      </c>
      <c r="B1394">
        <v>185</v>
      </c>
      <c r="C1394" s="9" t="s">
        <v>25</v>
      </c>
      <c r="D1394" s="8">
        <v>3.9100000000000003E-2</v>
      </c>
    </row>
    <row r="1395" spans="1:4" x14ac:dyDescent="0.35">
      <c r="A1395" t="str">
        <f t="shared" si="21"/>
        <v>185Average Loss</v>
      </c>
      <c r="B1395">
        <v>185</v>
      </c>
      <c r="C1395" s="9" t="s">
        <v>29</v>
      </c>
      <c r="D1395" s="8">
        <v>-1.61E-2</v>
      </c>
    </row>
    <row r="1396" spans="1:4" x14ac:dyDescent="0.35">
      <c r="A1396" t="str">
        <f t="shared" si="21"/>
        <v>185Compounding Annual Return</v>
      </c>
      <c r="B1396">
        <v>185</v>
      </c>
      <c r="C1396" s="9" t="s">
        <v>30</v>
      </c>
      <c r="D1396" s="8">
        <v>0.38435999999999998</v>
      </c>
    </row>
    <row r="1397" spans="1:4" x14ac:dyDescent="0.35">
      <c r="A1397" t="str">
        <f t="shared" si="21"/>
        <v>185Drawdown</v>
      </c>
      <c r="B1397">
        <v>185</v>
      </c>
      <c r="C1397" s="9" t="s">
        <v>8</v>
      </c>
      <c r="D1397" s="8">
        <v>9.9000000000000005E-2</v>
      </c>
    </row>
    <row r="1398" spans="1:4" x14ac:dyDescent="0.35">
      <c r="A1398" t="str">
        <f t="shared" si="21"/>
        <v>185Expectancy</v>
      </c>
      <c r="B1398">
        <v>185</v>
      </c>
      <c r="C1398" s="9" t="s">
        <v>31</v>
      </c>
      <c r="D1398" s="8">
        <v>1.2829999999999999</v>
      </c>
    </row>
    <row r="1399" spans="1:4" x14ac:dyDescent="0.35">
      <c r="A1399" t="str">
        <f t="shared" si="21"/>
        <v>185Net Profit</v>
      </c>
      <c r="B1399">
        <v>185</v>
      </c>
      <c r="C1399" s="9" t="s">
        <v>32</v>
      </c>
      <c r="D1399" s="8">
        <v>0.23399</v>
      </c>
    </row>
    <row r="1400" spans="1:4" x14ac:dyDescent="0.35">
      <c r="A1400" t="str">
        <f t="shared" si="21"/>
        <v>185Loss Rate</v>
      </c>
      <c r="B1400">
        <v>185</v>
      </c>
      <c r="C1400" s="9" t="s">
        <v>33</v>
      </c>
      <c r="D1400" s="8">
        <v>0.33</v>
      </c>
    </row>
    <row r="1401" spans="1:4" x14ac:dyDescent="0.35">
      <c r="A1401" t="str">
        <f t="shared" si="21"/>
        <v>185Win Rate</v>
      </c>
      <c r="B1401">
        <v>185</v>
      </c>
      <c r="C1401" s="9" t="s">
        <v>34</v>
      </c>
      <c r="D1401" s="8">
        <v>0.67</v>
      </c>
    </row>
    <row r="1402" spans="1:4" x14ac:dyDescent="0.35">
      <c r="A1402" t="str">
        <f t="shared" si="21"/>
        <v>185Profit-Loss Ratio</v>
      </c>
      <c r="B1402">
        <v>185</v>
      </c>
      <c r="C1402" s="9" t="s">
        <v>26</v>
      </c>
      <c r="D1402" s="8">
        <v>2.42</v>
      </c>
    </row>
    <row r="1403" spans="1:4" x14ac:dyDescent="0.35">
      <c r="A1403" t="str">
        <f t="shared" si="21"/>
        <v>185Alpha</v>
      </c>
      <c r="B1403">
        <v>185</v>
      </c>
      <c r="C1403" s="9" t="s">
        <v>23</v>
      </c>
      <c r="D1403" s="8">
        <v>0.30299999999999999</v>
      </c>
    </row>
    <row r="1404" spans="1:4" x14ac:dyDescent="0.35">
      <c r="A1404" t="str">
        <f t="shared" si="21"/>
        <v>185Beta</v>
      </c>
      <c r="B1404">
        <v>185</v>
      </c>
      <c r="C1404" s="9" t="s">
        <v>24</v>
      </c>
      <c r="D1404" s="8">
        <v>-0.57299999999999995</v>
      </c>
    </row>
    <row r="1405" spans="1:4" x14ac:dyDescent="0.35">
      <c r="A1405" t="str">
        <f t="shared" si="21"/>
        <v>185Annual Standard Deviation</v>
      </c>
      <c r="B1405">
        <v>185</v>
      </c>
      <c r="C1405" s="9" t="s">
        <v>35</v>
      </c>
      <c r="D1405" s="8">
        <v>0.15</v>
      </c>
    </row>
    <row r="1406" spans="1:4" x14ac:dyDescent="0.35">
      <c r="A1406" t="str">
        <f t="shared" si="21"/>
        <v>185Annual Variance</v>
      </c>
      <c r="B1406">
        <v>185</v>
      </c>
      <c r="C1406" s="9" t="s">
        <v>36</v>
      </c>
      <c r="D1406" s="8">
        <v>2.3E-2</v>
      </c>
    </row>
    <row r="1407" spans="1:4" x14ac:dyDescent="0.35">
      <c r="A1407" t="str">
        <f t="shared" si="21"/>
        <v>185Information Ratio</v>
      </c>
      <c r="B1407">
        <v>185</v>
      </c>
      <c r="C1407" s="9" t="s">
        <v>37</v>
      </c>
      <c r="D1407" s="8">
        <v>1.133</v>
      </c>
    </row>
    <row r="1408" spans="1:4" x14ac:dyDescent="0.35">
      <c r="A1408" t="str">
        <f t="shared" si="21"/>
        <v>185Tracking Error</v>
      </c>
      <c r="B1408">
        <v>185</v>
      </c>
      <c r="C1408" s="9" t="s">
        <v>38</v>
      </c>
      <c r="D1408" s="8">
        <v>0.17899999999999999</v>
      </c>
    </row>
    <row r="1409" spans="1:4" x14ac:dyDescent="0.35">
      <c r="A1409" t="str">
        <f t="shared" si="21"/>
        <v>185Treynor Ratio</v>
      </c>
      <c r="B1409">
        <v>185</v>
      </c>
      <c r="C1409" s="9" t="s">
        <v>39</v>
      </c>
      <c r="D1409" s="8">
        <v>-0.46600000000000003</v>
      </c>
    </row>
    <row r="1410" spans="1:4" x14ac:dyDescent="0.35">
      <c r="A1410" t="str">
        <f t="shared" si="21"/>
        <v>185Total Fees</v>
      </c>
      <c r="B1410">
        <v>185</v>
      </c>
      <c r="C1410" s="9" t="s">
        <v>40</v>
      </c>
      <c r="D1410" s="8">
        <v>0</v>
      </c>
    </row>
    <row r="1411" spans="1:4" x14ac:dyDescent="0.35">
      <c r="A1411" t="str">
        <f t="shared" ref="A1411:A1474" si="22">B1411&amp;C1411</f>
        <v>185Estimated Strategy Capacity</v>
      </c>
      <c r="B1411">
        <v>185</v>
      </c>
      <c r="C1411" s="9" t="s">
        <v>41</v>
      </c>
      <c r="D1411" s="8">
        <v>3300000</v>
      </c>
    </row>
    <row r="1412" spans="1:4" x14ac:dyDescent="0.35">
      <c r="A1412" t="str">
        <f t="shared" si="22"/>
        <v>184PSR</v>
      </c>
      <c r="B1412">
        <v>184</v>
      </c>
      <c r="C1412" s="9" t="s">
        <v>27</v>
      </c>
      <c r="D1412" s="8">
        <v>0.7389</v>
      </c>
    </row>
    <row r="1413" spans="1:4" x14ac:dyDescent="0.35">
      <c r="A1413" t="str">
        <f t="shared" si="22"/>
        <v>184Sharpe Ratio</v>
      </c>
      <c r="B1413">
        <v>184</v>
      </c>
      <c r="C1413" s="9" t="s">
        <v>1</v>
      </c>
      <c r="D1413" s="8">
        <v>1.577</v>
      </c>
    </row>
    <row r="1414" spans="1:4" x14ac:dyDescent="0.35">
      <c r="A1414" t="str">
        <f t="shared" si="22"/>
        <v>184Total Trades</v>
      </c>
      <c r="B1414">
        <v>184</v>
      </c>
      <c r="C1414" s="9" t="s">
        <v>28</v>
      </c>
      <c r="D1414" s="8">
        <v>386</v>
      </c>
    </row>
    <row r="1415" spans="1:4" x14ac:dyDescent="0.35">
      <c r="A1415" t="str">
        <f t="shared" si="22"/>
        <v>184Average Win</v>
      </c>
      <c r="B1415">
        <v>184</v>
      </c>
      <c r="C1415" s="9" t="s">
        <v>25</v>
      </c>
      <c r="D1415" s="8">
        <v>4.1000000000000003E-3</v>
      </c>
    </row>
    <row r="1416" spans="1:4" x14ac:dyDescent="0.35">
      <c r="A1416" t="str">
        <f t="shared" si="22"/>
        <v>184Average Loss</v>
      </c>
      <c r="B1416">
        <v>184</v>
      </c>
      <c r="C1416" s="9" t="s">
        <v>29</v>
      </c>
      <c r="D1416" s="8">
        <v>-1.6000000000000001E-3</v>
      </c>
    </row>
    <row r="1417" spans="1:4" x14ac:dyDescent="0.35">
      <c r="A1417" t="str">
        <f t="shared" si="22"/>
        <v>184Compounding Annual Return</v>
      </c>
      <c r="B1417">
        <v>184</v>
      </c>
      <c r="C1417" s="9" t="s">
        <v>30</v>
      </c>
      <c r="D1417" s="8">
        <v>3.6429999999999997E-2</v>
      </c>
    </row>
    <row r="1418" spans="1:4" x14ac:dyDescent="0.35">
      <c r="A1418" t="str">
        <f t="shared" si="22"/>
        <v>184Drawdown</v>
      </c>
      <c r="B1418">
        <v>184</v>
      </c>
      <c r="C1418" s="9" t="s">
        <v>8</v>
      </c>
      <c r="D1418" s="8">
        <v>1.2E-2</v>
      </c>
    </row>
    <row r="1419" spans="1:4" x14ac:dyDescent="0.35">
      <c r="A1419" t="str">
        <f t="shared" si="22"/>
        <v>184Expectancy</v>
      </c>
      <c r="B1419">
        <v>184</v>
      </c>
      <c r="C1419" s="9" t="s">
        <v>31</v>
      </c>
      <c r="D1419" s="8">
        <v>1.3420000000000001</v>
      </c>
    </row>
    <row r="1420" spans="1:4" x14ac:dyDescent="0.35">
      <c r="A1420" t="str">
        <f t="shared" si="22"/>
        <v>184Net Profit</v>
      </c>
      <c r="B1420">
        <v>184</v>
      </c>
      <c r="C1420" s="9" t="s">
        <v>32</v>
      </c>
      <c r="D1420" s="8">
        <v>2.3400000000000001E-2</v>
      </c>
    </row>
    <row r="1421" spans="1:4" x14ac:dyDescent="0.35">
      <c r="A1421" t="str">
        <f t="shared" si="22"/>
        <v>184Loss Rate</v>
      </c>
      <c r="B1421">
        <v>184</v>
      </c>
      <c r="C1421" s="9" t="s">
        <v>33</v>
      </c>
      <c r="D1421" s="8">
        <v>0.33</v>
      </c>
    </row>
    <row r="1422" spans="1:4" x14ac:dyDescent="0.35">
      <c r="A1422" t="str">
        <f t="shared" si="22"/>
        <v>184Win Rate</v>
      </c>
      <c r="B1422">
        <v>184</v>
      </c>
      <c r="C1422" s="9" t="s">
        <v>34</v>
      </c>
      <c r="D1422" s="8">
        <v>0.67</v>
      </c>
    </row>
    <row r="1423" spans="1:4" x14ac:dyDescent="0.35">
      <c r="A1423" t="str">
        <f t="shared" si="22"/>
        <v>184Profit-Loss Ratio</v>
      </c>
      <c r="B1423">
        <v>184</v>
      </c>
      <c r="C1423" s="9" t="s">
        <v>26</v>
      </c>
      <c r="D1423" s="8">
        <v>2.5099999999999998</v>
      </c>
    </row>
    <row r="1424" spans="1:4" x14ac:dyDescent="0.35">
      <c r="A1424" t="str">
        <f t="shared" si="22"/>
        <v>184Alpha</v>
      </c>
      <c r="B1424">
        <v>184</v>
      </c>
      <c r="C1424" s="9" t="s">
        <v>23</v>
      </c>
      <c r="D1424" s="8">
        <v>2.9000000000000001E-2</v>
      </c>
    </row>
    <row r="1425" spans="1:4" x14ac:dyDescent="0.35">
      <c r="A1425" t="str">
        <f t="shared" si="22"/>
        <v>184Beta</v>
      </c>
      <c r="B1425">
        <v>184</v>
      </c>
      <c r="C1425" s="9" t="s">
        <v>24</v>
      </c>
      <c r="D1425" s="8">
        <v>-6.2E-2</v>
      </c>
    </row>
    <row r="1426" spans="1:4" x14ac:dyDescent="0.35">
      <c r="A1426" t="str">
        <f t="shared" si="22"/>
        <v>184Annual Standard Deviation</v>
      </c>
      <c r="B1426">
        <v>184</v>
      </c>
      <c r="C1426" s="9" t="s">
        <v>35</v>
      </c>
      <c r="D1426" s="8">
        <v>1.6E-2</v>
      </c>
    </row>
    <row r="1427" spans="1:4" x14ac:dyDescent="0.35">
      <c r="A1427" t="str">
        <f t="shared" si="22"/>
        <v>184Annual Variance</v>
      </c>
      <c r="B1427">
        <v>184</v>
      </c>
      <c r="C1427" s="9" t="s">
        <v>36</v>
      </c>
      <c r="D1427" s="8">
        <v>0</v>
      </c>
    </row>
    <row r="1428" spans="1:4" x14ac:dyDescent="0.35">
      <c r="A1428" t="str">
        <f t="shared" si="22"/>
        <v>184Information Ratio</v>
      </c>
      <c r="B1428">
        <v>184</v>
      </c>
      <c r="C1428" s="9" t="s">
        <v>37</v>
      </c>
      <c r="D1428" s="8">
        <v>-0.53</v>
      </c>
    </row>
    <row r="1429" spans="1:4" x14ac:dyDescent="0.35">
      <c r="A1429" t="str">
        <f t="shared" si="22"/>
        <v>184Tracking Error</v>
      </c>
      <c r="B1429">
        <v>184</v>
      </c>
      <c r="C1429" s="9" t="s">
        <v>38</v>
      </c>
      <c r="D1429" s="8">
        <v>7.2999999999999995E-2</v>
      </c>
    </row>
    <row r="1430" spans="1:4" x14ac:dyDescent="0.35">
      <c r="A1430" t="str">
        <f t="shared" si="22"/>
        <v>184Treynor Ratio</v>
      </c>
      <c r="B1430">
        <v>184</v>
      </c>
      <c r="C1430" s="9" t="s">
        <v>39</v>
      </c>
      <c r="D1430" s="8">
        <v>-0.40600000000000003</v>
      </c>
    </row>
    <row r="1431" spans="1:4" x14ac:dyDescent="0.35">
      <c r="A1431" t="str">
        <f t="shared" si="22"/>
        <v>184Total Fees</v>
      </c>
      <c r="B1431">
        <v>184</v>
      </c>
      <c r="C1431" s="9" t="s">
        <v>40</v>
      </c>
      <c r="D1431" s="8">
        <v>0</v>
      </c>
    </row>
    <row r="1432" spans="1:4" x14ac:dyDescent="0.35">
      <c r="A1432" t="str">
        <f t="shared" si="22"/>
        <v>184Estimated Strategy Capacity</v>
      </c>
      <c r="B1432">
        <v>184</v>
      </c>
      <c r="C1432" s="9" t="s">
        <v>41</v>
      </c>
      <c r="D1432" s="8">
        <v>19000000</v>
      </c>
    </row>
    <row r="1433" spans="1:4" x14ac:dyDescent="0.35">
      <c r="A1433" t="str">
        <f t="shared" si="22"/>
        <v>183PSR</v>
      </c>
      <c r="B1433">
        <v>183</v>
      </c>
      <c r="C1433" s="9" t="s">
        <v>27</v>
      </c>
      <c r="D1433" s="8">
        <v>0.65119000000000005</v>
      </c>
    </row>
    <row r="1434" spans="1:4" x14ac:dyDescent="0.35">
      <c r="A1434" t="str">
        <f t="shared" si="22"/>
        <v>183Sharpe Ratio</v>
      </c>
      <c r="B1434">
        <v>183</v>
      </c>
      <c r="C1434" s="9" t="s">
        <v>1</v>
      </c>
      <c r="D1434" s="8">
        <v>2.032</v>
      </c>
    </row>
    <row r="1435" spans="1:4" x14ac:dyDescent="0.35">
      <c r="A1435" t="str">
        <f t="shared" si="22"/>
        <v>183Total Trades</v>
      </c>
      <c r="B1435">
        <v>183</v>
      </c>
      <c r="C1435" s="9" t="s">
        <v>28</v>
      </c>
      <c r="D1435" s="8">
        <v>759</v>
      </c>
    </row>
    <row r="1436" spans="1:4" x14ac:dyDescent="0.35">
      <c r="A1436" t="str">
        <f t="shared" si="22"/>
        <v>183Average Win</v>
      </c>
      <c r="B1436">
        <v>183</v>
      </c>
      <c r="C1436" s="9" t="s">
        <v>25</v>
      </c>
      <c r="D1436" s="8">
        <v>9.2200000000000004E-2</v>
      </c>
    </row>
    <row r="1437" spans="1:4" x14ac:dyDescent="0.35">
      <c r="A1437" t="str">
        <f t="shared" si="22"/>
        <v>183Average Loss</v>
      </c>
      <c r="B1437">
        <v>183</v>
      </c>
      <c r="C1437" s="9" t="s">
        <v>29</v>
      </c>
      <c r="D1437" s="8">
        <v>-5.4899999999999997E-2</v>
      </c>
    </row>
    <row r="1438" spans="1:4" x14ac:dyDescent="0.35">
      <c r="A1438" t="str">
        <f t="shared" si="22"/>
        <v>183Compounding Annual Return</v>
      </c>
      <c r="B1438">
        <v>183</v>
      </c>
      <c r="C1438" s="9" t="s">
        <v>30</v>
      </c>
      <c r="D1438" s="8">
        <v>1.36084</v>
      </c>
    </row>
    <row r="1439" spans="1:4" x14ac:dyDescent="0.35">
      <c r="A1439" t="str">
        <f t="shared" si="22"/>
        <v>183Drawdown</v>
      </c>
      <c r="B1439">
        <v>183</v>
      </c>
      <c r="C1439" s="9" t="s">
        <v>8</v>
      </c>
      <c r="D1439" s="8">
        <v>0.191</v>
      </c>
    </row>
    <row r="1440" spans="1:4" x14ac:dyDescent="0.35">
      <c r="A1440" t="str">
        <f t="shared" si="22"/>
        <v>183Expectancy</v>
      </c>
      <c r="B1440">
        <v>183</v>
      </c>
      <c r="C1440" s="9" t="s">
        <v>31</v>
      </c>
      <c r="D1440" s="8">
        <v>0.5</v>
      </c>
    </row>
    <row r="1441" spans="1:4" x14ac:dyDescent="0.35">
      <c r="A1441" t="str">
        <f t="shared" si="22"/>
        <v>183Net Profit</v>
      </c>
      <c r="B1441">
        <v>183</v>
      </c>
      <c r="C1441" s="9" t="s">
        <v>32</v>
      </c>
      <c r="D1441" s="8">
        <v>0.74250000000000005</v>
      </c>
    </row>
    <row r="1442" spans="1:4" x14ac:dyDescent="0.35">
      <c r="A1442" t="str">
        <f t="shared" si="22"/>
        <v>183Loss Rate</v>
      </c>
      <c r="B1442">
        <v>183</v>
      </c>
      <c r="C1442" s="9" t="s">
        <v>33</v>
      </c>
      <c r="D1442" s="8">
        <v>0.44</v>
      </c>
    </row>
    <row r="1443" spans="1:4" x14ac:dyDescent="0.35">
      <c r="A1443" t="str">
        <f t="shared" si="22"/>
        <v>183Win Rate</v>
      </c>
      <c r="B1443">
        <v>183</v>
      </c>
      <c r="C1443" s="9" t="s">
        <v>34</v>
      </c>
      <c r="D1443" s="8">
        <v>0.56000000000000005</v>
      </c>
    </row>
    <row r="1444" spans="1:4" x14ac:dyDescent="0.35">
      <c r="A1444" t="str">
        <f t="shared" si="22"/>
        <v>183Profit-Loss Ratio</v>
      </c>
      <c r="B1444">
        <v>183</v>
      </c>
      <c r="C1444" s="9" t="s">
        <v>26</v>
      </c>
      <c r="D1444" s="8">
        <v>1.68</v>
      </c>
    </row>
    <row r="1445" spans="1:4" x14ac:dyDescent="0.35">
      <c r="A1445" t="str">
        <f t="shared" si="22"/>
        <v>183Alpha</v>
      </c>
      <c r="B1445">
        <v>183</v>
      </c>
      <c r="C1445" s="9" t="s">
        <v>23</v>
      </c>
      <c r="D1445" s="8">
        <v>1.1619999999999999</v>
      </c>
    </row>
    <row r="1446" spans="1:4" x14ac:dyDescent="0.35">
      <c r="A1446" t="str">
        <f t="shared" si="22"/>
        <v>183Beta</v>
      </c>
      <c r="B1446">
        <v>183</v>
      </c>
      <c r="C1446" s="9" t="s">
        <v>24</v>
      </c>
      <c r="D1446" s="8">
        <v>-1.321</v>
      </c>
    </row>
    <row r="1447" spans="1:4" x14ac:dyDescent="0.35">
      <c r="A1447" t="str">
        <f t="shared" si="22"/>
        <v>183Annual Standard Deviation</v>
      </c>
      <c r="B1447">
        <v>183</v>
      </c>
      <c r="C1447" s="9" t="s">
        <v>35</v>
      </c>
      <c r="D1447" s="8">
        <v>0.53</v>
      </c>
    </row>
    <row r="1448" spans="1:4" x14ac:dyDescent="0.35">
      <c r="A1448" t="str">
        <f t="shared" si="22"/>
        <v>183Annual Variance</v>
      </c>
      <c r="B1448">
        <v>183</v>
      </c>
      <c r="C1448" s="9" t="s">
        <v>36</v>
      </c>
      <c r="D1448" s="8">
        <v>0.28100000000000003</v>
      </c>
    </row>
    <row r="1449" spans="1:4" x14ac:dyDescent="0.35">
      <c r="A1449" t="str">
        <f t="shared" si="22"/>
        <v>183Information Ratio</v>
      </c>
      <c r="B1449">
        <v>183</v>
      </c>
      <c r="C1449" s="9" t="s">
        <v>37</v>
      </c>
      <c r="D1449" s="8">
        <v>1.859</v>
      </c>
    </row>
    <row r="1450" spans="1:4" x14ac:dyDescent="0.35">
      <c r="A1450" t="str">
        <f t="shared" si="22"/>
        <v>183Tracking Error</v>
      </c>
      <c r="B1450">
        <v>183</v>
      </c>
      <c r="C1450" s="9" t="s">
        <v>38</v>
      </c>
      <c r="D1450" s="8">
        <v>0.54600000000000004</v>
      </c>
    </row>
    <row r="1451" spans="1:4" x14ac:dyDescent="0.35">
      <c r="A1451" t="str">
        <f t="shared" si="22"/>
        <v>183Treynor Ratio</v>
      </c>
      <c r="B1451">
        <v>183</v>
      </c>
      <c r="C1451" s="9" t="s">
        <v>39</v>
      </c>
      <c r="D1451" s="8">
        <v>-0.81599999999999995</v>
      </c>
    </row>
    <row r="1452" spans="1:4" x14ac:dyDescent="0.35">
      <c r="A1452" t="str">
        <f t="shared" si="22"/>
        <v>183Total Fees</v>
      </c>
      <c r="B1452">
        <v>183</v>
      </c>
      <c r="C1452" s="9" t="s">
        <v>40</v>
      </c>
      <c r="D1452" s="8">
        <v>0</v>
      </c>
    </row>
    <row r="1453" spans="1:4" x14ac:dyDescent="0.35">
      <c r="A1453" t="str">
        <f t="shared" si="22"/>
        <v>183Estimated Strategy Capacity</v>
      </c>
      <c r="B1453">
        <v>183</v>
      </c>
      <c r="C1453" s="9" t="s">
        <v>41</v>
      </c>
      <c r="D1453" s="8">
        <v>44000000</v>
      </c>
    </row>
    <row r="1454" spans="1:4" x14ac:dyDescent="0.35">
      <c r="A1454" t="str">
        <f t="shared" si="22"/>
        <v>182PSR</v>
      </c>
      <c r="B1454">
        <v>182</v>
      </c>
      <c r="C1454" s="9" t="s">
        <v>27</v>
      </c>
      <c r="D1454" s="8">
        <v>0.59408000000000005</v>
      </c>
    </row>
    <row r="1455" spans="1:4" x14ac:dyDescent="0.35">
      <c r="A1455" t="str">
        <f t="shared" si="22"/>
        <v>182Sharpe Ratio</v>
      </c>
      <c r="B1455">
        <v>182</v>
      </c>
      <c r="C1455" s="9" t="s">
        <v>1</v>
      </c>
      <c r="D1455" s="8">
        <v>1.34</v>
      </c>
    </row>
    <row r="1456" spans="1:4" x14ac:dyDescent="0.35">
      <c r="A1456" t="str">
        <f t="shared" si="22"/>
        <v>182Total Trades</v>
      </c>
      <c r="B1456">
        <v>182</v>
      </c>
      <c r="C1456" s="9" t="s">
        <v>28</v>
      </c>
      <c r="D1456" s="8">
        <v>769</v>
      </c>
    </row>
    <row r="1457" spans="1:4" x14ac:dyDescent="0.35">
      <c r="A1457" t="str">
        <f t="shared" si="22"/>
        <v>182Average Win</v>
      </c>
      <c r="B1457">
        <v>182</v>
      </c>
      <c r="C1457" s="9" t="s">
        <v>25</v>
      </c>
      <c r="D1457" s="8">
        <v>2.12E-2</v>
      </c>
    </row>
    <row r="1458" spans="1:4" x14ac:dyDescent="0.35">
      <c r="A1458" t="str">
        <f t="shared" si="22"/>
        <v>182Average Loss</v>
      </c>
      <c r="B1458">
        <v>182</v>
      </c>
      <c r="C1458" s="9" t="s">
        <v>29</v>
      </c>
      <c r="D1458" s="8">
        <v>-1.34E-2</v>
      </c>
    </row>
    <row r="1459" spans="1:4" x14ac:dyDescent="0.35">
      <c r="A1459" t="str">
        <f t="shared" si="22"/>
        <v>182Compounding Annual Return</v>
      </c>
      <c r="B1459">
        <v>182</v>
      </c>
      <c r="C1459" s="9" t="s">
        <v>30</v>
      </c>
      <c r="D1459" s="8">
        <v>0.24113999999999999</v>
      </c>
    </row>
    <row r="1460" spans="1:4" x14ac:dyDescent="0.35">
      <c r="A1460" t="str">
        <f t="shared" si="22"/>
        <v>182Drawdown</v>
      </c>
      <c r="B1460">
        <v>182</v>
      </c>
      <c r="C1460" s="9" t="s">
        <v>8</v>
      </c>
      <c r="D1460" s="8">
        <v>5.2999999999999999E-2</v>
      </c>
    </row>
    <row r="1461" spans="1:4" x14ac:dyDescent="0.35">
      <c r="A1461" t="str">
        <f t="shared" si="22"/>
        <v>182Expectancy</v>
      </c>
      <c r="B1461">
        <v>182</v>
      </c>
      <c r="C1461" s="9" t="s">
        <v>31</v>
      </c>
      <c r="D1461" s="8">
        <v>0.44700000000000001</v>
      </c>
    </row>
    <row r="1462" spans="1:4" x14ac:dyDescent="0.35">
      <c r="A1462" t="str">
        <f t="shared" si="22"/>
        <v>182Net Profit</v>
      </c>
      <c r="B1462">
        <v>182</v>
      </c>
      <c r="C1462" s="9" t="s">
        <v>32</v>
      </c>
      <c r="D1462" s="8">
        <v>0.14988000000000001</v>
      </c>
    </row>
    <row r="1463" spans="1:4" x14ac:dyDescent="0.35">
      <c r="A1463" t="str">
        <f t="shared" si="22"/>
        <v>182Loss Rate</v>
      </c>
      <c r="B1463">
        <v>182</v>
      </c>
      <c r="C1463" s="9" t="s">
        <v>33</v>
      </c>
      <c r="D1463" s="8">
        <v>0.44</v>
      </c>
    </row>
    <row r="1464" spans="1:4" x14ac:dyDescent="0.35">
      <c r="A1464" t="str">
        <f t="shared" si="22"/>
        <v>182Win Rate</v>
      </c>
      <c r="B1464">
        <v>182</v>
      </c>
      <c r="C1464" s="9" t="s">
        <v>34</v>
      </c>
      <c r="D1464" s="8">
        <v>0.56000000000000005</v>
      </c>
    </row>
    <row r="1465" spans="1:4" x14ac:dyDescent="0.35">
      <c r="A1465" t="str">
        <f t="shared" si="22"/>
        <v>182Profit-Loss Ratio</v>
      </c>
      <c r="B1465">
        <v>182</v>
      </c>
      <c r="C1465" s="9" t="s">
        <v>26</v>
      </c>
      <c r="D1465" s="8">
        <v>1.58</v>
      </c>
    </row>
    <row r="1466" spans="1:4" x14ac:dyDescent="0.35">
      <c r="A1466" t="str">
        <f t="shared" si="22"/>
        <v>182Alpha</v>
      </c>
      <c r="B1466">
        <v>182</v>
      </c>
      <c r="C1466" s="9" t="s">
        <v>23</v>
      </c>
      <c r="D1466" s="8">
        <v>0.192</v>
      </c>
    </row>
    <row r="1467" spans="1:4" x14ac:dyDescent="0.35">
      <c r="A1467" t="str">
        <f t="shared" si="22"/>
        <v>182Beta</v>
      </c>
      <c r="B1467">
        <v>182</v>
      </c>
      <c r="C1467" s="9" t="s">
        <v>24</v>
      </c>
      <c r="D1467" s="8">
        <v>-0.33400000000000002</v>
      </c>
    </row>
    <row r="1468" spans="1:4" x14ac:dyDescent="0.35">
      <c r="A1468" t="str">
        <f t="shared" si="22"/>
        <v>182Annual Standard Deviation</v>
      </c>
      <c r="B1468">
        <v>182</v>
      </c>
      <c r="C1468" s="9" t="s">
        <v>35</v>
      </c>
      <c r="D1468" s="8">
        <v>0.128</v>
      </c>
    </row>
    <row r="1469" spans="1:4" x14ac:dyDescent="0.35">
      <c r="A1469" t="str">
        <f t="shared" si="22"/>
        <v>182Annual Variance</v>
      </c>
      <c r="B1469">
        <v>182</v>
      </c>
      <c r="C1469" s="9" t="s">
        <v>36</v>
      </c>
      <c r="D1469" s="8">
        <v>1.6E-2</v>
      </c>
    </row>
    <row r="1470" spans="1:4" x14ac:dyDescent="0.35">
      <c r="A1470" t="str">
        <f t="shared" si="22"/>
        <v>182Information Ratio</v>
      </c>
      <c r="B1470">
        <v>182</v>
      </c>
      <c r="C1470" s="9" t="s">
        <v>37</v>
      </c>
      <c r="D1470" s="8">
        <v>0.69699999999999995</v>
      </c>
    </row>
    <row r="1471" spans="1:4" x14ac:dyDescent="0.35">
      <c r="A1471" t="str">
        <f t="shared" si="22"/>
        <v>182Tracking Error</v>
      </c>
      <c r="B1471">
        <v>182</v>
      </c>
      <c r="C1471" s="9" t="s">
        <v>38</v>
      </c>
      <c r="D1471" s="8">
        <v>0.154</v>
      </c>
    </row>
    <row r="1472" spans="1:4" x14ac:dyDescent="0.35">
      <c r="A1472" t="str">
        <f t="shared" si="22"/>
        <v>182Treynor Ratio</v>
      </c>
      <c r="B1472">
        <v>182</v>
      </c>
      <c r="C1472" s="9" t="s">
        <v>39</v>
      </c>
      <c r="D1472" s="8">
        <v>-0.51200000000000001</v>
      </c>
    </row>
    <row r="1473" spans="1:4" x14ac:dyDescent="0.35">
      <c r="A1473" t="str">
        <f t="shared" si="22"/>
        <v>182Total Fees</v>
      </c>
      <c r="B1473">
        <v>182</v>
      </c>
      <c r="C1473" s="9" t="s">
        <v>40</v>
      </c>
      <c r="D1473" s="8">
        <v>0</v>
      </c>
    </row>
    <row r="1474" spans="1:4" x14ac:dyDescent="0.35">
      <c r="A1474" t="str">
        <f t="shared" si="22"/>
        <v>182Estimated Strategy Capacity</v>
      </c>
      <c r="B1474">
        <v>182</v>
      </c>
      <c r="C1474" s="9" t="s">
        <v>41</v>
      </c>
      <c r="D1474" s="8">
        <v>50000000</v>
      </c>
    </row>
    <row r="1475" spans="1:4" x14ac:dyDescent="0.35">
      <c r="A1475" t="str">
        <f t="shared" ref="A1475:A1538" si="23">B1475&amp;C1475</f>
        <v>181PSR</v>
      </c>
      <c r="B1475">
        <v>181</v>
      </c>
      <c r="C1475" s="9" t="s">
        <v>27</v>
      </c>
      <c r="D1475" s="8">
        <v>0.56884999999999997</v>
      </c>
    </row>
    <row r="1476" spans="1:4" x14ac:dyDescent="0.35">
      <c r="A1476" t="str">
        <f t="shared" si="23"/>
        <v>181Sharpe Ratio</v>
      </c>
      <c r="B1476">
        <v>181</v>
      </c>
      <c r="C1476" s="9" t="s">
        <v>1</v>
      </c>
      <c r="D1476" s="8">
        <v>1.1830000000000001</v>
      </c>
    </row>
    <row r="1477" spans="1:4" x14ac:dyDescent="0.35">
      <c r="A1477" t="str">
        <f t="shared" si="23"/>
        <v>181Total Trades</v>
      </c>
      <c r="B1477">
        <v>181</v>
      </c>
      <c r="C1477" s="9" t="s">
        <v>28</v>
      </c>
      <c r="D1477" s="8">
        <v>759</v>
      </c>
    </row>
    <row r="1478" spans="1:4" x14ac:dyDescent="0.35">
      <c r="A1478" t="str">
        <f t="shared" si="23"/>
        <v>181Average Win</v>
      </c>
      <c r="B1478">
        <v>181</v>
      </c>
      <c r="C1478" s="9" t="s">
        <v>25</v>
      </c>
      <c r="D1478" s="8">
        <v>2.2000000000000001E-3</v>
      </c>
    </row>
    <row r="1479" spans="1:4" x14ac:dyDescent="0.35">
      <c r="A1479" t="str">
        <f t="shared" si="23"/>
        <v>181Average Loss</v>
      </c>
      <c r="B1479">
        <v>181</v>
      </c>
      <c r="C1479" s="9" t="s">
        <v>29</v>
      </c>
      <c r="D1479" s="8">
        <v>-1.4E-3</v>
      </c>
    </row>
    <row r="1480" spans="1:4" x14ac:dyDescent="0.35">
      <c r="A1480" t="str">
        <f t="shared" si="23"/>
        <v>181Compounding Annual Return</v>
      </c>
      <c r="B1480">
        <v>181</v>
      </c>
      <c r="C1480" s="9" t="s">
        <v>30</v>
      </c>
      <c r="D1480" s="8">
        <v>2.3060000000000001E-2</v>
      </c>
    </row>
    <row r="1481" spans="1:4" x14ac:dyDescent="0.35">
      <c r="A1481" t="str">
        <f t="shared" si="23"/>
        <v>181Drawdown</v>
      </c>
      <c r="B1481">
        <v>181</v>
      </c>
      <c r="C1481" s="9" t="s">
        <v>8</v>
      </c>
      <c r="D1481" s="8">
        <v>6.0000000000000001E-3</v>
      </c>
    </row>
    <row r="1482" spans="1:4" x14ac:dyDescent="0.35">
      <c r="A1482" t="str">
        <f t="shared" si="23"/>
        <v>181Expectancy</v>
      </c>
      <c r="B1482">
        <v>181</v>
      </c>
      <c r="C1482" s="9" t="s">
        <v>31</v>
      </c>
      <c r="D1482" s="8">
        <v>0.43</v>
      </c>
    </row>
    <row r="1483" spans="1:4" x14ac:dyDescent="0.35">
      <c r="A1483" t="str">
        <f t="shared" si="23"/>
        <v>181Net Profit</v>
      </c>
      <c r="B1483">
        <v>181</v>
      </c>
      <c r="C1483" s="9" t="s">
        <v>32</v>
      </c>
      <c r="D1483" s="8">
        <v>1.485E-2</v>
      </c>
    </row>
    <row r="1484" spans="1:4" x14ac:dyDescent="0.35">
      <c r="A1484" t="str">
        <f t="shared" si="23"/>
        <v>181Loss Rate</v>
      </c>
      <c r="B1484">
        <v>181</v>
      </c>
      <c r="C1484" s="9" t="s">
        <v>33</v>
      </c>
      <c r="D1484" s="8">
        <v>0.44</v>
      </c>
    </row>
    <row r="1485" spans="1:4" x14ac:dyDescent="0.35">
      <c r="A1485" t="str">
        <f t="shared" si="23"/>
        <v>181Win Rate</v>
      </c>
      <c r="B1485">
        <v>181</v>
      </c>
      <c r="C1485" s="9" t="s">
        <v>34</v>
      </c>
      <c r="D1485" s="8">
        <v>0.56000000000000005</v>
      </c>
    </row>
    <row r="1486" spans="1:4" x14ac:dyDescent="0.35">
      <c r="A1486" t="str">
        <f t="shared" si="23"/>
        <v>181Profit-Loss Ratio</v>
      </c>
      <c r="B1486">
        <v>181</v>
      </c>
      <c r="C1486" s="9" t="s">
        <v>26</v>
      </c>
      <c r="D1486" s="8">
        <v>1.55</v>
      </c>
    </row>
    <row r="1487" spans="1:4" x14ac:dyDescent="0.35">
      <c r="A1487" t="str">
        <f t="shared" si="23"/>
        <v>181Alpha</v>
      </c>
      <c r="B1487">
        <v>181</v>
      </c>
      <c r="C1487" s="9" t="s">
        <v>23</v>
      </c>
      <c r="D1487" s="8">
        <v>1.7999999999999999E-2</v>
      </c>
    </row>
    <row r="1488" spans="1:4" x14ac:dyDescent="0.35">
      <c r="A1488" t="str">
        <f t="shared" si="23"/>
        <v>181Beta</v>
      </c>
      <c r="B1488">
        <v>181</v>
      </c>
      <c r="C1488" s="9" t="s">
        <v>24</v>
      </c>
      <c r="D1488" s="8">
        <v>-3.5999999999999997E-2</v>
      </c>
    </row>
    <row r="1489" spans="1:4" x14ac:dyDescent="0.35">
      <c r="A1489" t="str">
        <f t="shared" si="23"/>
        <v>181Annual Standard Deviation</v>
      </c>
      <c r="B1489">
        <v>181</v>
      </c>
      <c r="C1489" s="9" t="s">
        <v>35</v>
      </c>
      <c r="D1489" s="8">
        <v>1.4E-2</v>
      </c>
    </row>
    <row r="1490" spans="1:4" x14ac:dyDescent="0.35">
      <c r="A1490" t="str">
        <f t="shared" si="23"/>
        <v>181Annual Variance</v>
      </c>
      <c r="B1490">
        <v>181</v>
      </c>
      <c r="C1490" s="9" t="s">
        <v>36</v>
      </c>
      <c r="D1490" s="8">
        <v>0</v>
      </c>
    </row>
    <row r="1491" spans="1:4" x14ac:dyDescent="0.35">
      <c r="A1491" t="str">
        <f t="shared" si="23"/>
        <v>181Information Ratio</v>
      </c>
      <c r="B1491">
        <v>181</v>
      </c>
      <c r="C1491" s="9" t="s">
        <v>37</v>
      </c>
      <c r="D1491" s="8">
        <v>-0.67700000000000005</v>
      </c>
    </row>
    <row r="1492" spans="1:4" x14ac:dyDescent="0.35">
      <c r="A1492" t="str">
        <f t="shared" si="23"/>
        <v>181Tracking Error</v>
      </c>
      <c r="B1492">
        <v>181</v>
      </c>
      <c r="C1492" s="9" t="s">
        <v>38</v>
      </c>
      <c r="D1492" s="8">
        <v>7.0000000000000007E-2</v>
      </c>
    </row>
    <row r="1493" spans="1:4" x14ac:dyDescent="0.35">
      <c r="A1493" t="str">
        <f t="shared" si="23"/>
        <v>181Treynor Ratio</v>
      </c>
      <c r="B1493">
        <v>181</v>
      </c>
      <c r="C1493" s="9" t="s">
        <v>39</v>
      </c>
      <c r="D1493" s="8">
        <v>-0.44600000000000001</v>
      </c>
    </row>
    <row r="1494" spans="1:4" x14ac:dyDescent="0.35">
      <c r="A1494" t="str">
        <f t="shared" si="23"/>
        <v>181Total Fees</v>
      </c>
      <c r="B1494">
        <v>181</v>
      </c>
      <c r="C1494" s="9" t="s">
        <v>40</v>
      </c>
      <c r="D1494" s="8">
        <v>0</v>
      </c>
    </row>
    <row r="1495" spans="1:4" x14ac:dyDescent="0.35">
      <c r="A1495" t="str">
        <f t="shared" si="23"/>
        <v>181Estimated Strategy Capacity</v>
      </c>
      <c r="B1495">
        <v>181</v>
      </c>
      <c r="C1495" s="9" t="s">
        <v>41</v>
      </c>
      <c r="D1495" s="8">
        <v>1300000000</v>
      </c>
    </row>
    <row r="1496" spans="1:4" x14ac:dyDescent="0.35">
      <c r="A1496" t="str">
        <f t="shared" si="23"/>
        <v>180PSR</v>
      </c>
      <c r="B1496">
        <v>180</v>
      </c>
      <c r="C1496" s="9" t="s">
        <v>27</v>
      </c>
      <c r="D1496" s="8">
        <v>0.39317999999999997</v>
      </c>
    </row>
    <row r="1497" spans="1:4" x14ac:dyDescent="0.35">
      <c r="A1497" t="str">
        <f t="shared" si="23"/>
        <v>180Sharpe Ratio</v>
      </c>
      <c r="B1497">
        <v>180</v>
      </c>
      <c r="C1497" s="9" t="s">
        <v>1</v>
      </c>
      <c r="D1497" s="8">
        <v>0.96499999999999997</v>
      </c>
    </row>
    <row r="1498" spans="1:4" x14ac:dyDescent="0.35">
      <c r="A1498" t="str">
        <f t="shared" si="23"/>
        <v>180Total Trades</v>
      </c>
      <c r="B1498">
        <v>180</v>
      </c>
      <c r="C1498" s="9" t="s">
        <v>28</v>
      </c>
      <c r="D1498" s="8">
        <v>481</v>
      </c>
    </row>
    <row r="1499" spans="1:4" x14ac:dyDescent="0.35">
      <c r="A1499" t="str">
        <f t="shared" si="23"/>
        <v>180Average Win</v>
      </c>
      <c r="B1499">
        <v>180</v>
      </c>
      <c r="C1499" s="9" t="s">
        <v>25</v>
      </c>
      <c r="D1499" s="8">
        <v>0.14130000000000001</v>
      </c>
    </row>
    <row r="1500" spans="1:4" x14ac:dyDescent="0.35">
      <c r="A1500" t="str">
        <f t="shared" si="23"/>
        <v>180Average Loss</v>
      </c>
      <c r="B1500">
        <v>180</v>
      </c>
      <c r="C1500" s="9" t="s">
        <v>29</v>
      </c>
      <c r="D1500" s="8">
        <v>-0.1089</v>
      </c>
    </row>
    <row r="1501" spans="1:4" x14ac:dyDescent="0.35">
      <c r="A1501" t="str">
        <f t="shared" si="23"/>
        <v>180Compounding Annual Return</v>
      </c>
      <c r="B1501">
        <v>180</v>
      </c>
      <c r="C1501" s="9" t="s">
        <v>30</v>
      </c>
      <c r="D1501" s="8">
        <v>0.50692000000000004</v>
      </c>
    </row>
    <row r="1502" spans="1:4" x14ac:dyDescent="0.35">
      <c r="A1502" t="str">
        <f t="shared" si="23"/>
        <v>180Drawdown</v>
      </c>
      <c r="B1502">
        <v>180</v>
      </c>
      <c r="C1502" s="9" t="s">
        <v>8</v>
      </c>
      <c r="D1502" s="8">
        <v>0.45800000000000002</v>
      </c>
    </row>
    <row r="1503" spans="1:4" x14ac:dyDescent="0.35">
      <c r="A1503" t="str">
        <f t="shared" si="23"/>
        <v>180Expectancy</v>
      </c>
      <c r="B1503">
        <v>180</v>
      </c>
      <c r="C1503" s="9" t="s">
        <v>31</v>
      </c>
      <c r="D1503" s="8">
        <v>0.29199999999999998</v>
      </c>
    </row>
    <row r="1504" spans="1:4" x14ac:dyDescent="0.35">
      <c r="A1504" t="str">
        <f t="shared" si="23"/>
        <v>180Net Profit</v>
      </c>
      <c r="B1504">
        <v>180</v>
      </c>
      <c r="C1504" s="9" t="s">
        <v>32</v>
      </c>
      <c r="D1504" s="8">
        <v>0.30354999999999999</v>
      </c>
    </row>
    <row r="1505" spans="1:4" x14ac:dyDescent="0.35">
      <c r="A1505" t="str">
        <f t="shared" si="23"/>
        <v>180Loss Rate</v>
      </c>
      <c r="B1505">
        <v>180</v>
      </c>
      <c r="C1505" s="9" t="s">
        <v>33</v>
      </c>
      <c r="D1505" s="8">
        <v>0.44</v>
      </c>
    </row>
    <row r="1506" spans="1:4" x14ac:dyDescent="0.35">
      <c r="A1506" t="str">
        <f t="shared" si="23"/>
        <v>180Win Rate</v>
      </c>
      <c r="B1506">
        <v>180</v>
      </c>
      <c r="C1506" s="9" t="s">
        <v>34</v>
      </c>
      <c r="D1506" s="8">
        <v>0.56000000000000005</v>
      </c>
    </row>
    <row r="1507" spans="1:4" x14ac:dyDescent="0.35">
      <c r="A1507" t="str">
        <f t="shared" si="23"/>
        <v>180Profit-Loss Ratio</v>
      </c>
      <c r="B1507">
        <v>180</v>
      </c>
      <c r="C1507" s="9" t="s">
        <v>26</v>
      </c>
      <c r="D1507" s="8">
        <v>1.3</v>
      </c>
    </row>
    <row r="1508" spans="1:4" x14ac:dyDescent="0.35">
      <c r="A1508" t="str">
        <f t="shared" si="23"/>
        <v>180Alpha</v>
      </c>
      <c r="B1508">
        <v>180</v>
      </c>
      <c r="C1508" s="9" t="s">
        <v>23</v>
      </c>
      <c r="D1508" s="8">
        <v>0.80700000000000005</v>
      </c>
    </row>
    <row r="1509" spans="1:4" x14ac:dyDescent="0.35">
      <c r="A1509" t="str">
        <f t="shared" si="23"/>
        <v>180Beta</v>
      </c>
      <c r="B1509">
        <v>180</v>
      </c>
      <c r="C1509" s="9" t="s">
        <v>24</v>
      </c>
      <c r="D1509" s="8">
        <v>-1.802</v>
      </c>
    </row>
    <row r="1510" spans="1:4" x14ac:dyDescent="0.35">
      <c r="A1510" t="str">
        <f t="shared" si="23"/>
        <v>180Annual Standard Deviation</v>
      </c>
      <c r="B1510">
        <v>180</v>
      </c>
      <c r="C1510" s="9" t="s">
        <v>35</v>
      </c>
      <c r="D1510" s="8">
        <v>0.71699999999999997</v>
      </c>
    </row>
    <row r="1511" spans="1:4" x14ac:dyDescent="0.35">
      <c r="A1511" t="str">
        <f t="shared" si="23"/>
        <v>180Annual Variance</v>
      </c>
      <c r="B1511">
        <v>180</v>
      </c>
      <c r="C1511" s="9" t="s">
        <v>36</v>
      </c>
      <c r="D1511" s="8">
        <v>0.51400000000000001</v>
      </c>
    </row>
    <row r="1512" spans="1:4" x14ac:dyDescent="0.35">
      <c r="A1512" t="str">
        <f t="shared" si="23"/>
        <v>180Information Ratio</v>
      </c>
      <c r="B1512">
        <v>180</v>
      </c>
      <c r="C1512" s="9" t="s">
        <v>37</v>
      </c>
      <c r="D1512" s="8">
        <v>0.86</v>
      </c>
    </row>
    <row r="1513" spans="1:4" x14ac:dyDescent="0.35">
      <c r="A1513" t="str">
        <f t="shared" si="23"/>
        <v>180Tracking Error</v>
      </c>
      <c r="B1513">
        <v>180</v>
      </c>
      <c r="C1513" s="9" t="s">
        <v>38</v>
      </c>
      <c r="D1513" s="8">
        <v>0.73099999999999998</v>
      </c>
    </row>
    <row r="1514" spans="1:4" x14ac:dyDescent="0.35">
      <c r="A1514" t="str">
        <f t="shared" si="23"/>
        <v>180Treynor Ratio</v>
      </c>
      <c r="B1514">
        <v>180</v>
      </c>
      <c r="C1514" s="9" t="s">
        <v>39</v>
      </c>
      <c r="D1514" s="8">
        <v>-0.38400000000000001</v>
      </c>
    </row>
    <row r="1515" spans="1:4" x14ac:dyDescent="0.35">
      <c r="A1515" t="str">
        <f t="shared" si="23"/>
        <v>180Total Fees</v>
      </c>
      <c r="B1515">
        <v>180</v>
      </c>
      <c r="C1515" s="9" t="s">
        <v>40</v>
      </c>
      <c r="D1515" s="8">
        <v>0</v>
      </c>
    </row>
    <row r="1516" spans="1:4" x14ac:dyDescent="0.35">
      <c r="A1516" t="str">
        <f t="shared" si="23"/>
        <v>180Estimated Strategy Capacity</v>
      </c>
      <c r="B1516">
        <v>180</v>
      </c>
      <c r="C1516" s="9" t="s">
        <v>41</v>
      </c>
      <c r="D1516" s="8">
        <v>380000000</v>
      </c>
    </row>
    <row r="1517" spans="1:4" x14ac:dyDescent="0.35">
      <c r="A1517" t="str">
        <f t="shared" si="23"/>
        <v>179PSR</v>
      </c>
      <c r="B1517">
        <v>179</v>
      </c>
      <c r="C1517" s="9" t="s">
        <v>27</v>
      </c>
      <c r="D1517" s="8">
        <v>0.29929</v>
      </c>
    </row>
    <row r="1518" spans="1:4" x14ac:dyDescent="0.35">
      <c r="A1518" t="str">
        <f t="shared" si="23"/>
        <v>179Sharpe Ratio</v>
      </c>
      <c r="B1518">
        <v>179</v>
      </c>
      <c r="C1518" s="9" t="s">
        <v>1</v>
      </c>
      <c r="D1518" s="8">
        <v>0.45900000000000002</v>
      </c>
    </row>
    <row r="1519" spans="1:4" x14ac:dyDescent="0.35">
      <c r="A1519" t="str">
        <f t="shared" si="23"/>
        <v>179Total Trades</v>
      </c>
      <c r="B1519">
        <v>179</v>
      </c>
      <c r="C1519" s="9" t="s">
        <v>28</v>
      </c>
      <c r="D1519" s="8">
        <v>482</v>
      </c>
    </row>
    <row r="1520" spans="1:4" x14ac:dyDescent="0.35">
      <c r="A1520" t="str">
        <f t="shared" si="23"/>
        <v>179Average Win</v>
      </c>
      <c r="B1520">
        <v>179</v>
      </c>
      <c r="C1520" s="9" t="s">
        <v>25</v>
      </c>
      <c r="D1520" s="8">
        <v>2.5999999999999999E-3</v>
      </c>
    </row>
    <row r="1521" spans="1:4" x14ac:dyDescent="0.35">
      <c r="A1521" t="str">
        <f t="shared" si="23"/>
        <v>179Average Loss</v>
      </c>
      <c r="B1521">
        <v>179</v>
      </c>
      <c r="C1521" s="9" t="s">
        <v>29</v>
      </c>
      <c r="D1521" s="8">
        <v>-2.5000000000000001E-3</v>
      </c>
    </row>
    <row r="1522" spans="1:4" x14ac:dyDescent="0.35">
      <c r="A1522" t="str">
        <f t="shared" si="23"/>
        <v>179Compounding Annual Return</v>
      </c>
      <c r="B1522">
        <v>179</v>
      </c>
      <c r="C1522" s="9" t="s">
        <v>30</v>
      </c>
      <c r="D1522" s="8">
        <v>9.1000000000000004E-3</v>
      </c>
    </row>
    <row r="1523" spans="1:4" x14ac:dyDescent="0.35">
      <c r="A1523" t="str">
        <f t="shared" si="23"/>
        <v>179Drawdown</v>
      </c>
      <c r="B1523">
        <v>179</v>
      </c>
      <c r="C1523" s="9" t="s">
        <v>8</v>
      </c>
      <c r="D1523" s="8">
        <v>0.01</v>
      </c>
    </row>
    <row r="1524" spans="1:4" x14ac:dyDescent="0.35">
      <c r="A1524" t="str">
        <f t="shared" si="23"/>
        <v>179Expectancy</v>
      </c>
      <c r="B1524">
        <v>179</v>
      </c>
      <c r="C1524" s="9" t="s">
        <v>31</v>
      </c>
      <c r="D1524" s="8">
        <v>0.151</v>
      </c>
    </row>
    <row r="1525" spans="1:4" x14ac:dyDescent="0.35">
      <c r="A1525" t="str">
        <f t="shared" si="23"/>
        <v>179Net Profit</v>
      </c>
      <c r="B1525">
        <v>179</v>
      </c>
      <c r="C1525" s="9" t="s">
        <v>32</v>
      </c>
      <c r="D1525" s="8">
        <v>5.8700000000000002E-3</v>
      </c>
    </row>
    <row r="1526" spans="1:4" x14ac:dyDescent="0.35">
      <c r="A1526" t="str">
        <f t="shared" si="23"/>
        <v>179Loss Rate</v>
      </c>
      <c r="B1526">
        <v>179</v>
      </c>
      <c r="C1526" s="9" t="s">
        <v>33</v>
      </c>
      <c r="D1526" s="8">
        <v>0.44</v>
      </c>
    </row>
    <row r="1527" spans="1:4" x14ac:dyDescent="0.35">
      <c r="A1527" t="str">
        <f t="shared" si="23"/>
        <v>179Win Rate</v>
      </c>
      <c r="B1527">
        <v>179</v>
      </c>
      <c r="C1527" s="9" t="s">
        <v>34</v>
      </c>
      <c r="D1527" s="8">
        <v>0.56000000000000005</v>
      </c>
    </row>
    <row r="1528" spans="1:4" x14ac:dyDescent="0.35">
      <c r="A1528" t="str">
        <f t="shared" si="23"/>
        <v>179Profit-Loss Ratio</v>
      </c>
      <c r="B1528">
        <v>179</v>
      </c>
      <c r="C1528" s="9" t="s">
        <v>26</v>
      </c>
      <c r="D1528" s="8">
        <v>1.05</v>
      </c>
    </row>
    <row r="1529" spans="1:4" x14ac:dyDescent="0.35">
      <c r="A1529" t="str">
        <f t="shared" si="23"/>
        <v>179Alpha</v>
      </c>
      <c r="B1529">
        <v>179</v>
      </c>
      <c r="C1529" s="9" t="s">
        <v>23</v>
      </c>
      <c r="D1529" s="8">
        <v>8.9999999999999993E-3</v>
      </c>
    </row>
    <row r="1530" spans="1:4" x14ac:dyDescent="0.35">
      <c r="A1530" t="str">
        <f t="shared" si="23"/>
        <v>179Beta</v>
      </c>
      <c r="B1530">
        <v>179</v>
      </c>
      <c r="C1530" s="9" t="s">
        <v>24</v>
      </c>
      <c r="D1530" s="8">
        <v>-3.9E-2</v>
      </c>
    </row>
    <row r="1531" spans="1:4" x14ac:dyDescent="0.35">
      <c r="A1531" t="str">
        <f t="shared" si="23"/>
        <v>179Annual Standard Deviation</v>
      </c>
      <c r="B1531">
        <v>179</v>
      </c>
      <c r="C1531" s="9" t="s">
        <v>35</v>
      </c>
      <c r="D1531" s="8">
        <v>1.4E-2</v>
      </c>
    </row>
    <row r="1532" spans="1:4" x14ac:dyDescent="0.35">
      <c r="A1532" t="str">
        <f t="shared" si="23"/>
        <v>179Annual Variance</v>
      </c>
      <c r="B1532">
        <v>179</v>
      </c>
      <c r="C1532" s="9" t="s">
        <v>36</v>
      </c>
      <c r="D1532" s="8">
        <v>0</v>
      </c>
    </row>
    <row r="1533" spans="1:4" x14ac:dyDescent="0.35">
      <c r="A1533" t="str">
        <f t="shared" si="23"/>
        <v>179Information Ratio</v>
      </c>
      <c r="B1533">
        <v>179</v>
      </c>
      <c r="C1533" s="9" t="s">
        <v>37</v>
      </c>
      <c r="D1533" s="8">
        <v>-0.81100000000000005</v>
      </c>
    </row>
    <row r="1534" spans="1:4" x14ac:dyDescent="0.35">
      <c r="A1534" t="str">
        <f t="shared" si="23"/>
        <v>179Tracking Error</v>
      </c>
      <c r="B1534">
        <v>179</v>
      </c>
      <c r="C1534" s="9" t="s">
        <v>38</v>
      </c>
      <c r="D1534" s="8">
        <v>7.0999999999999994E-2</v>
      </c>
    </row>
    <row r="1535" spans="1:4" x14ac:dyDescent="0.35">
      <c r="A1535" t="str">
        <f t="shared" si="23"/>
        <v>179Treynor Ratio</v>
      </c>
      <c r="B1535">
        <v>179</v>
      </c>
      <c r="C1535" s="9" t="s">
        <v>39</v>
      </c>
      <c r="D1535" s="8">
        <v>-0.16500000000000001</v>
      </c>
    </row>
    <row r="1536" spans="1:4" x14ac:dyDescent="0.35">
      <c r="A1536" t="str">
        <f t="shared" si="23"/>
        <v>179Total Fees</v>
      </c>
      <c r="B1536">
        <v>179</v>
      </c>
      <c r="C1536" s="9" t="s">
        <v>40</v>
      </c>
      <c r="D1536" s="8">
        <v>0</v>
      </c>
    </row>
    <row r="1537" spans="1:4" x14ac:dyDescent="0.35">
      <c r="A1537" t="str">
        <f t="shared" si="23"/>
        <v>179Estimated Strategy Capacity</v>
      </c>
      <c r="B1537">
        <v>179</v>
      </c>
      <c r="C1537" s="9" t="s">
        <v>41</v>
      </c>
      <c r="D1537" s="8">
        <v>14000000000</v>
      </c>
    </row>
    <row r="1538" spans="1:4" x14ac:dyDescent="0.35">
      <c r="A1538" t="str">
        <f t="shared" si="23"/>
        <v>178PSR</v>
      </c>
      <c r="B1538">
        <v>178</v>
      </c>
      <c r="C1538" s="9" t="s">
        <v>27</v>
      </c>
      <c r="D1538" s="8">
        <v>0.31640000000000001</v>
      </c>
    </row>
    <row r="1539" spans="1:4" x14ac:dyDescent="0.35">
      <c r="A1539" t="str">
        <f t="shared" ref="A1539:A1602" si="24">B1539&amp;C1539</f>
        <v>178Sharpe Ratio</v>
      </c>
      <c r="B1539">
        <v>178</v>
      </c>
      <c r="C1539" s="9" t="s">
        <v>1</v>
      </c>
      <c r="D1539" s="8">
        <v>0.53</v>
      </c>
    </row>
    <row r="1540" spans="1:4" x14ac:dyDescent="0.35">
      <c r="A1540" t="str">
        <f t="shared" si="24"/>
        <v>178Total Trades</v>
      </c>
      <c r="B1540">
        <v>178</v>
      </c>
      <c r="C1540" s="9" t="s">
        <v>28</v>
      </c>
      <c r="D1540" s="8">
        <v>482</v>
      </c>
    </row>
    <row r="1541" spans="1:4" x14ac:dyDescent="0.35">
      <c r="A1541" t="str">
        <f t="shared" si="24"/>
        <v>178Average Win</v>
      </c>
      <c r="B1541">
        <v>178</v>
      </c>
      <c r="C1541" s="9" t="s">
        <v>25</v>
      </c>
      <c r="D1541" s="8">
        <v>2.6499999999999999E-2</v>
      </c>
    </row>
    <row r="1542" spans="1:4" x14ac:dyDescent="0.35">
      <c r="A1542" t="str">
        <f t="shared" si="24"/>
        <v>178Average Loss</v>
      </c>
      <c r="B1542">
        <v>178</v>
      </c>
      <c r="C1542" s="9" t="s">
        <v>29</v>
      </c>
      <c r="D1542" s="8">
        <v>-2.4400000000000002E-2</v>
      </c>
    </row>
    <row r="1543" spans="1:4" x14ac:dyDescent="0.35">
      <c r="A1543" t="str">
        <f t="shared" si="24"/>
        <v>178Compounding Annual Return</v>
      </c>
      <c r="B1543">
        <v>178</v>
      </c>
      <c r="C1543" s="9" t="s">
        <v>30</v>
      </c>
      <c r="D1543" s="8">
        <v>9.2289999999999997E-2</v>
      </c>
    </row>
    <row r="1544" spans="1:4" x14ac:dyDescent="0.35">
      <c r="A1544" t="str">
        <f t="shared" si="24"/>
        <v>178Drawdown</v>
      </c>
      <c r="B1544">
        <v>178</v>
      </c>
      <c r="C1544" s="9" t="s">
        <v>8</v>
      </c>
      <c r="D1544" s="8">
        <v>0.1</v>
      </c>
    </row>
    <row r="1545" spans="1:4" x14ac:dyDescent="0.35">
      <c r="A1545" t="str">
        <f t="shared" si="24"/>
        <v>178Expectancy</v>
      </c>
      <c r="B1545">
        <v>178</v>
      </c>
      <c r="C1545" s="9" t="s">
        <v>31</v>
      </c>
      <c r="D1545" s="8">
        <v>0.17399999999999999</v>
      </c>
    </row>
    <row r="1546" spans="1:4" x14ac:dyDescent="0.35">
      <c r="A1546" t="str">
        <f t="shared" si="24"/>
        <v>178Net Profit</v>
      </c>
      <c r="B1546">
        <v>178</v>
      </c>
      <c r="C1546" s="9" t="s">
        <v>32</v>
      </c>
      <c r="D1546" s="8">
        <v>5.8729999999999997E-2</v>
      </c>
    </row>
    <row r="1547" spans="1:4" x14ac:dyDescent="0.35">
      <c r="A1547" t="str">
        <f t="shared" si="24"/>
        <v>178Loss Rate</v>
      </c>
      <c r="B1547">
        <v>178</v>
      </c>
      <c r="C1547" s="9" t="s">
        <v>33</v>
      </c>
      <c r="D1547" s="8">
        <v>0.44</v>
      </c>
    </row>
    <row r="1548" spans="1:4" x14ac:dyDescent="0.35">
      <c r="A1548" t="str">
        <f t="shared" si="24"/>
        <v>178Win Rate</v>
      </c>
      <c r="B1548">
        <v>178</v>
      </c>
      <c r="C1548" s="9" t="s">
        <v>34</v>
      </c>
      <c r="D1548" s="8">
        <v>0.56000000000000005</v>
      </c>
    </row>
    <row r="1549" spans="1:4" x14ac:dyDescent="0.35">
      <c r="A1549" t="str">
        <f t="shared" si="24"/>
        <v>178Profit-Loss Ratio</v>
      </c>
      <c r="B1549">
        <v>178</v>
      </c>
      <c r="C1549" s="9" t="s">
        <v>26</v>
      </c>
      <c r="D1549" s="8">
        <v>1.0900000000000001</v>
      </c>
    </row>
    <row r="1550" spans="1:4" x14ac:dyDescent="0.35">
      <c r="A1550" t="str">
        <f t="shared" si="24"/>
        <v>178Alpha</v>
      </c>
      <c r="B1550">
        <v>178</v>
      </c>
      <c r="C1550" s="9" t="s">
        <v>23</v>
      </c>
      <c r="D1550" s="8">
        <v>9.7000000000000003E-2</v>
      </c>
    </row>
    <row r="1551" spans="1:4" x14ac:dyDescent="0.35">
      <c r="A1551" t="str">
        <f t="shared" si="24"/>
        <v>178Beta</v>
      </c>
      <c r="B1551">
        <v>178</v>
      </c>
      <c r="C1551" s="9" t="s">
        <v>24</v>
      </c>
      <c r="D1551" s="8">
        <v>-0.38</v>
      </c>
    </row>
    <row r="1552" spans="1:4" x14ac:dyDescent="0.35">
      <c r="A1552" t="str">
        <f t="shared" si="24"/>
        <v>178Annual Standard Deviation</v>
      </c>
      <c r="B1552">
        <v>178</v>
      </c>
      <c r="C1552" s="9" t="s">
        <v>35</v>
      </c>
      <c r="D1552" s="8">
        <v>0.13800000000000001</v>
      </c>
    </row>
    <row r="1553" spans="1:4" x14ac:dyDescent="0.35">
      <c r="A1553" t="str">
        <f t="shared" si="24"/>
        <v>178Annual Variance</v>
      </c>
      <c r="B1553">
        <v>178</v>
      </c>
      <c r="C1553" s="9" t="s">
        <v>36</v>
      </c>
      <c r="D1553" s="8">
        <v>1.9E-2</v>
      </c>
    </row>
    <row r="1554" spans="1:4" x14ac:dyDescent="0.35">
      <c r="A1554" t="str">
        <f t="shared" si="24"/>
        <v>178Information Ratio</v>
      </c>
      <c r="B1554">
        <v>178</v>
      </c>
      <c r="C1554" s="9" t="s">
        <v>37</v>
      </c>
      <c r="D1554" s="8">
        <v>5.8000000000000003E-2</v>
      </c>
    </row>
    <row r="1555" spans="1:4" x14ac:dyDescent="0.35">
      <c r="A1555" t="str">
        <f t="shared" si="24"/>
        <v>178Tracking Error</v>
      </c>
      <c r="B1555">
        <v>178</v>
      </c>
      <c r="C1555" s="9" t="s">
        <v>38</v>
      </c>
      <c r="D1555" s="8">
        <v>0.16400000000000001</v>
      </c>
    </row>
    <row r="1556" spans="1:4" x14ac:dyDescent="0.35">
      <c r="A1556" t="str">
        <f t="shared" si="24"/>
        <v>178Treynor Ratio</v>
      </c>
      <c r="B1556">
        <v>178</v>
      </c>
      <c r="C1556" s="9" t="s">
        <v>39</v>
      </c>
      <c r="D1556" s="8">
        <v>-0.193</v>
      </c>
    </row>
    <row r="1557" spans="1:4" x14ac:dyDescent="0.35">
      <c r="A1557" t="str">
        <f t="shared" si="24"/>
        <v>178Total Fees</v>
      </c>
      <c r="B1557">
        <v>178</v>
      </c>
      <c r="C1557" s="9" t="s">
        <v>40</v>
      </c>
      <c r="D1557" s="8">
        <v>0</v>
      </c>
    </row>
    <row r="1558" spans="1:4" x14ac:dyDescent="0.35">
      <c r="A1558" t="str">
        <f t="shared" si="24"/>
        <v>178Estimated Strategy Capacity</v>
      </c>
      <c r="B1558">
        <v>178</v>
      </c>
      <c r="C1558" s="9" t="s">
        <v>41</v>
      </c>
      <c r="D1558" s="8">
        <v>1500000000</v>
      </c>
    </row>
    <row r="1559" spans="1:4" x14ac:dyDescent="0.35">
      <c r="A1559" t="str">
        <f t="shared" si="24"/>
        <v>177PSR</v>
      </c>
      <c r="B1559">
        <v>177</v>
      </c>
      <c r="C1559" s="9" t="s">
        <v>27</v>
      </c>
      <c r="D1559" s="8">
        <v>0.17058999999999999</v>
      </c>
    </row>
    <row r="1560" spans="1:4" x14ac:dyDescent="0.35">
      <c r="A1560" t="str">
        <f t="shared" si="24"/>
        <v>177Sharpe Ratio</v>
      </c>
      <c r="B1560">
        <v>177</v>
      </c>
      <c r="C1560" s="9" t="s">
        <v>1</v>
      </c>
      <c r="D1560" s="8">
        <v>1.2E-2</v>
      </c>
    </row>
    <row r="1561" spans="1:4" x14ac:dyDescent="0.35">
      <c r="A1561" t="str">
        <f t="shared" si="24"/>
        <v>177Total Trades</v>
      </c>
      <c r="B1561">
        <v>177</v>
      </c>
      <c r="C1561" s="9" t="s">
        <v>28</v>
      </c>
      <c r="D1561" s="8">
        <v>664</v>
      </c>
    </row>
    <row r="1562" spans="1:4" x14ac:dyDescent="0.35">
      <c r="A1562" t="str">
        <f t="shared" si="24"/>
        <v>177Average Win</v>
      </c>
      <c r="B1562">
        <v>177</v>
      </c>
      <c r="C1562" s="9" t="s">
        <v>25</v>
      </c>
      <c r="D1562" s="8">
        <v>0.22009999999999999</v>
      </c>
    </row>
    <row r="1563" spans="1:4" x14ac:dyDescent="0.35">
      <c r="A1563" t="str">
        <f t="shared" si="24"/>
        <v>177Average Loss</v>
      </c>
      <c r="B1563">
        <v>177</v>
      </c>
      <c r="C1563" s="9" t="s">
        <v>29</v>
      </c>
      <c r="D1563" s="8">
        <v>-0.1124</v>
      </c>
    </row>
    <row r="1564" spans="1:4" x14ac:dyDescent="0.35">
      <c r="A1564" t="str">
        <f t="shared" si="24"/>
        <v>177Compounding Annual Return</v>
      </c>
      <c r="B1564">
        <v>177</v>
      </c>
      <c r="C1564" s="9" t="s">
        <v>30</v>
      </c>
      <c r="D1564" s="8">
        <v>-0.63017999999999996</v>
      </c>
    </row>
    <row r="1565" spans="1:4" x14ac:dyDescent="0.35">
      <c r="A1565" t="str">
        <f t="shared" si="24"/>
        <v>177Drawdown</v>
      </c>
      <c r="B1565">
        <v>177</v>
      </c>
      <c r="C1565" s="9" t="s">
        <v>8</v>
      </c>
      <c r="D1565" s="8">
        <v>0.77900000000000003</v>
      </c>
    </row>
    <row r="1566" spans="1:4" x14ac:dyDescent="0.35">
      <c r="A1566" t="str">
        <f t="shared" si="24"/>
        <v>177Expectancy</v>
      </c>
      <c r="B1566">
        <v>177</v>
      </c>
      <c r="C1566" s="9" t="s">
        <v>31</v>
      </c>
      <c r="D1566" s="8">
        <v>-0.09</v>
      </c>
    </row>
    <row r="1567" spans="1:4" x14ac:dyDescent="0.35">
      <c r="A1567" t="str">
        <f t="shared" si="24"/>
        <v>177Net Profit</v>
      </c>
      <c r="B1567">
        <v>177</v>
      </c>
      <c r="C1567" s="9" t="s">
        <v>32</v>
      </c>
      <c r="D1567" s="8">
        <v>-0.47432000000000002</v>
      </c>
    </row>
    <row r="1568" spans="1:4" x14ac:dyDescent="0.35">
      <c r="A1568" t="str">
        <f t="shared" si="24"/>
        <v>177Loss Rate</v>
      </c>
      <c r="B1568">
        <v>177</v>
      </c>
      <c r="C1568" s="9" t="s">
        <v>33</v>
      </c>
      <c r="D1568" s="8">
        <v>0.69</v>
      </c>
    </row>
    <row r="1569" spans="1:4" x14ac:dyDescent="0.35">
      <c r="A1569" t="str">
        <f t="shared" si="24"/>
        <v>177Win Rate</v>
      </c>
      <c r="B1569">
        <v>177</v>
      </c>
      <c r="C1569" s="9" t="s">
        <v>34</v>
      </c>
      <c r="D1569" s="8">
        <v>0.31</v>
      </c>
    </row>
    <row r="1570" spans="1:4" x14ac:dyDescent="0.35">
      <c r="A1570" t="str">
        <f t="shared" si="24"/>
        <v>177Profit-Loss Ratio</v>
      </c>
      <c r="B1570">
        <v>177</v>
      </c>
      <c r="C1570" s="9" t="s">
        <v>26</v>
      </c>
      <c r="D1570" s="8">
        <v>1.96</v>
      </c>
    </row>
    <row r="1571" spans="1:4" x14ac:dyDescent="0.35">
      <c r="A1571" t="str">
        <f t="shared" si="24"/>
        <v>177Alpha</v>
      </c>
      <c r="B1571">
        <v>177</v>
      </c>
      <c r="C1571" s="9" t="s">
        <v>23</v>
      </c>
      <c r="D1571" s="8">
        <v>0.34</v>
      </c>
    </row>
    <row r="1572" spans="1:4" x14ac:dyDescent="0.35">
      <c r="A1572" t="str">
        <f t="shared" si="24"/>
        <v>177Beta</v>
      </c>
      <c r="B1572">
        <v>177</v>
      </c>
      <c r="C1572" s="9" t="s">
        <v>24</v>
      </c>
      <c r="D1572" s="8">
        <v>-5.1150000000000002</v>
      </c>
    </row>
    <row r="1573" spans="1:4" x14ac:dyDescent="0.35">
      <c r="A1573" t="str">
        <f t="shared" si="24"/>
        <v>177Annual Standard Deviation</v>
      </c>
      <c r="B1573">
        <v>177</v>
      </c>
      <c r="C1573" s="9" t="s">
        <v>35</v>
      </c>
      <c r="D1573" s="8">
        <v>1.165</v>
      </c>
    </row>
    <row r="1574" spans="1:4" x14ac:dyDescent="0.35">
      <c r="A1574" t="str">
        <f t="shared" si="24"/>
        <v>177Annual Variance</v>
      </c>
      <c r="B1574">
        <v>177</v>
      </c>
      <c r="C1574" s="9" t="s">
        <v>36</v>
      </c>
      <c r="D1574" s="8">
        <v>1.3580000000000001</v>
      </c>
    </row>
    <row r="1575" spans="1:4" x14ac:dyDescent="0.35">
      <c r="A1575" t="str">
        <f t="shared" si="24"/>
        <v>177Information Ratio</v>
      </c>
      <c r="B1575">
        <v>177</v>
      </c>
      <c r="C1575" s="9" t="s">
        <v>37</v>
      </c>
      <c r="D1575" s="8">
        <v>-4.1000000000000002E-2</v>
      </c>
    </row>
    <row r="1576" spans="1:4" x14ac:dyDescent="0.35">
      <c r="A1576" t="str">
        <f t="shared" si="24"/>
        <v>177Tracking Error</v>
      </c>
      <c r="B1576">
        <v>177</v>
      </c>
      <c r="C1576" s="9" t="s">
        <v>38</v>
      </c>
      <c r="D1576" s="8">
        <v>1.1870000000000001</v>
      </c>
    </row>
    <row r="1577" spans="1:4" x14ac:dyDescent="0.35">
      <c r="A1577" t="str">
        <f t="shared" si="24"/>
        <v>177Treynor Ratio</v>
      </c>
      <c r="B1577">
        <v>177</v>
      </c>
      <c r="C1577" s="9" t="s">
        <v>39</v>
      </c>
      <c r="D1577" s="8">
        <v>-3.0000000000000001E-3</v>
      </c>
    </row>
    <row r="1578" spans="1:4" x14ac:dyDescent="0.35">
      <c r="A1578" t="str">
        <f t="shared" si="24"/>
        <v>177Total Fees</v>
      </c>
      <c r="B1578">
        <v>177</v>
      </c>
      <c r="C1578" s="9" t="s">
        <v>40</v>
      </c>
      <c r="D1578" s="8">
        <v>0</v>
      </c>
    </row>
    <row r="1579" spans="1:4" x14ac:dyDescent="0.35">
      <c r="A1579" t="str">
        <f t="shared" si="24"/>
        <v>177Estimated Strategy Capacity</v>
      </c>
      <c r="B1579">
        <v>177</v>
      </c>
      <c r="C1579" s="9" t="s">
        <v>41</v>
      </c>
      <c r="D1579" s="8">
        <v>3700000</v>
      </c>
    </row>
    <row r="1580" spans="1:4" x14ac:dyDescent="0.35">
      <c r="A1580" t="str">
        <f t="shared" si="24"/>
        <v>176PSR</v>
      </c>
      <c r="B1580">
        <v>176</v>
      </c>
      <c r="C1580" s="9" t="s">
        <v>27</v>
      </c>
      <c r="D1580" s="8">
        <v>4.759E-2</v>
      </c>
    </row>
    <row r="1581" spans="1:4" x14ac:dyDescent="0.35">
      <c r="A1581" t="str">
        <f t="shared" si="24"/>
        <v>176Sharpe Ratio</v>
      </c>
      <c r="B1581">
        <v>176</v>
      </c>
      <c r="C1581" s="9" t="s">
        <v>1</v>
      </c>
      <c r="D1581" s="8">
        <v>-0.63400000000000001</v>
      </c>
    </row>
    <row r="1582" spans="1:4" x14ac:dyDescent="0.35">
      <c r="A1582" t="str">
        <f t="shared" si="24"/>
        <v>176Total Trades</v>
      </c>
      <c r="B1582">
        <v>176</v>
      </c>
      <c r="C1582" s="9" t="s">
        <v>28</v>
      </c>
      <c r="D1582" s="8">
        <v>690</v>
      </c>
    </row>
    <row r="1583" spans="1:4" x14ac:dyDescent="0.35">
      <c r="A1583" t="str">
        <f t="shared" si="24"/>
        <v>176Average Win</v>
      </c>
      <c r="B1583">
        <v>176</v>
      </c>
      <c r="C1583" s="9" t="s">
        <v>25</v>
      </c>
      <c r="D1583" s="8">
        <v>2.23E-2</v>
      </c>
    </row>
    <row r="1584" spans="1:4" x14ac:dyDescent="0.35">
      <c r="A1584" t="str">
        <f t="shared" si="24"/>
        <v>176Average Loss</v>
      </c>
      <c r="B1584">
        <v>176</v>
      </c>
      <c r="C1584" s="9" t="s">
        <v>29</v>
      </c>
      <c r="D1584" s="8">
        <v>-1.8800000000000001E-2</v>
      </c>
    </row>
    <row r="1585" spans="1:4" x14ac:dyDescent="0.35">
      <c r="A1585" t="str">
        <f t="shared" si="24"/>
        <v>176Compounding Annual Return</v>
      </c>
      <c r="B1585">
        <v>176</v>
      </c>
      <c r="C1585" s="9" t="s">
        <v>30</v>
      </c>
      <c r="D1585" s="8">
        <v>-0.14321999999999999</v>
      </c>
    </row>
    <row r="1586" spans="1:4" x14ac:dyDescent="0.35">
      <c r="A1586" t="str">
        <f t="shared" si="24"/>
        <v>176Drawdown</v>
      </c>
      <c r="B1586">
        <v>176</v>
      </c>
      <c r="C1586" s="9" t="s">
        <v>8</v>
      </c>
      <c r="D1586" s="8">
        <v>0.17</v>
      </c>
    </row>
    <row r="1587" spans="1:4" x14ac:dyDescent="0.35">
      <c r="A1587" t="str">
        <f t="shared" si="24"/>
        <v>176Expectancy</v>
      </c>
      <c r="B1587">
        <v>176</v>
      </c>
      <c r="C1587" s="9" t="s">
        <v>31</v>
      </c>
      <c r="D1587" s="8">
        <v>-0.23899999999999999</v>
      </c>
    </row>
    <row r="1588" spans="1:4" x14ac:dyDescent="0.35">
      <c r="A1588" t="str">
        <f t="shared" si="24"/>
        <v>176Net Profit</v>
      </c>
      <c r="B1588">
        <v>176</v>
      </c>
      <c r="C1588" s="9" t="s">
        <v>32</v>
      </c>
      <c r="D1588" s="8">
        <v>-9.5089999999999994E-2</v>
      </c>
    </row>
    <row r="1589" spans="1:4" x14ac:dyDescent="0.35">
      <c r="A1589" t="str">
        <f t="shared" si="24"/>
        <v>176Loss Rate</v>
      </c>
      <c r="B1589">
        <v>176</v>
      </c>
      <c r="C1589" s="9" t="s">
        <v>33</v>
      </c>
      <c r="D1589" s="8">
        <v>0.65</v>
      </c>
    </row>
    <row r="1590" spans="1:4" x14ac:dyDescent="0.35">
      <c r="A1590" t="str">
        <f t="shared" si="24"/>
        <v>176Win Rate</v>
      </c>
      <c r="B1590">
        <v>176</v>
      </c>
      <c r="C1590" s="9" t="s">
        <v>34</v>
      </c>
      <c r="D1590" s="8">
        <v>0.35</v>
      </c>
    </row>
    <row r="1591" spans="1:4" x14ac:dyDescent="0.35">
      <c r="A1591" t="str">
        <f t="shared" si="24"/>
        <v>176Profit-Loss Ratio</v>
      </c>
      <c r="B1591">
        <v>176</v>
      </c>
      <c r="C1591" s="9" t="s">
        <v>26</v>
      </c>
      <c r="D1591" s="8">
        <v>1.19</v>
      </c>
    </row>
    <row r="1592" spans="1:4" x14ac:dyDescent="0.35">
      <c r="A1592" t="str">
        <f t="shared" si="24"/>
        <v>176Alpha</v>
      </c>
      <c r="B1592">
        <v>176</v>
      </c>
      <c r="C1592" s="9" t="s">
        <v>23</v>
      </c>
      <c r="D1592" s="8">
        <v>-5.1999999999999998E-2</v>
      </c>
    </row>
    <row r="1593" spans="1:4" x14ac:dyDescent="0.35">
      <c r="A1593" t="str">
        <f t="shared" si="24"/>
        <v>176Beta</v>
      </c>
      <c r="B1593">
        <v>176</v>
      </c>
      <c r="C1593" s="9" t="s">
        <v>24</v>
      </c>
      <c r="D1593" s="8">
        <v>-0.625</v>
      </c>
    </row>
    <row r="1594" spans="1:4" x14ac:dyDescent="0.35">
      <c r="A1594" t="str">
        <f t="shared" si="24"/>
        <v>176Annual Standard Deviation</v>
      </c>
      <c r="B1594">
        <v>176</v>
      </c>
      <c r="C1594" s="9" t="s">
        <v>35</v>
      </c>
      <c r="D1594" s="8">
        <v>0.14499999999999999</v>
      </c>
    </row>
    <row r="1595" spans="1:4" x14ac:dyDescent="0.35">
      <c r="A1595" t="str">
        <f t="shared" si="24"/>
        <v>176Annual Variance</v>
      </c>
      <c r="B1595">
        <v>176</v>
      </c>
      <c r="C1595" s="9" t="s">
        <v>36</v>
      </c>
      <c r="D1595" s="8">
        <v>2.1000000000000001E-2</v>
      </c>
    </row>
    <row r="1596" spans="1:4" x14ac:dyDescent="0.35">
      <c r="A1596" t="str">
        <f t="shared" si="24"/>
        <v>176Information Ratio</v>
      </c>
      <c r="B1596">
        <v>176</v>
      </c>
      <c r="C1596" s="9" t="s">
        <v>37</v>
      </c>
      <c r="D1596" s="8">
        <v>-0.88300000000000001</v>
      </c>
    </row>
    <row r="1597" spans="1:4" x14ac:dyDescent="0.35">
      <c r="A1597" t="str">
        <f t="shared" si="24"/>
        <v>176Tracking Error</v>
      </c>
      <c r="B1597">
        <v>176</v>
      </c>
      <c r="C1597" s="9" t="s">
        <v>38</v>
      </c>
      <c r="D1597" s="8">
        <v>0.17599999999999999</v>
      </c>
    </row>
    <row r="1598" spans="1:4" x14ac:dyDescent="0.35">
      <c r="A1598" t="str">
        <f t="shared" si="24"/>
        <v>176Treynor Ratio</v>
      </c>
      <c r="B1598">
        <v>176</v>
      </c>
      <c r="C1598" s="9" t="s">
        <v>39</v>
      </c>
      <c r="D1598" s="8">
        <v>0.14699999999999999</v>
      </c>
    </row>
    <row r="1599" spans="1:4" x14ac:dyDescent="0.35">
      <c r="A1599" t="str">
        <f t="shared" si="24"/>
        <v>176Total Fees</v>
      </c>
      <c r="B1599">
        <v>176</v>
      </c>
      <c r="C1599" s="9" t="s">
        <v>40</v>
      </c>
      <c r="D1599" s="8">
        <v>0</v>
      </c>
    </row>
    <row r="1600" spans="1:4" x14ac:dyDescent="0.35">
      <c r="A1600" t="str">
        <f t="shared" si="24"/>
        <v>176Estimated Strategy Capacity</v>
      </c>
      <c r="B1600">
        <v>176</v>
      </c>
      <c r="C1600" s="9" t="s">
        <v>41</v>
      </c>
      <c r="D1600" s="8">
        <v>5100000</v>
      </c>
    </row>
    <row r="1601" spans="1:4" x14ac:dyDescent="0.35">
      <c r="A1601" t="str">
        <f t="shared" si="24"/>
        <v>175PSR</v>
      </c>
      <c r="B1601">
        <v>175</v>
      </c>
      <c r="C1601" s="9" t="s">
        <v>27</v>
      </c>
      <c r="D1601" s="8">
        <v>3.7479999999999999E-2</v>
      </c>
    </row>
    <row r="1602" spans="1:4" x14ac:dyDescent="0.35">
      <c r="A1602" t="str">
        <f t="shared" si="24"/>
        <v>175Sharpe Ratio</v>
      </c>
      <c r="B1602">
        <v>175</v>
      </c>
      <c r="C1602" s="9" t="s">
        <v>1</v>
      </c>
      <c r="D1602" s="8">
        <v>-0.746</v>
      </c>
    </row>
    <row r="1603" spans="1:4" x14ac:dyDescent="0.35">
      <c r="A1603" t="str">
        <f t="shared" ref="A1603:A1666" si="25">B1603&amp;C1603</f>
        <v>175Total Trades</v>
      </c>
      <c r="B1603">
        <v>175</v>
      </c>
      <c r="C1603" s="9" t="s">
        <v>28</v>
      </c>
      <c r="D1603" s="8">
        <v>690</v>
      </c>
    </row>
    <row r="1604" spans="1:4" x14ac:dyDescent="0.35">
      <c r="A1604" t="str">
        <f t="shared" si="25"/>
        <v>175Average Win</v>
      </c>
      <c r="B1604">
        <v>175</v>
      </c>
      <c r="C1604" s="9" t="s">
        <v>25</v>
      </c>
      <c r="D1604" s="8">
        <v>2E-3</v>
      </c>
    </row>
    <row r="1605" spans="1:4" x14ac:dyDescent="0.35">
      <c r="A1605" t="str">
        <f t="shared" si="25"/>
        <v>175Average Loss</v>
      </c>
      <c r="B1605">
        <v>175</v>
      </c>
      <c r="C1605" s="9" t="s">
        <v>29</v>
      </c>
      <c r="D1605" s="8">
        <v>-1.8E-3</v>
      </c>
    </row>
    <row r="1606" spans="1:4" x14ac:dyDescent="0.35">
      <c r="A1606" t="str">
        <f t="shared" si="25"/>
        <v>175Compounding Annual Return</v>
      </c>
      <c r="B1606">
        <v>175</v>
      </c>
      <c r="C1606" s="9" t="s">
        <v>30</v>
      </c>
      <c r="D1606" s="8">
        <v>-1.4670000000000001E-2</v>
      </c>
    </row>
    <row r="1607" spans="1:4" x14ac:dyDescent="0.35">
      <c r="A1607" t="str">
        <f t="shared" si="25"/>
        <v>175Drawdown</v>
      </c>
      <c r="B1607">
        <v>175</v>
      </c>
      <c r="C1607" s="9" t="s">
        <v>8</v>
      </c>
      <c r="D1607" s="8">
        <v>1.7000000000000001E-2</v>
      </c>
    </row>
    <row r="1608" spans="1:4" x14ac:dyDescent="0.35">
      <c r="A1608" t="str">
        <f t="shared" si="25"/>
        <v>175Expectancy</v>
      </c>
      <c r="B1608">
        <v>175</v>
      </c>
      <c r="C1608" s="9" t="s">
        <v>31</v>
      </c>
      <c r="D1608" s="8">
        <v>-0.25800000000000001</v>
      </c>
    </row>
    <row r="1609" spans="1:4" x14ac:dyDescent="0.35">
      <c r="A1609" t="str">
        <f t="shared" si="25"/>
        <v>175Net Profit</v>
      </c>
      <c r="B1609">
        <v>175</v>
      </c>
      <c r="C1609" s="9" t="s">
        <v>32</v>
      </c>
      <c r="D1609" s="8">
        <v>-9.5099999999999994E-3</v>
      </c>
    </row>
    <row r="1610" spans="1:4" x14ac:dyDescent="0.35">
      <c r="A1610" t="str">
        <f t="shared" si="25"/>
        <v>175Loss Rate</v>
      </c>
      <c r="B1610">
        <v>175</v>
      </c>
      <c r="C1610" s="9" t="s">
        <v>33</v>
      </c>
      <c r="D1610" s="8">
        <v>0.65</v>
      </c>
    </row>
    <row r="1611" spans="1:4" x14ac:dyDescent="0.35">
      <c r="A1611" t="str">
        <f t="shared" si="25"/>
        <v>175Win Rate</v>
      </c>
      <c r="B1611">
        <v>175</v>
      </c>
      <c r="C1611" s="9" t="s">
        <v>34</v>
      </c>
      <c r="D1611" s="8">
        <v>0.35</v>
      </c>
    </row>
    <row r="1612" spans="1:4" x14ac:dyDescent="0.35">
      <c r="A1612" t="str">
        <f t="shared" si="25"/>
        <v>175Profit-Loss Ratio</v>
      </c>
      <c r="B1612">
        <v>175</v>
      </c>
      <c r="C1612" s="9" t="s">
        <v>26</v>
      </c>
      <c r="D1612" s="8">
        <v>1.1299999999999999</v>
      </c>
    </row>
    <row r="1613" spans="1:4" x14ac:dyDescent="0.35">
      <c r="A1613" t="str">
        <f t="shared" si="25"/>
        <v>175Alpha</v>
      </c>
      <c r="B1613">
        <v>175</v>
      </c>
      <c r="C1613" s="9" t="s">
        <v>23</v>
      </c>
      <c r="D1613" s="8">
        <v>-6.0000000000000001E-3</v>
      </c>
    </row>
    <row r="1614" spans="1:4" x14ac:dyDescent="0.35">
      <c r="A1614" t="str">
        <f t="shared" si="25"/>
        <v>175Beta</v>
      </c>
      <c r="B1614">
        <v>175</v>
      </c>
      <c r="C1614" s="9" t="s">
        <v>24</v>
      </c>
      <c r="D1614" s="8">
        <v>-5.8000000000000003E-2</v>
      </c>
    </row>
    <row r="1615" spans="1:4" x14ac:dyDescent="0.35">
      <c r="A1615" t="str">
        <f t="shared" si="25"/>
        <v>175Annual Standard Deviation</v>
      </c>
      <c r="B1615">
        <v>175</v>
      </c>
      <c r="C1615" s="9" t="s">
        <v>35</v>
      </c>
      <c r="D1615" s="8">
        <v>1.4E-2</v>
      </c>
    </row>
    <row r="1616" spans="1:4" x14ac:dyDescent="0.35">
      <c r="A1616" t="str">
        <f t="shared" si="25"/>
        <v>175Annual Variance</v>
      </c>
      <c r="B1616">
        <v>175</v>
      </c>
      <c r="C1616" s="9" t="s">
        <v>36</v>
      </c>
      <c r="D1616" s="8">
        <v>0</v>
      </c>
    </row>
    <row r="1617" spans="1:4" x14ac:dyDescent="0.35">
      <c r="A1617" t="str">
        <f t="shared" si="25"/>
        <v>175Information Ratio</v>
      </c>
      <c r="B1617">
        <v>175</v>
      </c>
      <c r="C1617" s="9" t="s">
        <v>37</v>
      </c>
      <c r="D1617" s="8">
        <v>-1.028</v>
      </c>
    </row>
    <row r="1618" spans="1:4" x14ac:dyDescent="0.35">
      <c r="A1618" t="str">
        <f t="shared" si="25"/>
        <v>175Tracking Error</v>
      </c>
      <c r="B1618">
        <v>175</v>
      </c>
      <c r="C1618" s="9" t="s">
        <v>38</v>
      </c>
      <c r="D1618" s="8">
        <v>7.1999999999999995E-2</v>
      </c>
    </row>
    <row r="1619" spans="1:4" x14ac:dyDescent="0.35">
      <c r="A1619" t="str">
        <f t="shared" si="25"/>
        <v>175Treynor Ratio</v>
      </c>
      <c r="B1619">
        <v>175</v>
      </c>
      <c r="C1619" s="9" t="s">
        <v>39</v>
      </c>
      <c r="D1619" s="8">
        <v>0.17399999999999999</v>
      </c>
    </row>
    <row r="1620" spans="1:4" x14ac:dyDescent="0.35">
      <c r="A1620" t="str">
        <f t="shared" si="25"/>
        <v>175Total Fees</v>
      </c>
      <c r="B1620">
        <v>175</v>
      </c>
      <c r="C1620" s="9" t="s">
        <v>40</v>
      </c>
      <c r="D1620" s="8">
        <v>0</v>
      </c>
    </row>
    <row r="1621" spans="1:4" x14ac:dyDescent="0.35">
      <c r="A1621" t="str">
        <f t="shared" si="25"/>
        <v>175Estimated Strategy Capacity</v>
      </c>
      <c r="B1621">
        <v>175</v>
      </c>
      <c r="C1621" s="9" t="s">
        <v>41</v>
      </c>
      <c r="D1621" s="8">
        <v>19000000</v>
      </c>
    </row>
    <row r="1622" spans="1:4" x14ac:dyDescent="0.35">
      <c r="A1622" t="str">
        <f t="shared" si="25"/>
        <v>174PSR</v>
      </c>
      <c r="B1622">
        <v>174</v>
      </c>
      <c r="C1622" s="9" t="s">
        <v>27</v>
      </c>
      <c r="D1622" s="8">
        <v>0.12884999999999999</v>
      </c>
    </row>
    <row r="1623" spans="1:4" x14ac:dyDescent="0.35">
      <c r="A1623" t="str">
        <f t="shared" si="25"/>
        <v>174Sharpe Ratio</v>
      </c>
      <c r="B1623">
        <v>174</v>
      </c>
      <c r="C1623" s="9" t="s">
        <v>1</v>
      </c>
      <c r="D1623" s="8">
        <v>-0.17100000000000001</v>
      </c>
    </row>
    <row r="1624" spans="1:4" x14ac:dyDescent="0.35">
      <c r="A1624" t="str">
        <f t="shared" si="25"/>
        <v>174Total Trades</v>
      </c>
      <c r="B1624">
        <v>174</v>
      </c>
      <c r="C1624" s="9" t="s">
        <v>28</v>
      </c>
      <c r="D1624" s="8">
        <v>1277</v>
      </c>
    </row>
    <row r="1625" spans="1:4" x14ac:dyDescent="0.35">
      <c r="A1625" t="str">
        <f t="shared" si="25"/>
        <v>174Average Win</v>
      </c>
      <c r="B1625">
        <v>174</v>
      </c>
      <c r="C1625" s="9" t="s">
        <v>25</v>
      </c>
      <c r="D1625" s="8">
        <v>5.33E-2</v>
      </c>
    </row>
    <row r="1626" spans="1:4" x14ac:dyDescent="0.35">
      <c r="A1626" t="str">
        <f t="shared" si="25"/>
        <v>174Average Loss</v>
      </c>
      <c r="B1626">
        <v>174</v>
      </c>
      <c r="C1626" s="9" t="s">
        <v>29</v>
      </c>
      <c r="D1626" s="8">
        <v>-5.2200000000000003E-2</v>
      </c>
    </row>
    <row r="1627" spans="1:4" x14ac:dyDescent="0.35">
      <c r="A1627" t="str">
        <f t="shared" si="25"/>
        <v>174Compounding Annual Return</v>
      </c>
      <c r="B1627">
        <v>174</v>
      </c>
      <c r="C1627" s="9" t="s">
        <v>30</v>
      </c>
      <c r="D1627" s="8">
        <v>-0.29631000000000002</v>
      </c>
    </row>
    <row r="1628" spans="1:4" x14ac:dyDescent="0.35">
      <c r="A1628" t="str">
        <f t="shared" si="25"/>
        <v>174Drawdown</v>
      </c>
      <c r="B1628">
        <v>174</v>
      </c>
      <c r="C1628" s="9" t="s">
        <v>8</v>
      </c>
      <c r="D1628" s="8">
        <v>0.497</v>
      </c>
    </row>
    <row r="1629" spans="1:4" x14ac:dyDescent="0.35">
      <c r="A1629" t="str">
        <f t="shared" si="25"/>
        <v>174Expectancy</v>
      </c>
      <c r="B1629">
        <v>174</v>
      </c>
      <c r="C1629" s="9" t="s">
        <v>31</v>
      </c>
      <c r="D1629" s="8">
        <v>-8.5999999999999993E-2</v>
      </c>
    </row>
    <row r="1630" spans="1:4" x14ac:dyDescent="0.35">
      <c r="A1630" t="str">
        <f t="shared" si="25"/>
        <v>174Net Profit</v>
      </c>
      <c r="B1630">
        <v>174</v>
      </c>
      <c r="C1630" s="9" t="s">
        <v>32</v>
      </c>
      <c r="D1630" s="8">
        <v>-0.20322000000000001</v>
      </c>
    </row>
    <row r="1631" spans="1:4" x14ac:dyDescent="0.35">
      <c r="A1631" t="str">
        <f t="shared" si="25"/>
        <v>174Loss Rate</v>
      </c>
      <c r="B1631">
        <v>174</v>
      </c>
      <c r="C1631" s="9" t="s">
        <v>33</v>
      </c>
      <c r="D1631" s="8">
        <v>0.55000000000000004</v>
      </c>
    </row>
    <row r="1632" spans="1:4" x14ac:dyDescent="0.35">
      <c r="A1632" t="str">
        <f t="shared" si="25"/>
        <v>174Win Rate</v>
      </c>
      <c r="B1632">
        <v>174</v>
      </c>
      <c r="C1632" s="9" t="s">
        <v>34</v>
      </c>
      <c r="D1632" s="8">
        <v>0.45</v>
      </c>
    </row>
    <row r="1633" spans="1:4" x14ac:dyDescent="0.35">
      <c r="A1633" t="str">
        <f t="shared" si="25"/>
        <v>174Profit-Loss Ratio</v>
      </c>
      <c r="B1633">
        <v>174</v>
      </c>
      <c r="C1633" s="9" t="s">
        <v>26</v>
      </c>
      <c r="D1633" s="8">
        <v>1.02</v>
      </c>
    </row>
    <row r="1634" spans="1:4" x14ac:dyDescent="0.35">
      <c r="A1634" t="str">
        <f t="shared" si="25"/>
        <v>174Alpha</v>
      </c>
      <c r="B1634">
        <v>174</v>
      </c>
      <c r="C1634" s="9" t="s">
        <v>23</v>
      </c>
      <c r="D1634" s="8">
        <v>6.2E-2</v>
      </c>
    </row>
    <row r="1635" spans="1:4" x14ac:dyDescent="0.35">
      <c r="A1635" t="str">
        <f t="shared" si="25"/>
        <v>174Beta</v>
      </c>
      <c r="B1635">
        <v>174</v>
      </c>
      <c r="C1635" s="9" t="s">
        <v>24</v>
      </c>
      <c r="D1635" s="8">
        <v>-2.4380000000000002</v>
      </c>
    </row>
    <row r="1636" spans="1:4" x14ac:dyDescent="0.35">
      <c r="A1636" t="str">
        <f t="shared" si="25"/>
        <v>174Annual Standard Deviation</v>
      </c>
      <c r="B1636">
        <v>174</v>
      </c>
      <c r="C1636" s="9" t="s">
        <v>35</v>
      </c>
      <c r="D1636" s="8">
        <v>0.54400000000000004</v>
      </c>
    </row>
    <row r="1637" spans="1:4" x14ac:dyDescent="0.35">
      <c r="A1637" t="str">
        <f t="shared" si="25"/>
        <v>174Annual Variance</v>
      </c>
      <c r="B1637">
        <v>174</v>
      </c>
      <c r="C1637" s="9" t="s">
        <v>36</v>
      </c>
      <c r="D1637" s="8">
        <v>0.29599999999999999</v>
      </c>
    </row>
    <row r="1638" spans="1:4" x14ac:dyDescent="0.35">
      <c r="A1638" t="str">
        <f t="shared" si="25"/>
        <v>174Information Ratio</v>
      </c>
      <c r="B1638">
        <v>174</v>
      </c>
      <c r="C1638" s="9" t="s">
        <v>37</v>
      </c>
      <c r="D1638" s="8">
        <v>-0.27600000000000002</v>
      </c>
    </row>
    <row r="1639" spans="1:4" x14ac:dyDescent="0.35">
      <c r="A1639" t="str">
        <f t="shared" si="25"/>
        <v>174Tracking Error</v>
      </c>
      <c r="B1639">
        <v>174</v>
      </c>
      <c r="C1639" s="9" t="s">
        <v>38</v>
      </c>
      <c r="D1639" s="8">
        <v>0.56699999999999995</v>
      </c>
    </row>
    <row r="1640" spans="1:4" x14ac:dyDescent="0.35">
      <c r="A1640" t="str">
        <f t="shared" si="25"/>
        <v>174Treynor Ratio</v>
      </c>
      <c r="B1640">
        <v>174</v>
      </c>
      <c r="C1640" s="9" t="s">
        <v>39</v>
      </c>
      <c r="D1640" s="8">
        <v>3.7999999999999999E-2</v>
      </c>
    </row>
    <row r="1641" spans="1:4" x14ac:dyDescent="0.35">
      <c r="A1641" t="str">
        <f t="shared" si="25"/>
        <v>174Total Fees</v>
      </c>
      <c r="B1641">
        <v>174</v>
      </c>
      <c r="C1641" s="9" t="s">
        <v>40</v>
      </c>
      <c r="D1641" s="8">
        <v>0</v>
      </c>
    </row>
    <row r="1642" spans="1:4" x14ac:dyDescent="0.35">
      <c r="A1642" t="str">
        <f t="shared" si="25"/>
        <v>174Estimated Strategy Capacity</v>
      </c>
      <c r="B1642">
        <v>174</v>
      </c>
      <c r="C1642" s="9" t="s">
        <v>41</v>
      </c>
      <c r="D1642" s="8">
        <v>1700000</v>
      </c>
    </row>
    <row r="1643" spans="1:4" x14ac:dyDescent="0.35">
      <c r="A1643" t="str">
        <f t="shared" si="25"/>
        <v>173PSR</v>
      </c>
      <c r="B1643">
        <v>173</v>
      </c>
      <c r="C1643" s="9" t="s">
        <v>27</v>
      </c>
      <c r="D1643" s="8">
        <v>0.10909000000000001</v>
      </c>
    </row>
    <row r="1644" spans="1:4" x14ac:dyDescent="0.35">
      <c r="A1644" t="str">
        <f t="shared" si="25"/>
        <v>173Sharpe Ratio</v>
      </c>
      <c r="B1644">
        <v>173</v>
      </c>
      <c r="C1644" s="9" t="s">
        <v>1</v>
      </c>
      <c r="D1644" s="8">
        <v>-0.28199999999999997</v>
      </c>
    </row>
    <row r="1645" spans="1:4" x14ac:dyDescent="0.35">
      <c r="A1645" t="str">
        <f t="shared" si="25"/>
        <v>173Total Trades</v>
      </c>
      <c r="B1645">
        <v>173</v>
      </c>
      <c r="C1645" s="9" t="s">
        <v>28</v>
      </c>
      <c r="D1645" s="8">
        <v>1285</v>
      </c>
    </row>
    <row r="1646" spans="1:4" x14ac:dyDescent="0.35">
      <c r="A1646" t="str">
        <f t="shared" si="25"/>
        <v>173Average Win</v>
      </c>
      <c r="B1646">
        <v>173</v>
      </c>
      <c r="C1646" s="9" t="s">
        <v>25</v>
      </c>
      <c r="D1646" s="8">
        <v>8.5000000000000006E-3</v>
      </c>
    </row>
    <row r="1647" spans="1:4" x14ac:dyDescent="0.35">
      <c r="A1647" t="str">
        <f t="shared" si="25"/>
        <v>173Average Loss</v>
      </c>
      <c r="B1647">
        <v>173</v>
      </c>
      <c r="C1647" s="9" t="s">
        <v>29</v>
      </c>
      <c r="D1647" s="8">
        <v>-9.2999999999999992E-3</v>
      </c>
    </row>
    <row r="1648" spans="1:4" x14ac:dyDescent="0.35">
      <c r="A1648" t="str">
        <f t="shared" si="25"/>
        <v>173Compounding Annual Return</v>
      </c>
      <c r="B1648">
        <v>173</v>
      </c>
      <c r="C1648" s="9" t="s">
        <v>30</v>
      </c>
      <c r="D1648" s="8">
        <v>-4.3029999999999999E-2</v>
      </c>
    </row>
    <row r="1649" spans="1:4" x14ac:dyDescent="0.35">
      <c r="A1649" t="str">
        <f t="shared" si="25"/>
        <v>173Drawdown</v>
      </c>
      <c r="B1649">
        <v>173</v>
      </c>
      <c r="C1649" s="9" t="s">
        <v>8</v>
      </c>
      <c r="D1649" s="8">
        <v>0.10299999999999999</v>
      </c>
    </row>
    <row r="1650" spans="1:4" x14ac:dyDescent="0.35">
      <c r="A1650" t="str">
        <f t="shared" si="25"/>
        <v>173Expectancy</v>
      </c>
      <c r="B1650">
        <v>173</v>
      </c>
      <c r="C1650" s="9" t="s">
        <v>31</v>
      </c>
      <c r="D1650" s="8">
        <v>-8.8999999999999996E-2</v>
      </c>
    </row>
    <row r="1651" spans="1:4" x14ac:dyDescent="0.35">
      <c r="A1651" t="str">
        <f t="shared" si="25"/>
        <v>173Net Profit</v>
      </c>
      <c r="B1651">
        <v>173</v>
      </c>
      <c r="C1651" s="9" t="s">
        <v>32</v>
      </c>
      <c r="D1651" s="8">
        <v>-2.8029999999999999E-2</v>
      </c>
    </row>
    <row r="1652" spans="1:4" x14ac:dyDescent="0.35">
      <c r="A1652" t="str">
        <f t="shared" si="25"/>
        <v>173Loss Rate</v>
      </c>
      <c r="B1652">
        <v>173</v>
      </c>
      <c r="C1652" s="9" t="s">
        <v>33</v>
      </c>
      <c r="D1652" s="8">
        <v>0.52</v>
      </c>
    </row>
    <row r="1653" spans="1:4" x14ac:dyDescent="0.35">
      <c r="A1653" t="str">
        <f t="shared" si="25"/>
        <v>173Win Rate</v>
      </c>
      <c r="B1653">
        <v>173</v>
      </c>
      <c r="C1653" s="9" t="s">
        <v>34</v>
      </c>
      <c r="D1653" s="8">
        <v>0.48</v>
      </c>
    </row>
    <row r="1654" spans="1:4" x14ac:dyDescent="0.35">
      <c r="A1654" t="str">
        <f t="shared" si="25"/>
        <v>173Profit-Loss Ratio</v>
      </c>
      <c r="B1654">
        <v>173</v>
      </c>
      <c r="C1654" s="9" t="s">
        <v>26</v>
      </c>
      <c r="D1654" s="8">
        <v>0.91</v>
      </c>
    </row>
    <row r="1655" spans="1:4" x14ac:dyDescent="0.35">
      <c r="A1655" t="str">
        <f t="shared" si="25"/>
        <v>173Alpha</v>
      </c>
      <c r="B1655">
        <v>173</v>
      </c>
      <c r="C1655" s="9" t="s">
        <v>23</v>
      </c>
      <c r="D1655" s="8">
        <v>0</v>
      </c>
    </row>
    <row r="1656" spans="1:4" x14ac:dyDescent="0.35">
      <c r="A1656" t="str">
        <f t="shared" si="25"/>
        <v>173Beta</v>
      </c>
      <c r="B1656">
        <v>173</v>
      </c>
      <c r="C1656" s="9" t="s">
        <v>24</v>
      </c>
      <c r="D1656" s="8">
        <v>-0.41</v>
      </c>
    </row>
    <row r="1657" spans="1:4" x14ac:dyDescent="0.35">
      <c r="A1657" t="str">
        <f t="shared" si="25"/>
        <v>173Annual Standard Deviation</v>
      </c>
      <c r="B1657">
        <v>173</v>
      </c>
      <c r="C1657" s="9" t="s">
        <v>35</v>
      </c>
      <c r="D1657" s="8">
        <v>9.1999999999999998E-2</v>
      </c>
    </row>
    <row r="1658" spans="1:4" x14ac:dyDescent="0.35">
      <c r="A1658" t="str">
        <f t="shared" si="25"/>
        <v>173Annual Variance</v>
      </c>
      <c r="B1658">
        <v>173</v>
      </c>
      <c r="C1658" s="9" t="s">
        <v>36</v>
      </c>
      <c r="D1658" s="8">
        <v>8.0000000000000002E-3</v>
      </c>
    </row>
    <row r="1659" spans="1:4" x14ac:dyDescent="0.35">
      <c r="A1659" t="str">
        <f t="shared" si="25"/>
        <v>173Information Ratio</v>
      </c>
      <c r="B1659">
        <v>173</v>
      </c>
      <c r="C1659" s="9" t="s">
        <v>37</v>
      </c>
      <c r="D1659" s="8">
        <v>-0.69599999999999995</v>
      </c>
    </row>
    <row r="1660" spans="1:4" x14ac:dyDescent="0.35">
      <c r="A1660" t="str">
        <f t="shared" si="25"/>
        <v>173Tracking Error</v>
      </c>
      <c r="B1660">
        <v>173</v>
      </c>
      <c r="C1660" s="9" t="s">
        <v>38</v>
      </c>
      <c r="D1660" s="8">
        <v>0.129</v>
      </c>
    </row>
    <row r="1661" spans="1:4" x14ac:dyDescent="0.35">
      <c r="A1661" t="str">
        <f t="shared" si="25"/>
        <v>173Treynor Ratio</v>
      </c>
      <c r="B1661">
        <v>173</v>
      </c>
      <c r="C1661" s="9" t="s">
        <v>39</v>
      </c>
      <c r="D1661" s="8">
        <v>6.3E-2</v>
      </c>
    </row>
    <row r="1662" spans="1:4" x14ac:dyDescent="0.35">
      <c r="A1662" t="str">
        <f t="shared" si="25"/>
        <v>173Total Fees</v>
      </c>
      <c r="B1662">
        <v>173</v>
      </c>
      <c r="C1662" s="9" t="s">
        <v>40</v>
      </c>
      <c r="D1662" s="8">
        <v>0</v>
      </c>
    </row>
    <row r="1663" spans="1:4" x14ac:dyDescent="0.35">
      <c r="A1663" t="str">
        <f t="shared" si="25"/>
        <v>173Estimated Strategy Capacity</v>
      </c>
      <c r="B1663">
        <v>173</v>
      </c>
      <c r="C1663" s="9" t="s">
        <v>41</v>
      </c>
      <c r="D1663" s="8">
        <v>7900000</v>
      </c>
    </row>
    <row r="1664" spans="1:4" x14ac:dyDescent="0.35">
      <c r="A1664" t="str">
        <f t="shared" si="25"/>
        <v>172PSR</v>
      </c>
      <c r="B1664">
        <v>172</v>
      </c>
      <c r="C1664" s="9" t="s">
        <v>27</v>
      </c>
      <c r="D1664" s="8">
        <v>0.10909000000000001</v>
      </c>
    </row>
    <row r="1665" spans="1:4" x14ac:dyDescent="0.35">
      <c r="A1665" t="str">
        <f t="shared" si="25"/>
        <v>172Sharpe Ratio</v>
      </c>
      <c r="B1665">
        <v>172</v>
      </c>
      <c r="C1665" s="9" t="s">
        <v>1</v>
      </c>
      <c r="D1665" s="8">
        <v>-0.28199999999999997</v>
      </c>
    </row>
    <row r="1666" spans="1:4" x14ac:dyDescent="0.35">
      <c r="A1666" t="str">
        <f t="shared" si="25"/>
        <v>172Total Trades</v>
      </c>
      <c r="B1666">
        <v>172</v>
      </c>
      <c r="C1666" s="9" t="s">
        <v>28</v>
      </c>
      <c r="D1666" s="8">
        <v>1285</v>
      </c>
    </row>
    <row r="1667" spans="1:4" x14ac:dyDescent="0.35">
      <c r="A1667" t="str">
        <f t="shared" ref="A1667:A1730" si="26">B1667&amp;C1667</f>
        <v>172Average Win</v>
      </c>
      <c r="B1667">
        <v>172</v>
      </c>
      <c r="C1667" s="9" t="s">
        <v>25</v>
      </c>
      <c r="D1667" s="8">
        <v>8.5000000000000006E-3</v>
      </c>
    </row>
    <row r="1668" spans="1:4" x14ac:dyDescent="0.35">
      <c r="A1668" t="str">
        <f t="shared" si="26"/>
        <v>172Average Loss</v>
      </c>
      <c r="B1668">
        <v>172</v>
      </c>
      <c r="C1668" s="9" t="s">
        <v>29</v>
      </c>
      <c r="D1668" s="8">
        <v>-9.2999999999999992E-3</v>
      </c>
    </row>
    <row r="1669" spans="1:4" x14ac:dyDescent="0.35">
      <c r="A1669" t="str">
        <f t="shared" si="26"/>
        <v>172Compounding Annual Return</v>
      </c>
      <c r="B1669">
        <v>172</v>
      </c>
      <c r="C1669" s="9" t="s">
        <v>30</v>
      </c>
      <c r="D1669" s="8">
        <v>-4.3029999999999999E-2</v>
      </c>
    </row>
    <row r="1670" spans="1:4" x14ac:dyDescent="0.35">
      <c r="A1670" t="str">
        <f t="shared" si="26"/>
        <v>172Drawdown</v>
      </c>
      <c r="B1670">
        <v>172</v>
      </c>
      <c r="C1670" s="9" t="s">
        <v>8</v>
      </c>
      <c r="D1670" s="8">
        <v>0.10299999999999999</v>
      </c>
    </row>
    <row r="1671" spans="1:4" x14ac:dyDescent="0.35">
      <c r="A1671" t="str">
        <f t="shared" si="26"/>
        <v>172Expectancy</v>
      </c>
      <c r="B1671">
        <v>172</v>
      </c>
      <c r="C1671" s="9" t="s">
        <v>31</v>
      </c>
      <c r="D1671" s="8">
        <v>-8.8999999999999996E-2</v>
      </c>
    </row>
    <row r="1672" spans="1:4" x14ac:dyDescent="0.35">
      <c r="A1672" t="str">
        <f t="shared" si="26"/>
        <v>172Net Profit</v>
      </c>
      <c r="B1672">
        <v>172</v>
      </c>
      <c r="C1672" s="9" t="s">
        <v>32</v>
      </c>
      <c r="D1672" s="8">
        <v>-2.8029999999999999E-2</v>
      </c>
    </row>
    <row r="1673" spans="1:4" x14ac:dyDescent="0.35">
      <c r="A1673" t="str">
        <f t="shared" si="26"/>
        <v>172Loss Rate</v>
      </c>
      <c r="B1673">
        <v>172</v>
      </c>
      <c r="C1673" s="9" t="s">
        <v>33</v>
      </c>
      <c r="D1673" s="8">
        <v>0.52</v>
      </c>
    </row>
    <row r="1674" spans="1:4" x14ac:dyDescent="0.35">
      <c r="A1674" t="str">
        <f t="shared" si="26"/>
        <v>172Win Rate</v>
      </c>
      <c r="B1674">
        <v>172</v>
      </c>
      <c r="C1674" s="9" t="s">
        <v>34</v>
      </c>
      <c r="D1674" s="8">
        <v>0.48</v>
      </c>
    </row>
    <row r="1675" spans="1:4" x14ac:dyDescent="0.35">
      <c r="A1675" t="str">
        <f t="shared" si="26"/>
        <v>172Profit-Loss Ratio</v>
      </c>
      <c r="B1675">
        <v>172</v>
      </c>
      <c r="C1675" s="9" t="s">
        <v>26</v>
      </c>
      <c r="D1675" s="8">
        <v>0.91</v>
      </c>
    </row>
    <row r="1676" spans="1:4" x14ac:dyDescent="0.35">
      <c r="A1676" t="str">
        <f t="shared" si="26"/>
        <v>172Alpha</v>
      </c>
      <c r="B1676">
        <v>172</v>
      </c>
      <c r="C1676" s="9" t="s">
        <v>23</v>
      </c>
      <c r="D1676" s="8">
        <v>0</v>
      </c>
    </row>
    <row r="1677" spans="1:4" x14ac:dyDescent="0.35">
      <c r="A1677" t="str">
        <f t="shared" si="26"/>
        <v>172Beta</v>
      </c>
      <c r="B1677">
        <v>172</v>
      </c>
      <c r="C1677" s="9" t="s">
        <v>24</v>
      </c>
      <c r="D1677" s="8">
        <v>-0.41</v>
      </c>
    </row>
    <row r="1678" spans="1:4" x14ac:dyDescent="0.35">
      <c r="A1678" t="str">
        <f t="shared" si="26"/>
        <v>172Annual Standard Deviation</v>
      </c>
      <c r="B1678">
        <v>172</v>
      </c>
      <c r="C1678" s="9" t="s">
        <v>35</v>
      </c>
      <c r="D1678" s="8">
        <v>9.1999999999999998E-2</v>
      </c>
    </row>
    <row r="1679" spans="1:4" x14ac:dyDescent="0.35">
      <c r="A1679" t="str">
        <f t="shared" si="26"/>
        <v>172Annual Variance</v>
      </c>
      <c r="B1679">
        <v>172</v>
      </c>
      <c r="C1679" s="9" t="s">
        <v>36</v>
      </c>
      <c r="D1679" s="8">
        <v>8.0000000000000002E-3</v>
      </c>
    </row>
    <row r="1680" spans="1:4" x14ac:dyDescent="0.35">
      <c r="A1680" t="str">
        <f t="shared" si="26"/>
        <v>172Information Ratio</v>
      </c>
      <c r="B1680">
        <v>172</v>
      </c>
      <c r="C1680" s="9" t="s">
        <v>37</v>
      </c>
      <c r="D1680" s="8">
        <v>-0.69599999999999995</v>
      </c>
    </row>
    <row r="1681" spans="1:4" x14ac:dyDescent="0.35">
      <c r="A1681" t="str">
        <f t="shared" si="26"/>
        <v>172Tracking Error</v>
      </c>
      <c r="B1681">
        <v>172</v>
      </c>
      <c r="C1681" s="9" t="s">
        <v>38</v>
      </c>
      <c r="D1681" s="8">
        <v>0.129</v>
      </c>
    </row>
    <row r="1682" spans="1:4" x14ac:dyDescent="0.35">
      <c r="A1682" t="str">
        <f t="shared" si="26"/>
        <v>172Treynor Ratio</v>
      </c>
      <c r="B1682">
        <v>172</v>
      </c>
      <c r="C1682" s="9" t="s">
        <v>39</v>
      </c>
      <c r="D1682" s="8">
        <v>6.3E-2</v>
      </c>
    </row>
    <row r="1683" spans="1:4" x14ac:dyDescent="0.35">
      <c r="A1683" t="str">
        <f t="shared" si="26"/>
        <v>172Total Fees</v>
      </c>
      <c r="B1683">
        <v>172</v>
      </c>
      <c r="C1683" s="9" t="s">
        <v>40</v>
      </c>
      <c r="D1683" s="8">
        <v>0</v>
      </c>
    </row>
    <row r="1684" spans="1:4" x14ac:dyDescent="0.35">
      <c r="A1684" t="str">
        <f t="shared" si="26"/>
        <v>172Estimated Strategy Capacity</v>
      </c>
      <c r="B1684">
        <v>172</v>
      </c>
      <c r="C1684" s="9" t="s">
        <v>41</v>
      </c>
      <c r="D1684" s="8">
        <v>7900000</v>
      </c>
    </row>
    <row r="1685" spans="1:4" x14ac:dyDescent="0.35">
      <c r="A1685" t="str">
        <f t="shared" si="26"/>
        <v>162PSR</v>
      </c>
      <c r="B1685">
        <v>162</v>
      </c>
      <c r="C1685" s="9" t="s">
        <v>27</v>
      </c>
      <c r="D1685" s="8">
        <v>0.15939999999999999</v>
      </c>
    </row>
    <row r="1686" spans="1:4" x14ac:dyDescent="0.35">
      <c r="A1686" t="str">
        <f t="shared" si="26"/>
        <v>162Sharpe Ratio</v>
      </c>
      <c r="B1686">
        <v>162</v>
      </c>
      <c r="C1686" s="9" t="s">
        <v>1</v>
      </c>
      <c r="D1686" s="8">
        <v>-3.3000000000000002E-2</v>
      </c>
    </row>
    <row r="1687" spans="1:4" x14ac:dyDescent="0.35">
      <c r="A1687" t="str">
        <f t="shared" si="26"/>
        <v>162Total Trades</v>
      </c>
      <c r="B1687">
        <v>162</v>
      </c>
      <c r="C1687" s="9" t="s">
        <v>28</v>
      </c>
      <c r="D1687" s="8">
        <v>127</v>
      </c>
    </row>
    <row r="1688" spans="1:4" x14ac:dyDescent="0.35">
      <c r="A1688" t="str">
        <f t="shared" si="26"/>
        <v>162Average Win</v>
      </c>
      <c r="B1688">
        <v>162</v>
      </c>
      <c r="C1688" s="9" t="s">
        <v>25</v>
      </c>
      <c r="D1688" s="8">
        <v>3.6499999999999998E-2</v>
      </c>
    </row>
    <row r="1689" spans="1:4" x14ac:dyDescent="0.35">
      <c r="A1689" t="str">
        <f t="shared" si="26"/>
        <v>162Average Loss</v>
      </c>
      <c r="B1689">
        <v>162</v>
      </c>
      <c r="C1689" s="9" t="s">
        <v>29</v>
      </c>
      <c r="D1689" s="8">
        <v>-0.19650000000000001</v>
      </c>
    </row>
    <row r="1690" spans="1:4" x14ac:dyDescent="0.35">
      <c r="A1690" t="str">
        <f t="shared" si="26"/>
        <v>162Compounding Annual Return</v>
      </c>
      <c r="B1690">
        <v>162</v>
      </c>
      <c r="C1690" s="9" t="s">
        <v>30</v>
      </c>
      <c r="D1690" s="8">
        <v>-0.17645</v>
      </c>
    </row>
    <row r="1691" spans="1:4" x14ac:dyDescent="0.35">
      <c r="A1691" t="str">
        <f t="shared" si="26"/>
        <v>162Drawdown</v>
      </c>
      <c r="B1691">
        <v>162</v>
      </c>
      <c r="C1691" s="9" t="s">
        <v>8</v>
      </c>
      <c r="D1691" s="8">
        <v>0.33800000000000002</v>
      </c>
    </row>
    <row r="1692" spans="1:4" x14ac:dyDescent="0.35">
      <c r="A1692" t="str">
        <f t="shared" si="26"/>
        <v>162Expectancy</v>
      </c>
      <c r="B1692">
        <v>162</v>
      </c>
      <c r="C1692" s="9" t="s">
        <v>31</v>
      </c>
      <c r="D1692" s="8">
        <v>-0.111</v>
      </c>
    </row>
    <row r="1693" spans="1:4" x14ac:dyDescent="0.35">
      <c r="A1693" t="str">
        <f t="shared" si="26"/>
        <v>162Net Profit</v>
      </c>
      <c r="B1693">
        <v>162</v>
      </c>
      <c r="C1693" s="9" t="s">
        <v>32</v>
      </c>
      <c r="D1693" s="8">
        <v>-0.11794</v>
      </c>
    </row>
    <row r="1694" spans="1:4" x14ac:dyDescent="0.35">
      <c r="A1694" t="str">
        <f t="shared" si="26"/>
        <v>162Loss Rate</v>
      </c>
      <c r="B1694">
        <v>162</v>
      </c>
      <c r="C1694" s="9" t="s">
        <v>33</v>
      </c>
      <c r="D1694" s="8">
        <v>0.25</v>
      </c>
    </row>
    <row r="1695" spans="1:4" x14ac:dyDescent="0.35">
      <c r="A1695" t="str">
        <f t="shared" si="26"/>
        <v>162Win Rate</v>
      </c>
      <c r="B1695">
        <v>162</v>
      </c>
      <c r="C1695" s="9" t="s">
        <v>34</v>
      </c>
      <c r="D1695" s="8">
        <v>0.75</v>
      </c>
    </row>
    <row r="1696" spans="1:4" x14ac:dyDescent="0.35">
      <c r="A1696" t="str">
        <f t="shared" si="26"/>
        <v>162Profit-Loss Ratio</v>
      </c>
      <c r="B1696">
        <v>162</v>
      </c>
      <c r="C1696" s="9" t="s">
        <v>26</v>
      </c>
      <c r="D1696" s="8">
        <v>0.19</v>
      </c>
    </row>
    <row r="1697" spans="1:4" x14ac:dyDescent="0.35">
      <c r="A1697" t="str">
        <f t="shared" si="26"/>
        <v>162Alpha</v>
      </c>
      <c r="B1697">
        <v>162</v>
      </c>
      <c r="C1697" s="9" t="s">
        <v>23</v>
      </c>
      <c r="D1697" s="8">
        <v>0.15</v>
      </c>
    </row>
    <row r="1698" spans="1:4" x14ac:dyDescent="0.35">
      <c r="A1698" t="str">
        <f t="shared" si="26"/>
        <v>162Beta</v>
      </c>
      <c r="B1698">
        <v>162</v>
      </c>
      <c r="C1698" s="9" t="s">
        <v>24</v>
      </c>
      <c r="D1698" s="8">
        <v>-2.5979999999999999</v>
      </c>
    </row>
    <row r="1699" spans="1:4" x14ac:dyDescent="0.35">
      <c r="A1699" t="str">
        <f t="shared" si="26"/>
        <v>162Annual Standard Deviation</v>
      </c>
      <c r="B1699">
        <v>162</v>
      </c>
      <c r="C1699" s="9" t="s">
        <v>35</v>
      </c>
      <c r="D1699" s="8">
        <v>0.48</v>
      </c>
    </row>
    <row r="1700" spans="1:4" x14ac:dyDescent="0.35">
      <c r="A1700" t="str">
        <f t="shared" si="26"/>
        <v>162Annual Variance</v>
      </c>
      <c r="B1700">
        <v>162</v>
      </c>
      <c r="C1700" s="9" t="s">
        <v>36</v>
      </c>
      <c r="D1700" s="8">
        <v>0.23</v>
      </c>
    </row>
    <row r="1701" spans="1:4" x14ac:dyDescent="0.35">
      <c r="A1701" t="str">
        <f t="shared" si="26"/>
        <v>162Information Ratio</v>
      </c>
      <c r="B1701">
        <v>162</v>
      </c>
      <c r="C1701" s="9" t="s">
        <v>37</v>
      </c>
      <c r="D1701" s="8">
        <v>-0.157</v>
      </c>
    </row>
    <row r="1702" spans="1:4" x14ac:dyDescent="0.35">
      <c r="A1702" t="str">
        <f t="shared" si="26"/>
        <v>162Tracking Error</v>
      </c>
      <c r="B1702">
        <v>162</v>
      </c>
      <c r="C1702" s="9" t="s">
        <v>38</v>
      </c>
      <c r="D1702" s="8">
        <v>0.50700000000000001</v>
      </c>
    </row>
    <row r="1703" spans="1:4" x14ac:dyDescent="0.35">
      <c r="A1703" t="str">
        <f t="shared" si="26"/>
        <v>162Treynor Ratio</v>
      </c>
      <c r="B1703">
        <v>162</v>
      </c>
      <c r="C1703" s="9" t="s">
        <v>39</v>
      </c>
      <c r="D1703" s="8">
        <v>6.0000000000000001E-3</v>
      </c>
    </row>
    <row r="1704" spans="1:4" x14ac:dyDescent="0.35">
      <c r="A1704" t="str">
        <f t="shared" si="26"/>
        <v>162Total Fees</v>
      </c>
      <c r="B1704">
        <v>162</v>
      </c>
      <c r="C1704" s="9" t="s">
        <v>40</v>
      </c>
      <c r="D1704" s="8">
        <v>0</v>
      </c>
    </row>
    <row r="1705" spans="1:4" x14ac:dyDescent="0.35">
      <c r="A1705" t="str">
        <f t="shared" si="26"/>
        <v>162Estimated Strategy Capacity</v>
      </c>
      <c r="B1705">
        <v>162</v>
      </c>
      <c r="C1705" s="9" t="s">
        <v>41</v>
      </c>
      <c r="D1705" s="8">
        <v>67000000</v>
      </c>
    </row>
    <row r="1706" spans="1:4" x14ac:dyDescent="0.35">
      <c r="A1706" t="str">
        <f t="shared" si="26"/>
        <v>161PSR</v>
      </c>
      <c r="B1706">
        <v>161</v>
      </c>
      <c r="C1706" s="9" t="s">
        <v>27</v>
      </c>
      <c r="D1706" s="8">
        <v>0.11582000000000001</v>
      </c>
    </row>
    <row r="1707" spans="1:4" x14ac:dyDescent="0.35">
      <c r="A1707" t="str">
        <f t="shared" si="26"/>
        <v>161Sharpe Ratio</v>
      </c>
      <c r="B1707">
        <v>161</v>
      </c>
      <c r="C1707" s="9" t="s">
        <v>1</v>
      </c>
      <c r="D1707" s="8">
        <v>-0.222</v>
      </c>
    </row>
    <row r="1708" spans="1:4" x14ac:dyDescent="0.35">
      <c r="A1708" t="str">
        <f t="shared" si="26"/>
        <v>161Total Trades</v>
      </c>
      <c r="B1708">
        <v>161</v>
      </c>
      <c r="C1708" s="9" t="s">
        <v>28</v>
      </c>
      <c r="D1708" s="8">
        <v>127</v>
      </c>
    </row>
    <row r="1709" spans="1:4" x14ac:dyDescent="0.35">
      <c r="A1709" t="str">
        <f t="shared" si="26"/>
        <v>161Average Win</v>
      </c>
      <c r="B1709">
        <v>161</v>
      </c>
      <c r="C1709" s="9" t="s">
        <v>25</v>
      </c>
      <c r="D1709" s="8">
        <v>6.7000000000000002E-3</v>
      </c>
    </row>
    <row r="1710" spans="1:4" x14ac:dyDescent="0.35">
      <c r="A1710" t="str">
        <f t="shared" si="26"/>
        <v>161Average Loss</v>
      </c>
      <c r="B1710">
        <v>161</v>
      </c>
      <c r="C1710" s="9" t="s">
        <v>29</v>
      </c>
      <c r="D1710" s="8">
        <v>-4.0599999999999997E-2</v>
      </c>
    </row>
    <row r="1711" spans="1:4" x14ac:dyDescent="0.35">
      <c r="A1711" t="str">
        <f t="shared" si="26"/>
        <v>161Compounding Annual Return</v>
      </c>
      <c r="B1711">
        <v>161</v>
      </c>
      <c r="C1711" s="9" t="s">
        <v>30</v>
      </c>
      <c r="D1711" s="8">
        <v>-3.6249999999999998E-2</v>
      </c>
    </row>
    <row r="1712" spans="1:4" x14ac:dyDescent="0.35">
      <c r="A1712" t="str">
        <f t="shared" si="26"/>
        <v>161Drawdown</v>
      </c>
      <c r="B1712">
        <v>161</v>
      </c>
      <c r="C1712" s="9" t="s">
        <v>8</v>
      </c>
      <c r="D1712" s="8">
        <v>7.8E-2</v>
      </c>
    </row>
    <row r="1713" spans="1:4" x14ac:dyDescent="0.35">
      <c r="A1713" t="str">
        <f t="shared" si="26"/>
        <v>161Expectancy</v>
      </c>
      <c r="B1713">
        <v>161</v>
      </c>
      <c r="C1713" s="9" t="s">
        <v>31</v>
      </c>
      <c r="D1713" s="8">
        <v>-0.126</v>
      </c>
    </row>
    <row r="1714" spans="1:4" x14ac:dyDescent="0.35">
      <c r="A1714" t="str">
        <f t="shared" si="26"/>
        <v>161Net Profit</v>
      </c>
      <c r="B1714">
        <v>161</v>
      </c>
      <c r="C1714" s="9" t="s">
        <v>32</v>
      </c>
      <c r="D1714" s="8">
        <v>-2.359E-2</v>
      </c>
    </row>
    <row r="1715" spans="1:4" x14ac:dyDescent="0.35">
      <c r="A1715" t="str">
        <f t="shared" si="26"/>
        <v>161Loss Rate</v>
      </c>
      <c r="B1715">
        <v>161</v>
      </c>
      <c r="C1715" s="9" t="s">
        <v>33</v>
      </c>
      <c r="D1715" s="8">
        <v>0.25</v>
      </c>
    </row>
    <row r="1716" spans="1:4" x14ac:dyDescent="0.35">
      <c r="A1716" t="str">
        <f t="shared" si="26"/>
        <v>161Win Rate</v>
      </c>
      <c r="B1716">
        <v>161</v>
      </c>
      <c r="C1716" s="9" t="s">
        <v>34</v>
      </c>
      <c r="D1716" s="8">
        <v>0.75</v>
      </c>
    </row>
    <row r="1717" spans="1:4" x14ac:dyDescent="0.35">
      <c r="A1717" t="str">
        <f t="shared" si="26"/>
        <v>161Profit-Loss Ratio</v>
      </c>
      <c r="B1717">
        <v>161</v>
      </c>
      <c r="C1717" s="9" t="s">
        <v>26</v>
      </c>
      <c r="D1717" s="8">
        <v>0.17</v>
      </c>
    </row>
    <row r="1718" spans="1:4" x14ac:dyDescent="0.35">
      <c r="A1718" t="str">
        <f t="shared" si="26"/>
        <v>161Alpha</v>
      </c>
      <c r="B1718">
        <v>161</v>
      </c>
      <c r="C1718" s="9" t="s">
        <v>23</v>
      </c>
      <c r="D1718" s="8">
        <v>1.0999999999999999E-2</v>
      </c>
    </row>
    <row r="1719" spans="1:4" x14ac:dyDescent="0.35">
      <c r="A1719" t="str">
        <f t="shared" si="26"/>
        <v>161Beta</v>
      </c>
      <c r="B1719">
        <v>161</v>
      </c>
      <c r="C1719" s="9" t="s">
        <v>24</v>
      </c>
      <c r="D1719" s="8">
        <v>-0.496</v>
      </c>
    </row>
    <row r="1720" spans="1:4" x14ac:dyDescent="0.35">
      <c r="A1720" t="str">
        <f t="shared" si="26"/>
        <v>161Annual Standard Deviation</v>
      </c>
      <c r="B1720">
        <v>161</v>
      </c>
      <c r="C1720" s="9" t="s">
        <v>35</v>
      </c>
      <c r="D1720" s="8">
        <v>9.4E-2</v>
      </c>
    </row>
    <row r="1721" spans="1:4" x14ac:dyDescent="0.35">
      <c r="A1721" t="str">
        <f t="shared" si="26"/>
        <v>161Annual Variance</v>
      </c>
      <c r="B1721">
        <v>161</v>
      </c>
      <c r="C1721" s="9" t="s">
        <v>36</v>
      </c>
      <c r="D1721" s="8">
        <v>8.9999999999999993E-3</v>
      </c>
    </row>
    <row r="1722" spans="1:4" x14ac:dyDescent="0.35">
      <c r="A1722" t="str">
        <f t="shared" si="26"/>
        <v>161Information Ratio</v>
      </c>
      <c r="B1722">
        <v>161</v>
      </c>
      <c r="C1722" s="9" t="s">
        <v>37</v>
      </c>
      <c r="D1722" s="8">
        <v>-0.63500000000000001</v>
      </c>
    </row>
    <row r="1723" spans="1:4" x14ac:dyDescent="0.35">
      <c r="A1723" t="str">
        <f t="shared" si="26"/>
        <v>161Tracking Error</v>
      </c>
      <c r="B1723">
        <v>161</v>
      </c>
      <c r="C1723" s="9" t="s">
        <v>38</v>
      </c>
      <c r="D1723" s="8">
        <v>0.13300000000000001</v>
      </c>
    </row>
    <row r="1724" spans="1:4" x14ac:dyDescent="0.35">
      <c r="A1724" t="str">
        <f t="shared" si="26"/>
        <v>161Treynor Ratio</v>
      </c>
      <c r="B1724">
        <v>161</v>
      </c>
      <c r="C1724" s="9" t="s">
        <v>39</v>
      </c>
      <c r="D1724" s="8">
        <v>4.2000000000000003E-2</v>
      </c>
    </row>
    <row r="1725" spans="1:4" x14ac:dyDescent="0.35">
      <c r="A1725" t="str">
        <f t="shared" si="26"/>
        <v>161Total Fees</v>
      </c>
      <c r="B1725">
        <v>161</v>
      </c>
      <c r="C1725" s="9" t="s">
        <v>40</v>
      </c>
      <c r="D1725" s="8">
        <v>0</v>
      </c>
    </row>
    <row r="1726" spans="1:4" x14ac:dyDescent="0.35">
      <c r="A1726" t="str">
        <f t="shared" si="26"/>
        <v>161Estimated Strategy Capacity</v>
      </c>
      <c r="B1726">
        <v>161</v>
      </c>
      <c r="C1726" s="9" t="s">
        <v>41</v>
      </c>
      <c r="D1726" s="8">
        <v>370000000</v>
      </c>
    </row>
    <row r="1727" spans="1:4" x14ac:dyDescent="0.35">
      <c r="A1727" t="str">
        <f t="shared" si="26"/>
        <v>160PSR</v>
      </c>
      <c r="B1727">
        <v>160</v>
      </c>
      <c r="C1727" s="9" t="s">
        <v>27</v>
      </c>
      <c r="D1727" s="8">
        <v>0.1074</v>
      </c>
    </row>
    <row r="1728" spans="1:4" x14ac:dyDescent="0.35">
      <c r="A1728" t="str">
        <f t="shared" si="26"/>
        <v>160Sharpe Ratio</v>
      </c>
      <c r="B1728">
        <v>160</v>
      </c>
      <c r="C1728" s="9" t="s">
        <v>1</v>
      </c>
      <c r="D1728" s="8">
        <v>-0.26400000000000001</v>
      </c>
    </row>
    <row r="1729" spans="1:4" x14ac:dyDescent="0.35">
      <c r="A1729" t="str">
        <f t="shared" si="26"/>
        <v>160Total Trades</v>
      </c>
      <c r="B1729">
        <v>160</v>
      </c>
      <c r="C1729" s="9" t="s">
        <v>28</v>
      </c>
      <c r="D1729" s="8">
        <v>127</v>
      </c>
    </row>
    <row r="1730" spans="1:4" x14ac:dyDescent="0.35">
      <c r="A1730" t="str">
        <f t="shared" si="26"/>
        <v>160Average Win</v>
      </c>
      <c r="B1730">
        <v>160</v>
      </c>
      <c r="C1730" s="9" t="s">
        <v>25</v>
      </c>
      <c r="D1730" s="8">
        <v>6.9999999999999999E-4</v>
      </c>
    </row>
    <row r="1731" spans="1:4" x14ac:dyDescent="0.35">
      <c r="A1731" t="str">
        <f t="shared" ref="A1731:A1794" si="27">B1731&amp;C1731</f>
        <v>160Average Loss</v>
      </c>
      <c r="B1731">
        <v>160</v>
      </c>
      <c r="C1731" s="9" t="s">
        <v>29</v>
      </c>
      <c r="D1731" s="8">
        <v>-4.1000000000000003E-3</v>
      </c>
    </row>
    <row r="1732" spans="1:4" x14ac:dyDescent="0.35">
      <c r="A1732" t="str">
        <f t="shared" si="27"/>
        <v>160Compounding Annual Return</v>
      </c>
      <c r="B1732">
        <v>160</v>
      </c>
      <c r="C1732" s="9" t="s">
        <v>30</v>
      </c>
      <c r="D1732" s="8">
        <v>-3.65E-3</v>
      </c>
    </row>
    <row r="1733" spans="1:4" x14ac:dyDescent="0.35">
      <c r="A1733" t="str">
        <f t="shared" si="27"/>
        <v>160Drawdown</v>
      </c>
      <c r="B1733">
        <v>160</v>
      </c>
      <c r="C1733" s="9" t="s">
        <v>8</v>
      </c>
      <c r="D1733" s="8">
        <v>8.0000000000000002E-3</v>
      </c>
    </row>
    <row r="1734" spans="1:4" x14ac:dyDescent="0.35">
      <c r="A1734" t="str">
        <f t="shared" si="27"/>
        <v>160Expectancy</v>
      </c>
      <c r="B1734">
        <v>160</v>
      </c>
      <c r="C1734" s="9" t="s">
        <v>31</v>
      </c>
      <c r="D1734" s="8">
        <v>-0.129</v>
      </c>
    </row>
    <row r="1735" spans="1:4" x14ac:dyDescent="0.35">
      <c r="A1735" t="str">
        <f t="shared" si="27"/>
        <v>160Net Profit</v>
      </c>
      <c r="B1735">
        <v>160</v>
      </c>
      <c r="C1735" s="9" t="s">
        <v>32</v>
      </c>
      <c r="D1735" s="8">
        <v>-2.3600000000000001E-3</v>
      </c>
    </row>
    <row r="1736" spans="1:4" x14ac:dyDescent="0.35">
      <c r="A1736" t="str">
        <f t="shared" si="27"/>
        <v>160Loss Rate</v>
      </c>
      <c r="B1736">
        <v>160</v>
      </c>
      <c r="C1736" s="9" t="s">
        <v>33</v>
      </c>
      <c r="D1736" s="8">
        <v>0.25</v>
      </c>
    </row>
    <row r="1737" spans="1:4" x14ac:dyDescent="0.35">
      <c r="A1737" t="str">
        <f t="shared" si="27"/>
        <v>160Win Rate</v>
      </c>
      <c r="B1737">
        <v>160</v>
      </c>
      <c r="C1737" s="9" t="s">
        <v>34</v>
      </c>
      <c r="D1737" s="8">
        <v>0.75</v>
      </c>
    </row>
    <row r="1738" spans="1:4" x14ac:dyDescent="0.35">
      <c r="A1738" t="str">
        <f t="shared" si="27"/>
        <v>160Profit-Loss Ratio</v>
      </c>
      <c r="B1738">
        <v>160</v>
      </c>
      <c r="C1738" s="9" t="s">
        <v>26</v>
      </c>
      <c r="D1738" s="8">
        <v>0.16</v>
      </c>
    </row>
    <row r="1739" spans="1:4" x14ac:dyDescent="0.35">
      <c r="A1739" t="str">
        <f t="shared" si="27"/>
        <v>160Alpha</v>
      </c>
      <c r="B1739">
        <v>160</v>
      </c>
      <c r="C1739" s="9" t="s">
        <v>23</v>
      </c>
      <c r="D1739" s="8">
        <v>1E-3</v>
      </c>
    </row>
    <row r="1740" spans="1:4" x14ac:dyDescent="0.35">
      <c r="A1740" t="str">
        <f t="shared" si="27"/>
        <v>160Beta</v>
      </c>
      <c r="B1740">
        <v>160</v>
      </c>
      <c r="C1740" s="9" t="s">
        <v>24</v>
      </c>
      <c r="D1740" s="8">
        <v>-4.9000000000000002E-2</v>
      </c>
    </row>
    <row r="1741" spans="1:4" x14ac:dyDescent="0.35">
      <c r="A1741" t="str">
        <f t="shared" si="27"/>
        <v>160Annual Standard Deviation</v>
      </c>
      <c r="B1741">
        <v>160</v>
      </c>
      <c r="C1741" s="9" t="s">
        <v>35</v>
      </c>
      <c r="D1741" s="8">
        <v>8.9999999999999993E-3</v>
      </c>
    </row>
    <row r="1742" spans="1:4" x14ac:dyDescent="0.35">
      <c r="A1742" t="str">
        <f t="shared" si="27"/>
        <v>160Annual Variance</v>
      </c>
      <c r="B1742">
        <v>160</v>
      </c>
      <c r="C1742" s="9" t="s">
        <v>36</v>
      </c>
      <c r="D1742" s="8">
        <v>0</v>
      </c>
    </row>
    <row r="1743" spans="1:4" x14ac:dyDescent="0.35">
      <c r="A1743" t="str">
        <f t="shared" si="27"/>
        <v>160Information Ratio</v>
      </c>
      <c r="B1743">
        <v>160</v>
      </c>
      <c r="C1743" s="9" t="s">
        <v>37</v>
      </c>
      <c r="D1743" s="8">
        <v>-0.93799999999999994</v>
      </c>
    </row>
    <row r="1744" spans="1:4" x14ac:dyDescent="0.35">
      <c r="A1744" t="str">
        <f t="shared" si="27"/>
        <v>160Tracking Error</v>
      </c>
      <c r="B1744">
        <v>160</v>
      </c>
      <c r="C1744" s="9" t="s">
        <v>38</v>
      </c>
      <c r="D1744" s="8">
        <v>7.0999999999999994E-2</v>
      </c>
    </row>
    <row r="1745" spans="1:4" x14ac:dyDescent="0.35">
      <c r="A1745" t="str">
        <f t="shared" si="27"/>
        <v>160Treynor Ratio</v>
      </c>
      <c r="B1745">
        <v>160</v>
      </c>
      <c r="C1745" s="9" t="s">
        <v>39</v>
      </c>
      <c r="D1745" s="8">
        <v>5.0999999999999997E-2</v>
      </c>
    </row>
    <row r="1746" spans="1:4" x14ac:dyDescent="0.35">
      <c r="A1746" t="str">
        <f t="shared" si="27"/>
        <v>160Total Fees</v>
      </c>
      <c r="B1746">
        <v>160</v>
      </c>
      <c r="C1746" s="9" t="s">
        <v>40</v>
      </c>
      <c r="D1746" s="8">
        <v>0</v>
      </c>
    </row>
    <row r="1747" spans="1:4" x14ac:dyDescent="0.35">
      <c r="A1747" t="str">
        <f t="shared" si="27"/>
        <v>160Estimated Strategy Capacity</v>
      </c>
      <c r="B1747">
        <v>160</v>
      </c>
      <c r="C1747" s="9" t="s">
        <v>41</v>
      </c>
      <c r="D1747" s="8">
        <v>3700000000</v>
      </c>
    </row>
    <row r="1748" spans="1:4" x14ac:dyDescent="0.35">
      <c r="A1748" t="str">
        <f t="shared" si="27"/>
        <v>159PSR</v>
      </c>
      <c r="B1748">
        <v>159</v>
      </c>
      <c r="C1748" s="9" t="s">
        <v>27</v>
      </c>
      <c r="D1748" s="8">
        <v>7.3630000000000001E-2</v>
      </c>
    </row>
    <row r="1749" spans="1:4" x14ac:dyDescent="0.35">
      <c r="A1749" t="str">
        <f t="shared" si="27"/>
        <v>159Sharpe Ratio</v>
      </c>
      <c r="B1749">
        <v>159</v>
      </c>
      <c r="C1749" s="9" t="s">
        <v>1</v>
      </c>
      <c r="D1749" s="8">
        <v>-0.41399999999999998</v>
      </c>
    </row>
    <row r="1750" spans="1:4" x14ac:dyDescent="0.35">
      <c r="A1750" t="str">
        <f t="shared" si="27"/>
        <v>159Total Trades</v>
      </c>
      <c r="B1750">
        <v>159</v>
      </c>
      <c r="C1750" s="9" t="s">
        <v>28</v>
      </c>
      <c r="D1750" s="8">
        <v>162</v>
      </c>
    </row>
    <row r="1751" spans="1:4" x14ac:dyDescent="0.35">
      <c r="A1751" t="str">
        <f t="shared" si="27"/>
        <v>159Average Win</v>
      </c>
      <c r="B1751">
        <v>159</v>
      </c>
      <c r="C1751" s="9" t="s">
        <v>25</v>
      </c>
      <c r="D1751" s="8">
        <v>1.47E-2</v>
      </c>
    </row>
    <row r="1752" spans="1:4" x14ac:dyDescent="0.35">
      <c r="A1752" t="str">
        <f t="shared" si="27"/>
        <v>159Average Loss</v>
      </c>
      <c r="B1752">
        <v>159</v>
      </c>
      <c r="C1752" s="9" t="s">
        <v>29</v>
      </c>
      <c r="D1752" s="8">
        <v>-0.14199999999999999</v>
      </c>
    </row>
    <row r="1753" spans="1:4" x14ac:dyDescent="0.35">
      <c r="A1753" t="str">
        <f t="shared" si="27"/>
        <v>159Compounding Annual Return</v>
      </c>
      <c r="B1753">
        <v>159</v>
      </c>
      <c r="C1753" s="9" t="s">
        <v>30</v>
      </c>
      <c r="D1753" s="8">
        <v>-0.64961999999999998</v>
      </c>
    </row>
    <row r="1754" spans="1:4" x14ac:dyDescent="0.35">
      <c r="A1754" t="str">
        <f t="shared" si="27"/>
        <v>159Drawdown</v>
      </c>
      <c r="B1754">
        <v>159</v>
      </c>
      <c r="C1754" s="9" t="s">
        <v>8</v>
      </c>
      <c r="D1754" s="8">
        <v>0.57099999999999995</v>
      </c>
    </row>
    <row r="1755" spans="1:4" x14ac:dyDescent="0.35">
      <c r="A1755" t="str">
        <f t="shared" si="27"/>
        <v>159Expectancy</v>
      </c>
      <c r="B1755">
        <v>159</v>
      </c>
      <c r="C1755" s="9" t="s">
        <v>31</v>
      </c>
      <c r="D1755" s="8">
        <v>-0.77900000000000003</v>
      </c>
    </row>
    <row r="1756" spans="1:4" x14ac:dyDescent="0.35">
      <c r="A1756" t="str">
        <f t="shared" si="27"/>
        <v>159Net Profit</v>
      </c>
      <c r="B1756">
        <v>159</v>
      </c>
      <c r="C1756" s="9" t="s">
        <v>32</v>
      </c>
      <c r="D1756" s="8">
        <v>-0.49235000000000001</v>
      </c>
    </row>
    <row r="1757" spans="1:4" x14ac:dyDescent="0.35">
      <c r="A1757" t="str">
        <f t="shared" si="27"/>
        <v>159Loss Rate</v>
      </c>
      <c r="B1757">
        <v>159</v>
      </c>
      <c r="C1757" s="9" t="s">
        <v>33</v>
      </c>
      <c r="D1757" s="8">
        <v>0.8</v>
      </c>
    </row>
    <row r="1758" spans="1:4" x14ac:dyDescent="0.35">
      <c r="A1758" t="str">
        <f t="shared" si="27"/>
        <v>159Win Rate</v>
      </c>
      <c r="B1758">
        <v>159</v>
      </c>
      <c r="C1758" s="9" t="s">
        <v>34</v>
      </c>
      <c r="D1758" s="8">
        <v>0.2</v>
      </c>
    </row>
    <row r="1759" spans="1:4" x14ac:dyDescent="0.35">
      <c r="A1759" t="str">
        <f t="shared" si="27"/>
        <v>159Profit-Loss Ratio</v>
      </c>
      <c r="B1759">
        <v>159</v>
      </c>
      <c r="C1759" s="9" t="s">
        <v>26</v>
      </c>
      <c r="D1759" s="8">
        <v>0.1</v>
      </c>
    </row>
    <row r="1760" spans="1:4" x14ac:dyDescent="0.35">
      <c r="A1760" t="str">
        <f t="shared" si="27"/>
        <v>159Alpha</v>
      </c>
      <c r="B1760">
        <v>159</v>
      </c>
      <c r="C1760" s="9" t="s">
        <v>23</v>
      </c>
      <c r="D1760" s="8">
        <v>8.5000000000000006E-2</v>
      </c>
    </row>
    <row r="1761" spans="1:4" x14ac:dyDescent="0.35">
      <c r="A1761" t="str">
        <f t="shared" si="27"/>
        <v>159Beta</v>
      </c>
      <c r="B1761">
        <v>159</v>
      </c>
      <c r="C1761" s="9" t="s">
        <v>24</v>
      </c>
      <c r="D1761" s="8">
        <v>-6.5289999999999999</v>
      </c>
    </row>
    <row r="1762" spans="1:4" x14ac:dyDescent="0.35">
      <c r="A1762" t="str">
        <f t="shared" si="27"/>
        <v>159Annual Standard Deviation</v>
      </c>
      <c r="B1762">
        <v>159</v>
      </c>
      <c r="C1762" s="9" t="s">
        <v>35</v>
      </c>
      <c r="D1762" s="8">
        <v>0.79800000000000004</v>
      </c>
    </row>
    <row r="1763" spans="1:4" x14ac:dyDescent="0.35">
      <c r="A1763" t="str">
        <f t="shared" si="27"/>
        <v>159Annual Variance</v>
      </c>
      <c r="B1763">
        <v>159</v>
      </c>
      <c r="C1763" s="9" t="s">
        <v>36</v>
      </c>
      <c r="D1763" s="8">
        <v>0.63700000000000001</v>
      </c>
    </row>
    <row r="1764" spans="1:4" x14ac:dyDescent="0.35">
      <c r="A1764" t="str">
        <f t="shared" si="27"/>
        <v>159Information Ratio</v>
      </c>
      <c r="B1764">
        <v>159</v>
      </c>
      <c r="C1764" s="9" t="s">
        <v>37</v>
      </c>
      <c r="D1764" s="8">
        <v>-0.47099999999999997</v>
      </c>
    </row>
    <row r="1765" spans="1:4" x14ac:dyDescent="0.35">
      <c r="A1765" t="str">
        <f t="shared" si="27"/>
        <v>159Tracking Error</v>
      </c>
      <c r="B1765">
        <v>159</v>
      </c>
      <c r="C1765" s="9" t="s">
        <v>38</v>
      </c>
      <c r="D1765" s="8">
        <v>0.83699999999999997</v>
      </c>
    </row>
    <row r="1766" spans="1:4" x14ac:dyDescent="0.35">
      <c r="A1766" t="str">
        <f t="shared" si="27"/>
        <v>159Treynor Ratio</v>
      </c>
      <c r="B1766">
        <v>159</v>
      </c>
      <c r="C1766" s="9" t="s">
        <v>39</v>
      </c>
      <c r="D1766" s="8">
        <v>5.0999999999999997E-2</v>
      </c>
    </row>
    <row r="1767" spans="1:4" x14ac:dyDescent="0.35">
      <c r="A1767" t="str">
        <f t="shared" si="27"/>
        <v>159Total Fees</v>
      </c>
      <c r="B1767">
        <v>159</v>
      </c>
      <c r="C1767" s="9" t="s">
        <v>40</v>
      </c>
      <c r="D1767" s="8">
        <v>0</v>
      </c>
    </row>
    <row r="1768" spans="1:4" x14ac:dyDescent="0.35">
      <c r="A1768" t="str">
        <f t="shared" si="27"/>
        <v>159Estimated Strategy Capacity</v>
      </c>
      <c r="B1768">
        <v>159</v>
      </c>
      <c r="C1768" s="9" t="s">
        <v>41</v>
      </c>
      <c r="D1768" s="8">
        <v>6900000</v>
      </c>
    </row>
    <row r="1769" spans="1:4" x14ac:dyDescent="0.35">
      <c r="A1769" t="str">
        <f t="shared" si="27"/>
        <v>158PSR</v>
      </c>
      <c r="B1769">
        <v>158</v>
      </c>
      <c r="C1769" s="9" t="s">
        <v>27</v>
      </c>
      <c r="D1769" s="8">
        <v>3.0179999999999998E-2</v>
      </c>
    </row>
    <row r="1770" spans="1:4" x14ac:dyDescent="0.35">
      <c r="A1770" t="str">
        <f t="shared" si="27"/>
        <v>158Sharpe Ratio</v>
      </c>
      <c r="B1770">
        <v>158</v>
      </c>
      <c r="C1770" s="9" t="s">
        <v>1</v>
      </c>
      <c r="D1770" s="8">
        <v>-0.85799999999999998</v>
      </c>
    </row>
    <row r="1771" spans="1:4" x14ac:dyDescent="0.35">
      <c r="A1771" t="str">
        <f t="shared" si="27"/>
        <v>158Total Trades</v>
      </c>
      <c r="B1771">
        <v>158</v>
      </c>
      <c r="C1771" s="9" t="s">
        <v>28</v>
      </c>
      <c r="D1771" s="8">
        <v>164</v>
      </c>
    </row>
    <row r="1772" spans="1:4" x14ac:dyDescent="0.35">
      <c r="A1772" t="str">
        <f t="shared" si="27"/>
        <v>158Average Win</v>
      </c>
      <c r="B1772">
        <v>158</v>
      </c>
      <c r="C1772" s="9" t="s">
        <v>25</v>
      </c>
      <c r="D1772" s="8">
        <v>2.5999999999999999E-3</v>
      </c>
    </row>
    <row r="1773" spans="1:4" x14ac:dyDescent="0.35">
      <c r="A1773" t="str">
        <f t="shared" si="27"/>
        <v>158Average Loss</v>
      </c>
      <c r="B1773">
        <v>158</v>
      </c>
      <c r="C1773" s="9" t="s">
        <v>29</v>
      </c>
      <c r="D1773" s="8">
        <v>-2.46E-2</v>
      </c>
    </row>
    <row r="1774" spans="1:4" x14ac:dyDescent="0.35">
      <c r="A1774" t="str">
        <f t="shared" si="27"/>
        <v>158Compounding Annual Return</v>
      </c>
      <c r="B1774">
        <v>158</v>
      </c>
      <c r="C1774" s="9" t="s">
        <v>30</v>
      </c>
      <c r="D1774" s="8">
        <v>-0.15165999999999999</v>
      </c>
    </row>
    <row r="1775" spans="1:4" x14ac:dyDescent="0.35">
      <c r="A1775" t="str">
        <f t="shared" si="27"/>
        <v>158Drawdown</v>
      </c>
      <c r="B1775">
        <v>158</v>
      </c>
      <c r="C1775" s="9" t="s">
        <v>8</v>
      </c>
      <c r="D1775" s="8">
        <v>0.12</v>
      </c>
    </row>
    <row r="1776" spans="1:4" x14ac:dyDescent="0.35">
      <c r="A1776" t="str">
        <f t="shared" si="27"/>
        <v>158Expectancy</v>
      </c>
      <c r="B1776">
        <v>158</v>
      </c>
      <c r="C1776" s="9" t="s">
        <v>31</v>
      </c>
      <c r="D1776" s="8">
        <v>-0.77900000000000003</v>
      </c>
    </row>
    <row r="1777" spans="1:4" x14ac:dyDescent="0.35">
      <c r="A1777" t="str">
        <f t="shared" si="27"/>
        <v>158Net Profit</v>
      </c>
      <c r="B1777">
        <v>158</v>
      </c>
      <c r="C1777" s="9" t="s">
        <v>32</v>
      </c>
      <c r="D1777" s="8">
        <v>-0.10087</v>
      </c>
    </row>
    <row r="1778" spans="1:4" x14ac:dyDescent="0.35">
      <c r="A1778" t="str">
        <f t="shared" si="27"/>
        <v>158Loss Rate</v>
      </c>
      <c r="B1778">
        <v>158</v>
      </c>
      <c r="C1778" s="9" t="s">
        <v>33</v>
      </c>
      <c r="D1778" s="8">
        <v>0.8</v>
      </c>
    </row>
    <row r="1779" spans="1:4" x14ac:dyDescent="0.35">
      <c r="A1779" t="str">
        <f t="shared" si="27"/>
        <v>158Win Rate</v>
      </c>
      <c r="B1779">
        <v>158</v>
      </c>
      <c r="C1779" s="9" t="s">
        <v>34</v>
      </c>
      <c r="D1779" s="8">
        <v>0.2</v>
      </c>
    </row>
    <row r="1780" spans="1:4" x14ac:dyDescent="0.35">
      <c r="A1780" t="str">
        <f t="shared" si="27"/>
        <v>158Profit-Loss Ratio</v>
      </c>
      <c r="B1780">
        <v>158</v>
      </c>
      <c r="C1780" s="9" t="s">
        <v>26</v>
      </c>
      <c r="D1780" s="8">
        <v>0.11</v>
      </c>
    </row>
    <row r="1781" spans="1:4" x14ac:dyDescent="0.35">
      <c r="A1781" t="str">
        <f t="shared" si="27"/>
        <v>158Alpha</v>
      </c>
      <c r="B1781">
        <v>158</v>
      </c>
      <c r="C1781" s="9" t="s">
        <v>23</v>
      </c>
      <c r="D1781" s="8">
        <v>-4.1000000000000002E-2</v>
      </c>
    </row>
    <row r="1782" spans="1:4" x14ac:dyDescent="0.35">
      <c r="A1782" t="str">
        <f t="shared" si="27"/>
        <v>158Beta</v>
      </c>
      <c r="B1782">
        <v>158</v>
      </c>
      <c r="C1782" s="9" t="s">
        <v>24</v>
      </c>
      <c r="D1782" s="8">
        <v>-0.94399999999999995</v>
      </c>
    </row>
    <row r="1783" spans="1:4" x14ac:dyDescent="0.35">
      <c r="A1783" t="str">
        <f t="shared" si="27"/>
        <v>158Annual Standard Deviation</v>
      </c>
      <c r="B1783">
        <v>158</v>
      </c>
      <c r="C1783" s="9" t="s">
        <v>35</v>
      </c>
      <c r="D1783" s="8">
        <v>0.11799999999999999</v>
      </c>
    </row>
    <row r="1784" spans="1:4" x14ac:dyDescent="0.35">
      <c r="A1784" t="str">
        <f t="shared" si="27"/>
        <v>158Annual Variance</v>
      </c>
      <c r="B1784">
        <v>158</v>
      </c>
      <c r="C1784" s="9" t="s">
        <v>36</v>
      </c>
      <c r="D1784" s="8">
        <v>1.4E-2</v>
      </c>
    </row>
    <row r="1785" spans="1:4" x14ac:dyDescent="0.35">
      <c r="A1785" t="str">
        <f t="shared" si="27"/>
        <v>158Information Ratio</v>
      </c>
      <c r="B1785">
        <v>158</v>
      </c>
      <c r="C1785" s="9" t="s">
        <v>37</v>
      </c>
      <c r="D1785" s="8">
        <v>-1.008</v>
      </c>
    </row>
    <row r="1786" spans="1:4" x14ac:dyDescent="0.35">
      <c r="A1786" t="str">
        <f t="shared" si="27"/>
        <v>158Tracking Error</v>
      </c>
      <c r="B1786">
        <v>158</v>
      </c>
      <c r="C1786" s="9" t="s">
        <v>38</v>
      </c>
      <c r="D1786" s="8">
        <v>0.16400000000000001</v>
      </c>
    </row>
    <row r="1787" spans="1:4" x14ac:dyDescent="0.35">
      <c r="A1787" t="str">
        <f t="shared" si="27"/>
        <v>158Treynor Ratio</v>
      </c>
      <c r="B1787">
        <v>158</v>
      </c>
      <c r="C1787" s="9" t="s">
        <v>39</v>
      </c>
      <c r="D1787" s="8">
        <v>0.107</v>
      </c>
    </row>
    <row r="1788" spans="1:4" x14ac:dyDescent="0.35">
      <c r="A1788" t="str">
        <f t="shared" si="27"/>
        <v>158Total Fees</v>
      </c>
      <c r="B1788">
        <v>158</v>
      </c>
      <c r="C1788" s="9" t="s">
        <v>40</v>
      </c>
      <c r="D1788" s="8">
        <v>0</v>
      </c>
    </row>
    <row r="1789" spans="1:4" x14ac:dyDescent="0.35">
      <c r="A1789" t="str">
        <f t="shared" si="27"/>
        <v>158Estimated Strategy Capacity</v>
      </c>
      <c r="B1789">
        <v>158</v>
      </c>
      <c r="C1789" s="9" t="s">
        <v>41</v>
      </c>
      <c r="D1789" s="8">
        <v>50000000</v>
      </c>
    </row>
    <row r="1790" spans="1:4" x14ac:dyDescent="0.35">
      <c r="A1790" t="str">
        <f t="shared" si="27"/>
        <v>157PSR</v>
      </c>
      <c r="B1790">
        <v>157</v>
      </c>
      <c r="C1790" s="9" t="s">
        <v>27</v>
      </c>
      <c r="D1790" s="8">
        <v>2.5930000000000002E-2</v>
      </c>
    </row>
    <row r="1791" spans="1:4" x14ac:dyDescent="0.35">
      <c r="A1791" t="str">
        <f t="shared" si="27"/>
        <v>157Sharpe Ratio</v>
      </c>
      <c r="B1791">
        <v>157</v>
      </c>
      <c r="C1791" s="9" t="s">
        <v>1</v>
      </c>
      <c r="D1791" s="8">
        <v>-0.95599999999999996</v>
      </c>
    </row>
    <row r="1792" spans="1:4" x14ac:dyDescent="0.35">
      <c r="A1792" t="str">
        <f t="shared" si="27"/>
        <v>157Total Trades</v>
      </c>
      <c r="B1792">
        <v>157</v>
      </c>
      <c r="C1792" s="9" t="s">
        <v>28</v>
      </c>
      <c r="D1792" s="8">
        <v>164</v>
      </c>
    </row>
    <row r="1793" spans="1:4" x14ac:dyDescent="0.35">
      <c r="A1793" t="str">
        <f t="shared" si="27"/>
        <v>157Average Win</v>
      </c>
      <c r="B1793">
        <v>157</v>
      </c>
      <c r="C1793" s="9" t="s">
        <v>25</v>
      </c>
      <c r="D1793" s="8">
        <v>2.9999999999999997E-4</v>
      </c>
    </row>
    <row r="1794" spans="1:4" x14ac:dyDescent="0.35">
      <c r="A1794" t="str">
        <f t="shared" si="27"/>
        <v>157Average Loss</v>
      </c>
      <c r="B1794">
        <v>157</v>
      </c>
      <c r="C1794" s="9" t="s">
        <v>29</v>
      </c>
      <c r="D1794" s="8">
        <v>-2.3999999999999998E-3</v>
      </c>
    </row>
    <row r="1795" spans="1:4" x14ac:dyDescent="0.35">
      <c r="A1795" t="str">
        <f t="shared" ref="A1795:A1858" si="28">B1795&amp;C1795</f>
        <v>157Compounding Annual Return</v>
      </c>
      <c r="B1795">
        <v>157</v>
      </c>
      <c r="C1795" s="9" t="s">
        <v>30</v>
      </c>
      <c r="D1795" s="8">
        <v>-1.5559999999999999E-2</v>
      </c>
    </row>
    <row r="1796" spans="1:4" x14ac:dyDescent="0.35">
      <c r="A1796" t="str">
        <f t="shared" si="28"/>
        <v>157Drawdown</v>
      </c>
      <c r="B1796">
        <v>157</v>
      </c>
      <c r="C1796" s="9" t="s">
        <v>8</v>
      </c>
      <c r="D1796" s="8">
        <v>1.2E-2</v>
      </c>
    </row>
    <row r="1797" spans="1:4" x14ac:dyDescent="0.35">
      <c r="A1797" t="str">
        <f t="shared" si="28"/>
        <v>157Expectancy</v>
      </c>
      <c r="B1797">
        <v>157</v>
      </c>
      <c r="C1797" s="9" t="s">
        <v>31</v>
      </c>
      <c r="D1797" s="8">
        <v>-0.77900000000000003</v>
      </c>
    </row>
    <row r="1798" spans="1:4" x14ac:dyDescent="0.35">
      <c r="A1798" t="str">
        <f t="shared" si="28"/>
        <v>157Net Profit</v>
      </c>
      <c r="B1798">
        <v>157</v>
      </c>
      <c r="C1798" s="9" t="s">
        <v>32</v>
      </c>
      <c r="D1798" s="8">
        <v>-1.009E-2</v>
      </c>
    </row>
    <row r="1799" spans="1:4" x14ac:dyDescent="0.35">
      <c r="A1799" t="str">
        <f t="shared" si="28"/>
        <v>157Loss Rate</v>
      </c>
      <c r="B1799">
        <v>157</v>
      </c>
      <c r="C1799" s="9" t="s">
        <v>33</v>
      </c>
      <c r="D1799" s="8">
        <v>0.8</v>
      </c>
    </row>
    <row r="1800" spans="1:4" x14ac:dyDescent="0.35">
      <c r="A1800" t="str">
        <f t="shared" si="28"/>
        <v>157Win Rate</v>
      </c>
      <c r="B1800">
        <v>157</v>
      </c>
      <c r="C1800" s="9" t="s">
        <v>34</v>
      </c>
      <c r="D1800" s="8">
        <v>0.2</v>
      </c>
    </row>
    <row r="1801" spans="1:4" x14ac:dyDescent="0.35">
      <c r="A1801" t="str">
        <f t="shared" si="28"/>
        <v>157Profit-Loss Ratio</v>
      </c>
      <c r="B1801">
        <v>157</v>
      </c>
      <c r="C1801" s="9" t="s">
        <v>26</v>
      </c>
      <c r="D1801" s="8">
        <v>0.11</v>
      </c>
    </row>
    <row r="1802" spans="1:4" x14ac:dyDescent="0.35">
      <c r="A1802" t="str">
        <f t="shared" si="28"/>
        <v>157Alpha</v>
      </c>
      <c r="B1802">
        <v>157</v>
      </c>
      <c r="C1802" s="9" t="s">
        <v>23</v>
      </c>
      <c r="D1802" s="8">
        <v>-5.0000000000000001E-3</v>
      </c>
    </row>
    <row r="1803" spans="1:4" x14ac:dyDescent="0.35">
      <c r="A1803" t="str">
        <f t="shared" si="28"/>
        <v>157Beta</v>
      </c>
      <c r="B1803">
        <v>157</v>
      </c>
      <c r="C1803" s="9" t="s">
        <v>24</v>
      </c>
      <c r="D1803" s="8">
        <v>-8.8999999999999996E-2</v>
      </c>
    </row>
    <row r="1804" spans="1:4" x14ac:dyDescent="0.35">
      <c r="A1804" t="str">
        <f t="shared" si="28"/>
        <v>157Annual Standard Deviation</v>
      </c>
      <c r="B1804">
        <v>157</v>
      </c>
      <c r="C1804" s="9" t="s">
        <v>35</v>
      </c>
      <c r="D1804" s="8">
        <v>1.0999999999999999E-2</v>
      </c>
    </row>
    <row r="1805" spans="1:4" x14ac:dyDescent="0.35">
      <c r="A1805" t="str">
        <f t="shared" si="28"/>
        <v>157Annual Variance</v>
      </c>
      <c r="B1805">
        <v>157</v>
      </c>
      <c r="C1805" s="9" t="s">
        <v>36</v>
      </c>
      <c r="D1805" s="8">
        <v>0</v>
      </c>
    </row>
    <row r="1806" spans="1:4" x14ac:dyDescent="0.35">
      <c r="A1806" t="str">
        <f t="shared" si="28"/>
        <v>157Information Ratio</v>
      </c>
      <c r="B1806">
        <v>157</v>
      </c>
      <c r="C1806" s="9" t="s">
        <v>37</v>
      </c>
      <c r="D1806" s="8">
        <v>-1.0149999999999999</v>
      </c>
    </row>
    <row r="1807" spans="1:4" x14ac:dyDescent="0.35">
      <c r="A1807" t="str">
        <f t="shared" si="28"/>
        <v>157Tracking Error</v>
      </c>
      <c r="B1807">
        <v>157</v>
      </c>
      <c r="C1807" s="9" t="s">
        <v>38</v>
      </c>
      <c r="D1807" s="8">
        <v>7.2999999999999995E-2</v>
      </c>
    </row>
    <row r="1808" spans="1:4" x14ac:dyDescent="0.35">
      <c r="A1808" t="str">
        <f t="shared" si="28"/>
        <v>157Treynor Ratio</v>
      </c>
      <c r="B1808">
        <v>157</v>
      </c>
      <c r="C1808" s="9" t="s">
        <v>39</v>
      </c>
      <c r="D1808" s="8">
        <v>0.121</v>
      </c>
    </row>
    <row r="1809" spans="1:4" x14ac:dyDescent="0.35">
      <c r="A1809" t="str">
        <f t="shared" si="28"/>
        <v>157Total Fees</v>
      </c>
      <c r="B1809">
        <v>157</v>
      </c>
      <c r="C1809" s="9" t="s">
        <v>40</v>
      </c>
      <c r="D1809" s="8">
        <v>0</v>
      </c>
    </row>
    <row r="1810" spans="1:4" x14ac:dyDescent="0.35">
      <c r="A1810" t="str">
        <f t="shared" si="28"/>
        <v>157Estimated Strategy Capacity</v>
      </c>
      <c r="B1810">
        <v>157</v>
      </c>
      <c r="C1810" s="9" t="s">
        <v>41</v>
      </c>
      <c r="D1810" s="8">
        <v>540000000</v>
      </c>
    </row>
    <row r="1811" spans="1:4" x14ac:dyDescent="0.35">
      <c r="A1811" t="str">
        <f t="shared" si="28"/>
        <v>156PSR</v>
      </c>
      <c r="B1811">
        <v>156</v>
      </c>
      <c r="C1811" s="9" t="s">
        <v>27</v>
      </c>
      <c r="D1811" s="8">
        <v>0.35598999999999997</v>
      </c>
    </row>
    <row r="1812" spans="1:4" x14ac:dyDescent="0.35">
      <c r="A1812" t="str">
        <f t="shared" si="28"/>
        <v>156Sharpe Ratio</v>
      </c>
      <c r="B1812">
        <v>156</v>
      </c>
      <c r="C1812" s="9" t="s">
        <v>1</v>
      </c>
      <c r="D1812" s="8">
        <v>0.68</v>
      </c>
    </row>
    <row r="1813" spans="1:4" x14ac:dyDescent="0.35">
      <c r="A1813" t="str">
        <f t="shared" si="28"/>
        <v>156Total Trades</v>
      </c>
      <c r="B1813">
        <v>156</v>
      </c>
      <c r="C1813" s="9" t="s">
        <v>28</v>
      </c>
      <c r="D1813" s="8">
        <v>285</v>
      </c>
    </row>
    <row r="1814" spans="1:4" x14ac:dyDescent="0.35">
      <c r="A1814" t="str">
        <f t="shared" si="28"/>
        <v>156Average Win</v>
      </c>
      <c r="B1814">
        <v>156</v>
      </c>
      <c r="C1814" s="9" t="s">
        <v>25</v>
      </c>
      <c r="D1814" s="8">
        <v>9.1800000000000007E-2</v>
      </c>
    </row>
    <row r="1815" spans="1:4" x14ac:dyDescent="0.35">
      <c r="A1815" t="str">
        <f t="shared" si="28"/>
        <v>156Average Loss</v>
      </c>
      <c r="B1815">
        <v>156</v>
      </c>
      <c r="C1815" s="9" t="s">
        <v>29</v>
      </c>
      <c r="D1815" s="8">
        <v>-0.1095</v>
      </c>
    </row>
    <row r="1816" spans="1:4" x14ac:dyDescent="0.35">
      <c r="A1816" t="str">
        <f t="shared" si="28"/>
        <v>156Compounding Annual Return</v>
      </c>
      <c r="B1816">
        <v>156</v>
      </c>
      <c r="C1816" s="9" t="s">
        <v>30</v>
      </c>
      <c r="D1816" s="8">
        <v>0.25733</v>
      </c>
    </row>
    <row r="1817" spans="1:4" x14ac:dyDescent="0.35">
      <c r="A1817" t="str">
        <f t="shared" si="28"/>
        <v>156Drawdown</v>
      </c>
      <c r="B1817">
        <v>156</v>
      </c>
      <c r="C1817" s="9" t="s">
        <v>8</v>
      </c>
      <c r="D1817" s="8">
        <v>0.312</v>
      </c>
    </row>
    <row r="1818" spans="1:4" x14ac:dyDescent="0.35">
      <c r="A1818" t="str">
        <f t="shared" si="28"/>
        <v>156Expectancy</v>
      </c>
      <c r="B1818">
        <v>156</v>
      </c>
      <c r="C1818" s="9" t="s">
        <v>31</v>
      </c>
      <c r="D1818" s="8">
        <v>0.22600000000000001</v>
      </c>
    </row>
    <row r="1819" spans="1:4" x14ac:dyDescent="0.35">
      <c r="A1819" t="str">
        <f t="shared" si="28"/>
        <v>156Net Profit</v>
      </c>
      <c r="B1819">
        <v>156</v>
      </c>
      <c r="C1819" s="9" t="s">
        <v>32</v>
      </c>
      <c r="D1819" s="8">
        <v>0.15955</v>
      </c>
    </row>
    <row r="1820" spans="1:4" x14ac:dyDescent="0.35">
      <c r="A1820" t="str">
        <f t="shared" si="28"/>
        <v>156Loss Rate</v>
      </c>
      <c r="B1820">
        <v>156</v>
      </c>
      <c r="C1820" s="9" t="s">
        <v>33</v>
      </c>
      <c r="D1820" s="8">
        <v>0.33</v>
      </c>
    </row>
    <row r="1821" spans="1:4" x14ac:dyDescent="0.35">
      <c r="A1821" t="str">
        <f t="shared" si="28"/>
        <v>156Win Rate</v>
      </c>
      <c r="B1821">
        <v>156</v>
      </c>
      <c r="C1821" s="9" t="s">
        <v>34</v>
      </c>
      <c r="D1821" s="8">
        <v>0.67</v>
      </c>
    </row>
    <row r="1822" spans="1:4" x14ac:dyDescent="0.35">
      <c r="A1822" t="str">
        <f t="shared" si="28"/>
        <v>156Profit-Loss Ratio</v>
      </c>
      <c r="B1822">
        <v>156</v>
      </c>
      <c r="C1822" s="9" t="s">
        <v>26</v>
      </c>
      <c r="D1822" s="8">
        <v>0.84</v>
      </c>
    </row>
    <row r="1823" spans="1:4" x14ac:dyDescent="0.35">
      <c r="A1823" t="str">
        <f t="shared" si="28"/>
        <v>156Alpha</v>
      </c>
      <c r="B1823">
        <v>156</v>
      </c>
      <c r="C1823" s="9" t="s">
        <v>23</v>
      </c>
      <c r="D1823" s="8">
        <v>0.35399999999999998</v>
      </c>
    </row>
    <row r="1824" spans="1:4" x14ac:dyDescent="0.35">
      <c r="A1824" t="str">
        <f t="shared" si="28"/>
        <v>156Beta</v>
      </c>
      <c r="B1824">
        <v>156</v>
      </c>
      <c r="C1824" s="9" t="s">
        <v>24</v>
      </c>
      <c r="D1824" s="8">
        <v>-1.0369999999999999</v>
      </c>
    </row>
    <row r="1825" spans="1:4" x14ac:dyDescent="0.35">
      <c r="A1825" t="str">
        <f t="shared" si="28"/>
        <v>156Annual Standard Deviation</v>
      </c>
      <c r="B1825">
        <v>156</v>
      </c>
      <c r="C1825" s="9" t="s">
        <v>35</v>
      </c>
      <c r="D1825" s="8">
        <v>0.42299999999999999</v>
      </c>
    </row>
    <row r="1826" spans="1:4" x14ac:dyDescent="0.35">
      <c r="A1826" t="str">
        <f t="shared" si="28"/>
        <v>156Annual Variance</v>
      </c>
      <c r="B1826">
        <v>156</v>
      </c>
      <c r="C1826" s="9" t="s">
        <v>36</v>
      </c>
      <c r="D1826" s="8">
        <v>0.17899999999999999</v>
      </c>
    </row>
    <row r="1827" spans="1:4" x14ac:dyDescent="0.35">
      <c r="A1827" t="str">
        <f t="shared" si="28"/>
        <v>156Information Ratio</v>
      </c>
      <c r="B1827">
        <v>156</v>
      </c>
      <c r="C1827" s="9" t="s">
        <v>37</v>
      </c>
      <c r="D1827" s="8">
        <v>0.51</v>
      </c>
    </row>
    <row r="1828" spans="1:4" x14ac:dyDescent="0.35">
      <c r="A1828" t="str">
        <f t="shared" si="28"/>
        <v>156Tracking Error</v>
      </c>
      <c r="B1828">
        <v>156</v>
      </c>
      <c r="C1828" s="9" t="s">
        <v>38</v>
      </c>
      <c r="D1828" s="8">
        <v>0.439</v>
      </c>
    </row>
    <row r="1829" spans="1:4" x14ac:dyDescent="0.35">
      <c r="A1829" t="str">
        <f t="shared" si="28"/>
        <v>156Treynor Ratio</v>
      </c>
      <c r="B1829">
        <v>156</v>
      </c>
      <c r="C1829" s="9" t="s">
        <v>39</v>
      </c>
      <c r="D1829" s="8">
        <v>-0.27700000000000002</v>
      </c>
    </row>
    <row r="1830" spans="1:4" x14ac:dyDescent="0.35">
      <c r="A1830" t="str">
        <f t="shared" si="28"/>
        <v>156Total Fees</v>
      </c>
      <c r="B1830">
        <v>156</v>
      </c>
      <c r="C1830" s="9" t="s">
        <v>40</v>
      </c>
      <c r="D1830" s="8">
        <v>0</v>
      </c>
    </row>
    <row r="1831" spans="1:4" x14ac:dyDescent="0.35">
      <c r="A1831" t="str">
        <f t="shared" si="28"/>
        <v>156Estimated Strategy Capacity</v>
      </c>
      <c r="B1831">
        <v>156</v>
      </c>
      <c r="C1831" s="9" t="s">
        <v>41</v>
      </c>
      <c r="D1831" s="8">
        <v>8600000</v>
      </c>
    </row>
    <row r="1832" spans="1:4" x14ac:dyDescent="0.35">
      <c r="A1832" t="str">
        <f t="shared" si="28"/>
        <v>155PSR</v>
      </c>
      <c r="B1832">
        <v>155</v>
      </c>
      <c r="C1832" s="9" t="s">
        <v>27</v>
      </c>
      <c r="D1832" s="8">
        <v>0.30656</v>
      </c>
    </row>
    <row r="1833" spans="1:4" x14ac:dyDescent="0.35">
      <c r="A1833" t="str">
        <f t="shared" si="28"/>
        <v>155Sharpe Ratio</v>
      </c>
      <c r="B1833">
        <v>155</v>
      </c>
      <c r="C1833" s="9" t="s">
        <v>1</v>
      </c>
      <c r="D1833" s="8">
        <v>0.46</v>
      </c>
    </row>
    <row r="1834" spans="1:4" x14ac:dyDescent="0.35">
      <c r="A1834" t="str">
        <f t="shared" si="28"/>
        <v>155Total Trades</v>
      </c>
      <c r="B1834">
        <v>155</v>
      </c>
      <c r="C1834" s="9" t="s">
        <v>28</v>
      </c>
      <c r="D1834" s="8">
        <v>285</v>
      </c>
    </row>
    <row r="1835" spans="1:4" x14ac:dyDescent="0.35">
      <c r="A1835" t="str">
        <f t="shared" si="28"/>
        <v>155Average Win</v>
      </c>
      <c r="B1835">
        <v>155</v>
      </c>
      <c r="C1835" s="9" t="s">
        <v>25</v>
      </c>
      <c r="D1835" s="8">
        <v>1.66E-2</v>
      </c>
    </row>
    <row r="1836" spans="1:4" x14ac:dyDescent="0.35">
      <c r="A1836" t="str">
        <f t="shared" si="28"/>
        <v>155Average Loss</v>
      </c>
      <c r="B1836">
        <v>155</v>
      </c>
      <c r="C1836" s="9" t="s">
        <v>29</v>
      </c>
      <c r="D1836" s="8">
        <v>-2.1000000000000001E-2</v>
      </c>
    </row>
    <row r="1837" spans="1:4" x14ac:dyDescent="0.35">
      <c r="A1837" t="str">
        <f t="shared" si="28"/>
        <v>155Compounding Annual Return</v>
      </c>
      <c r="B1837">
        <v>155</v>
      </c>
      <c r="C1837" s="9" t="s">
        <v>30</v>
      </c>
      <c r="D1837" s="8">
        <v>4.9790000000000001E-2</v>
      </c>
    </row>
    <row r="1838" spans="1:4" x14ac:dyDescent="0.35">
      <c r="A1838" t="str">
        <f t="shared" si="28"/>
        <v>155Drawdown</v>
      </c>
      <c r="B1838">
        <v>155</v>
      </c>
      <c r="C1838" s="9" t="s">
        <v>8</v>
      </c>
      <c r="D1838" s="8">
        <v>6.5000000000000002E-2</v>
      </c>
    </row>
    <row r="1839" spans="1:4" x14ac:dyDescent="0.35">
      <c r="A1839" t="str">
        <f t="shared" si="28"/>
        <v>155Expectancy</v>
      </c>
      <c r="B1839">
        <v>155</v>
      </c>
      <c r="C1839" s="9" t="s">
        <v>31</v>
      </c>
      <c r="D1839" s="8">
        <v>0.19500000000000001</v>
      </c>
    </row>
    <row r="1840" spans="1:4" x14ac:dyDescent="0.35">
      <c r="A1840" t="str">
        <f t="shared" si="28"/>
        <v>155Net Profit</v>
      </c>
      <c r="B1840">
        <v>155</v>
      </c>
      <c r="C1840" s="9" t="s">
        <v>32</v>
      </c>
      <c r="D1840" s="8">
        <v>3.1910000000000001E-2</v>
      </c>
    </row>
    <row r="1841" spans="1:4" x14ac:dyDescent="0.35">
      <c r="A1841" t="str">
        <f t="shared" si="28"/>
        <v>155Loss Rate</v>
      </c>
      <c r="B1841">
        <v>155</v>
      </c>
      <c r="C1841" s="9" t="s">
        <v>33</v>
      </c>
      <c r="D1841" s="8">
        <v>0.33</v>
      </c>
    </row>
    <row r="1842" spans="1:4" x14ac:dyDescent="0.35">
      <c r="A1842" t="str">
        <f t="shared" si="28"/>
        <v>155Win Rate</v>
      </c>
      <c r="B1842">
        <v>155</v>
      </c>
      <c r="C1842" s="9" t="s">
        <v>34</v>
      </c>
      <c r="D1842" s="8">
        <v>0.67</v>
      </c>
    </row>
    <row r="1843" spans="1:4" x14ac:dyDescent="0.35">
      <c r="A1843" t="str">
        <f t="shared" si="28"/>
        <v>155Profit-Loss Ratio</v>
      </c>
      <c r="B1843">
        <v>155</v>
      </c>
      <c r="C1843" s="9" t="s">
        <v>26</v>
      </c>
      <c r="D1843" s="8">
        <v>0.79</v>
      </c>
    </row>
    <row r="1844" spans="1:4" x14ac:dyDescent="0.35">
      <c r="A1844" t="str">
        <f t="shared" si="28"/>
        <v>155Alpha</v>
      </c>
      <c r="B1844">
        <v>155</v>
      </c>
      <c r="C1844" s="9" t="s">
        <v>23</v>
      </c>
      <c r="D1844" s="8">
        <v>0.05</v>
      </c>
    </row>
    <row r="1845" spans="1:4" x14ac:dyDescent="0.35">
      <c r="A1845" t="str">
        <f t="shared" si="28"/>
        <v>155Beta</v>
      </c>
      <c r="B1845">
        <v>155</v>
      </c>
      <c r="C1845" s="9" t="s">
        <v>24</v>
      </c>
      <c r="D1845" s="8">
        <v>-0.19400000000000001</v>
      </c>
    </row>
    <row r="1846" spans="1:4" x14ac:dyDescent="0.35">
      <c r="A1846" t="str">
        <f t="shared" si="28"/>
        <v>155Annual Standard Deviation</v>
      </c>
      <c r="B1846">
        <v>155</v>
      </c>
      <c r="C1846" s="9" t="s">
        <v>35</v>
      </c>
      <c r="D1846" s="8">
        <v>8.2000000000000003E-2</v>
      </c>
    </row>
    <row r="1847" spans="1:4" x14ac:dyDescent="0.35">
      <c r="A1847" t="str">
        <f t="shared" si="28"/>
        <v>155Annual Variance</v>
      </c>
      <c r="B1847">
        <v>155</v>
      </c>
      <c r="C1847" s="9" t="s">
        <v>36</v>
      </c>
      <c r="D1847" s="8">
        <v>7.0000000000000001E-3</v>
      </c>
    </row>
    <row r="1848" spans="1:4" x14ac:dyDescent="0.35">
      <c r="A1848" t="str">
        <f t="shared" si="28"/>
        <v>155Information Ratio</v>
      </c>
      <c r="B1848">
        <v>155</v>
      </c>
      <c r="C1848" s="9" t="s">
        <v>37</v>
      </c>
      <c r="D1848" s="8">
        <v>-0.22800000000000001</v>
      </c>
    </row>
    <row r="1849" spans="1:4" x14ac:dyDescent="0.35">
      <c r="A1849" t="str">
        <f t="shared" si="28"/>
        <v>155Tracking Error</v>
      </c>
      <c r="B1849">
        <v>155</v>
      </c>
      <c r="C1849" s="9" t="s">
        <v>38</v>
      </c>
      <c r="D1849" s="8">
        <v>0.114</v>
      </c>
    </row>
    <row r="1850" spans="1:4" x14ac:dyDescent="0.35">
      <c r="A1850" t="str">
        <f t="shared" si="28"/>
        <v>155Treynor Ratio</v>
      </c>
      <c r="B1850">
        <v>155</v>
      </c>
      <c r="C1850" s="9" t="s">
        <v>39</v>
      </c>
      <c r="D1850" s="8">
        <v>-0.19500000000000001</v>
      </c>
    </row>
    <row r="1851" spans="1:4" x14ac:dyDescent="0.35">
      <c r="A1851" t="str">
        <f t="shared" si="28"/>
        <v>155Total Fees</v>
      </c>
      <c r="B1851">
        <v>155</v>
      </c>
      <c r="C1851" s="9" t="s">
        <v>40</v>
      </c>
      <c r="D1851" s="8">
        <v>0</v>
      </c>
    </row>
    <row r="1852" spans="1:4" x14ac:dyDescent="0.35">
      <c r="A1852" t="str">
        <f t="shared" si="28"/>
        <v>155Estimated Strategy Capacity</v>
      </c>
      <c r="B1852">
        <v>155</v>
      </c>
      <c r="C1852" s="9" t="s">
        <v>41</v>
      </c>
      <c r="D1852" s="8">
        <v>34000000</v>
      </c>
    </row>
    <row r="1853" spans="1:4" x14ac:dyDescent="0.35">
      <c r="A1853" t="str">
        <f t="shared" si="28"/>
        <v>154PSR</v>
      </c>
      <c r="B1853">
        <v>154</v>
      </c>
      <c r="C1853" s="9" t="s">
        <v>27</v>
      </c>
      <c r="D1853" s="8">
        <v>0.2969</v>
      </c>
    </row>
    <row r="1854" spans="1:4" x14ac:dyDescent="0.35">
      <c r="A1854" t="str">
        <f t="shared" si="28"/>
        <v>154Sharpe Ratio</v>
      </c>
      <c r="B1854">
        <v>154</v>
      </c>
      <c r="C1854" s="9" t="s">
        <v>1</v>
      </c>
      <c r="D1854" s="8">
        <v>0.42399999999999999</v>
      </c>
    </row>
    <row r="1855" spans="1:4" x14ac:dyDescent="0.35">
      <c r="A1855" t="str">
        <f t="shared" si="28"/>
        <v>154Total Trades</v>
      </c>
      <c r="B1855">
        <v>154</v>
      </c>
      <c r="C1855" s="9" t="s">
        <v>28</v>
      </c>
      <c r="D1855" s="8">
        <v>285</v>
      </c>
    </row>
    <row r="1856" spans="1:4" x14ac:dyDescent="0.35">
      <c r="A1856" t="str">
        <f t="shared" si="28"/>
        <v>154Average Win</v>
      </c>
      <c r="B1856">
        <v>154</v>
      </c>
      <c r="C1856" s="9" t="s">
        <v>25</v>
      </c>
      <c r="D1856" s="8">
        <v>1.6000000000000001E-3</v>
      </c>
    </row>
    <row r="1857" spans="1:4" x14ac:dyDescent="0.35">
      <c r="A1857" t="str">
        <f t="shared" si="28"/>
        <v>154Average Loss</v>
      </c>
      <c r="B1857">
        <v>154</v>
      </c>
      <c r="C1857" s="9" t="s">
        <v>29</v>
      </c>
      <c r="D1857" s="8">
        <v>-2.0999999999999999E-3</v>
      </c>
    </row>
    <row r="1858" spans="1:4" x14ac:dyDescent="0.35">
      <c r="A1858" t="str">
        <f t="shared" si="28"/>
        <v>154Compounding Annual Return</v>
      </c>
      <c r="B1858">
        <v>154</v>
      </c>
      <c r="C1858" s="9" t="s">
        <v>30</v>
      </c>
      <c r="D1858" s="8">
        <v>4.9399999999999999E-3</v>
      </c>
    </row>
    <row r="1859" spans="1:4" x14ac:dyDescent="0.35">
      <c r="A1859" t="str">
        <f t="shared" ref="A1859:A1922" si="29">B1859&amp;C1859</f>
        <v>154Drawdown</v>
      </c>
      <c r="B1859">
        <v>154</v>
      </c>
      <c r="C1859" s="9" t="s">
        <v>8</v>
      </c>
      <c r="D1859" s="8">
        <v>7.0000000000000001E-3</v>
      </c>
    </row>
    <row r="1860" spans="1:4" x14ac:dyDescent="0.35">
      <c r="A1860" t="str">
        <f t="shared" si="29"/>
        <v>154Expectancy</v>
      </c>
      <c r="B1860">
        <v>154</v>
      </c>
      <c r="C1860" s="9" t="s">
        <v>31</v>
      </c>
      <c r="D1860" s="8">
        <v>0.19</v>
      </c>
    </row>
    <row r="1861" spans="1:4" x14ac:dyDescent="0.35">
      <c r="A1861" t="str">
        <f t="shared" si="29"/>
        <v>154Net Profit</v>
      </c>
      <c r="B1861">
        <v>154</v>
      </c>
      <c r="C1861" s="9" t="s">
        <v>32</v>
      </c>
      <c r="D1861" s="8">
        <v>3.1900000000000001E-3</v>
      </c>
    </row>
    <row r="1862" spans="1:4" x14ac:dyDescent="0.35">
      <c r="A1862" t="str">
        <f t="shared" si="29"/>
        <v>154Loss Rate</v>
      </c>
      <c r="B1862">
        <v>154</v>
      </c>
      <c r="C1862" s="9" t="s">
        <v>33</v>
      </c>
      <c r="D1862" s="8">
        <v>0.33</v>
      </c>
    </row>
    <row r="1863" spans="1:4" x14ac:dyDescent="0.35">
      <c r="A1863" t="str">
        <f t="shared" si="29"/>
        <v>154Win Rate</v>
      </c>
      <c r="B1863">
        <v>154</v>
      </c>
      <c r="C1863" s="9" t="s">
        <v>34</v>
      </c>
      <c r="D1863" s="8">
        <v>0.67</v>
      </c>
    </row>
    <row r="1864" spans="1:4" x14ac:dyDescent="0.35">
      <c r="A1864" t="str">
        <f t="shared" si="29"/>
        <v>154Profit-Loss Ratio</v>
      </c>
      <c r="B1864">
        <v>154</v>
      </c>
      <c r="C1864" s="9" t="s">
        <v>26</v>
      </c>
      <c r="D1864" s="8">
        <v>0.79</v>
      </c>
    </row>
    <row r="1865" spans="1:4" x14ac:dyDescent="0.35">
      <c r="A1865" t="str">
        <f t="shared" si="29"/>
        <v>154Alpha</v>
      </c>
      <c r="B1865">
        <v>154</v>
      </c>
      <c r="C1865" s="9" t="s">
        <v>23</v>
      </c>
      <c r="D1865" s="8">
        <v>5.0000000000000001E-3</v>
      </c>
    </row>
    <row r="1866" spans="1:4" x14ac:dyDescent="0.35">
      <c r="A1866" t="str">
        <f t="shared" si="29"/>
        <v>154Beta</v>
      </c>
      <c r="B1866">
        <v>154</v>
      </c>
      <c r="C1866" s="9" t="s">
        <v>24</v>
      </c>
      <c r="D1866" s="8">
        <v>-1.9E-2</v>
      </c>
    </row>
    <row r="1867" spans="1:4" x14ac:dyDescent="0.35">
      <c r="A1867" t="str">
        <f t="shared" si="29"/>
        <v>154Annual Standard Deviation</v>
      </c>
      <c r="B1867">
        <v>154</v>
      </c>
      <c r="C1867" s="9" t="s">
        <v>35</v>
      </c>
      <c r="D1867" s="8">
        <v>8.0000000000000002E-3</v>
      </c>
    </row>
    <row r="1868" spans="1:4" x14ac:dyDescent="0.35">
      <c r="A1868" t="str">
        <f t="shared" si="29"/>
        <v>154Annual Variance</v>
      </c>
      <c r="B1868">
        <v>154</v>
      </c>
      <c r="C1868" s="9" t="s">
        <v>36</v>
      </c>
      <c r="D1868" s="8">
        <v>0</v>
      </c>
    </row>
    <row r="1869" spans="1:4" x14ac:dyDescent="0.35">
      <c r="A1869" t="str">
        <f t="shared" si="29"/>
        <v>154Information Ratio</v>
      </c>
      <c r="B1869">
        <v>154</v>
      </c>
      <c r="C1869" s="9" t="s">
        <v>37</v>
      </c>
      <c r="D1869" s="8">
        <v>-0.879</v>
      </c>
    </row>
    <row r="1870" spans="1:4" x14ac:dyDescent="0.35">
      <c r="A1870" t="str">
        <f t="shared" si="29"/>
        <v>154Tracking Error</v>
      </c>
      <c r="B1870">
        <v>154</v>
      </c>
      <c r="C1870" s="9" t="s">
        <v>38</v>
      </c>
      <c r="D1870" s="8">
        <v>6.8000000000000005E-2</v>
      </c>
    </row>
    <row r="1871" spans="1:4" x14ac:dyDescent="0.35">
      <c r="A1871" t="str">
        <f t="shared" si="29"/>
        <v>154Treynor Ratio</v>
      </c>
      <c r="B1871">
        <v>154</v>
      </c>
      <c r="C1871" s="9" t="s">
        <v>39</v>
      </c>
      <c r="D1871" s="8">
        <v>-0.18</v>
      </c>
    </row>
    <row r="1872" spans="1:4" x14ac:dyDescent="0.35">
      <c r="A1872" t="str">
        <f t="shared" si="29"/>
        <v>154Total Fees</v>
      </c>
      <c r="B1872">
        <v>154</v>
      </c>
      <c r="C1872" s="9" t="s">
        <v>40</v>
      </c>
      <c r="D1872" s="8">
        <v>0</v>
      </c>
    </row>
    <row r="1873" spans="1:4" x14ac:dyDescent="0.35">
      <c r="A1873" t="str">
        <f t="shared" si="29"/>
        <v>154Estimated Strategy Capacity</v>
      </c>
      <c r="B1873">
        <v>154</v>
      </c>
      <c r="C1873" s="9" t="s">
        <v>41</v>
      </c>
      <c r="D1873" s="8">
        <v>320000000</v>
      </c>
    </row>
    <row r="1874" spans="1:4" x14ac:dyDescent="0.35">
      <c r="A1874" t="str">
        <f t="shared" si="29"/>
        <v>153PSR</v>
      </c>
      <c r="B1874">
        <v>153</v>
      </c>
      <c r="C1874" s="9" t="s">
        <v>27</v>
      </c>
      <c r="D1874" s="8">
        <v>0.36874000000000001</v>
      </c>
    </row>
    <row r="1875" spans="1:4" x14ac:dyDescent="0.35">
      <c r="A1875" t="str">
        <f t="shared" si="29"/>
        <v>153Sharpe Ratio</v>
      </c>
      <c r="B1875">
        <v>153</v>
      </c>
      <c r="C1875" s="9" t="s">
        <v>1</v>
      </c>
      <c r="D1875" s="8">
        <v>0.76200000000000001</v>
      </c>
    </row>
    <row r="1876" spans="1:4" x14ac:dyDescent="0.35">
      <c r="A1876" t="str">
        <f t="shared" si="29"/>
        <v>153Total Trades</v>
      </c>
      <c r="B1876">
        <v>153</v>
      </c>
      <c r="C1876" s="9" t="s">
        <v>28</v>
      </c>
      <c r="D1876" s="8">
        <v>199</v>
      </c>
    </row>
    <row r="1877" spans="1:4" x14ac:dyDescent="0.35">
      <c r="A1877" t="str">
        <f t="shared" si="29"/>
        <v>153Average Win</v>
      </c>
      <c r="B1877">
        <v>153</v>
      </c>
      <c r="C1877" s="9" t="s">
        <v>25</v>
      </c>
      <c r="D1877" s="8">
        <v>0.12470000000000001</v>
      </c>
    </row>
    <row r="1878" spans="1:4" x14ac:dyDescent="0.35">
      <c r="A1878" t="str">
        <f t="shared" si="29"/>
        <v>153Average Loss</v>
      </c>
      <c r="B1878">
        <v>153</v>
      </c>
      <c r="C1878" s="9" t="s">
        <v>29</v>
      </c>
      <c r="D1878" s="8">
        <v>-4.2500000000000003E-2</v>
      </c>
    </row>
    <row r="1879" spans="1:4" x14ac:dyDescent="0.35">
      <c r="A1879" t="str">
        <f t="shared" si="29"/>
        <v>153Compounding Annual Return</v>
      </c>
      <c r="B1879">
        <v>153</v>
      </c>
      <c r="C1879" s="9" t="s">
        <v>30</v>
      </c>
      <c r="D1879" s="8">
        <v>0.32389000000000001</v>
      </c>
    </row>
    <row r="1880" spans="1:4" x14ac:dyDescent="0.35">
      <c r="A1880" t="str">
        <f t="shared" si="29"/>
        <v>153Drawdown</v>
      </c>
      <c r="B1880">
        <v>153</v>
      </c>
      <c r="C1880" s="9" t="s">
        <v>8</v>
      </c>
      <c r="D1880" s="8">
        <v>0.33300000000000002</v>
      </c>
    </row>
    <row r="1881" spans="1:4" x14ac:dyDescent="0.35">
      <c r="A1881" t="str">
        <f t="shared" si="29"/>
        <v>153Expectancy</v>
      </c>
      <c r="B1881">
        <v>153</v>
      </c>
      <c r="C1881" s="9" t="s">
        <v>31</v>
      </c>
      <c r="D1881" s="8">
        <v>0.96799999999999997</v>
      </c>
    </row>
    <row r="1882" spans="1:4" x14ac:dyDescent="0.35">
      <c r="A1882" t="str">
        <f t="shared" si="29"/>
        <v>153Net Profit</v>
      </c>
      <c r="B1882">
        <v>153</v>
      </c>
      <c r="C1882" s="9" t="s">
        <v>32</v>
      </c>
      <c r="D1882" s="8">
        <v>0.19886999999999999</v>
      </c>
    </row>
    <row r="1883" spans="1:4" x14ac:dyDescent="0.35">
      <c r="A1883" t="str">
        <f t="shared" si="29"/>
        <v>153Loss Rate</v>
      </c>
      <c r="B1883">
        <v>153</v>
      </c>
      <c r="C1883" s="9" t="s">
        <v>33</v>
      </c>
      <c r="D1883" s="8">
        <v>0.5</v>
      </c>
    </row>
    <row r="1884" spans="1:4" x14ac:dyDescent="0.35">
      <c r="A1884" t="str">
        <f t="shared" si="29"/>
        <v>153Win Rate</v>
      </c>
      <c r="B1884">
        <v>153</v>
      </c>
      <c r="C1884" s="9" t="s">
        <v>34</v>
      </c>
      <c r="D1884" s="8">
        <v>0.5</v>
      </c>
    </row>
    <row r="1885" spans="1:4" x14ac:dyDescent="0.35">
      <c r="A1885" t="str">
        <f t="shared" si="29"/>
        <v>153Profit-Loss Ratio</v>
      </c>
      <c r="B1885">
        <v>153</v>
      </c>
      <c r="C1885" s="9" t="s">
        <v>26</v>
      </c>
      <c r="D1885" s="8">
        <v>2.94</v>
      </c>
    </row>
    <row r="1886" spans="1:4" x14ac:dyDescent="0.35">
      <c r="A1886" t="str">
        <f t="shared" si="29"/>
        <v>153Alpha</v>
      </c>
      <c r="B1886">
        <v>153</v>
      </c>
      <c r="C1886" s="9" t="s">
        <v>23</v>
      </c>
      <c r="D1886" s="8">
        <v>0.47399999999999998</v>
      </c>
    </row>
    <row r="1887" spans="1:4" x14ac:dyDescent="0.35">
      <c r="A1887" t="str">
        <f t="shared" si="29"/>
        <v>153Beta</v>
      </c>
      <c r="B1887">
        <v>153</v>
      </c>
      <c r="C1887" s="9" t="s">
        <v>24</v>
      </c>
      <c r="D1887" s="8">
        <v>-2.0539999999999998</v>
      </c>
    </row>
    <row r="1888" spans="1:4" x14ac:dyDescent="0.35">
      <c r="A1888" t="str">
        <f t="shared" si="29"/>
        <v>153Annual Standard Deviation</v>
      </c>
      <c r="B1888">
        <v>153</v>
      </c>
      <c r="C1888" s="9" t="s">
        <v>35</v>
      </c>
      <c r="D1888" s="8">
        <v>0.45100000000000001</v>
      </c>
    </row>
    <row r="1889" spans="1:4" x14ac:dyDescent="0.35">
      <c r="A1889" t="str">
        <f t="shared" si="29"/>
        <v>153Annual Variance</v>
      </c>
      <c r="B1889">
        <v>153</v>
      </c>
      <c r="C1889" s="9" t="s">
        <v>36</v>
      </c>
      <c r="D1889" s="8">
        <v>0.20300000000000001</v>
      </c>
    </row>
    <row r="1890" spans="1:4" x14ac:dyDescent="0.35">
      <c r="A1890" t="str">
        <f t="shared" si="29"/>
        <v>153Information Ratio</v>
      </c>
      <c r="B1890">
        <v>153</v>
      </c>
      <c r="C1890" s="9" t="s">
        <v>37</v>
      </c>
      <c r="D1890" s="8">
        <v>0.58899999999999997</v>
      </c>
    </row>
    <row r="1891" spans="1:4" x14ac:dyDescent="0.35">
      <c r="A1891" t="str">
        <f t="shared" si="29"/>
        <v>153Tracking Error</v>
      </c>
      <c r="B1891">
        <v>153</v>
      </c>
      <c r="C1891" s="9" t="s">
        <v>38</v>
      </c>
      <c r="D1891" s="8">
        <v>0.47499999999999998</v>
      </c>
    </row>
    <row r="1892" spans="1:4" x14ac:dyDescent="0.35">
      <c r="A1892" t="str">
        <f t="shared" si="29"/>
        <v>153Treynor Ratio</v>
      </c>
      <c r="B1892">
        <v>153</v>
      </c>
      <c r="C1892" s="9" t="s">
        <v>39</v>
      </c>
      <c r="D1892" s="8">
        <v>-0.16700000000000001</v>
      </c>
    </row>
    <row r="1893" spans="1:4" x14ac:dyDescent="0.35">
      <c r="A1893" t="str">
        <f t="shared" si="29"/>
        <v>153Total Fees</v>
      </c>
      <c r="B1893">
        <v>153</v>
      </c>
      <c r="C1893" s="9" t="s">
        <v>40</v>
      </c>
      <c r="D1893" s="8">
        <v>0</v>
      </c>
    </row>
    <row r="1894" spans="1:4" x14ac:dyDescent="0.35">
      <c r="A1894" t="str">
        <f t="shared" si="29"/>
        <v>153Estimated Strategy Capacity</v>
      </c>
      <c r="B1894">
        <v>153</v>
      </c>
      <c r="C1894" s="9" t="s">
        <v>41</v>
      </c>
      <c r="D1894" s="8">
        <v>3700000</v>
      </c>
    </row>
    <row r="1895" spans="1:4" x14ac:dyDescent="0.35">
      <c r="A1895" t="str">
        <f t="shared" si="29"/>
        <v>152PSR</v>
      </c>
      <c r="B1895">
        <v>152</v>
      </c>
      <c r="C1895" s="9" t="s">
        <v>27</v>
      </c>
      <c r="D1895" s="8">
        <v>0.30834</v>
      </c>
    </row>
    <row r="1896" spans="1:4" x14ac:dyDescent="0.35">
      <c r="A1896" t="str">
        <f t="shared" si="29"/>
        <v>152Sharpe Ratio</v>
      </c>
      <c r="B1896">
        <v>152</v>
      </c>
      <c r="C1896" s="9" t="s">
        <v>1</v>
      </c>
      <c r="D1896" s="8">
        <v>0.495</v>
      </c>
    </row>
    <row r="1897" spans="1:4" x14ac:dyDescent="0.35">
      <c r="A1897" t="str">
        <f t="shared" si="29"/>
        <v>152Total Trades</v>
      </c>
      <c r="B1897">
        <v>152</v>
      </c>
      <c r="C1897" s="9" t="s">
        <v>28</v>
      </c>
      <c r="D1897" s="8">
        <v>199</v>
      </c>
    </row>
    <row r="1898" spans="1:4" x14ac:dyDescent="0.35">
      <c r="A1898" t="str">
        <f t="shared" si="29"/>
        <v>152Average Win</v>
      </c>
      <c r="B1898">
        <v>152</v>
      </c>
      <c r="C1898" s="9" t="s">
        <v>25</v>
      </c>
      <c r="D1898" s="8">
        <v>2.6599999999999999E-2</v>
      </c>
    </row>
    <row r="1899" spans="1:4" x14ac:dyDescent="0.35">
      <c r="A1899" t="str">
        <f t="shared" si="29"/>
        <v>152Average Loss</v>
      </c>
      <c r="B1899">
        <v>152</v>
      </c>
      <c r="C1899" s="9" t="s">
        <v>29</v>
      </c>
      <c r="D1899" s="8">
        <v>-1.04E-2</v>
      </c>
    </row>
    <row r="1900" spans="1:4" x14ac:dyDescent="0.35">
      <c r="A1900" t="str">
        <f t="shared" si="29"/>
        <v>152Compounding Annual Return</v>
      </c>
      <c r="B1900">
        <v>152</v>
      </c>
      <c r="C1900" s="9" t="s">
        <v>30</v>
      </c>
      <c r="D1900" s="8">
        <v>6.2190000000000002E-2</v>
      </c>
    </row>
    <row r="1901" spans="1:4" x14ac:dyDescent="0.35">
      <c r="A1901" t="str">
        <f t="shared" si="29"/>
        <v>152Drawdown</v>
      </c>
      <c r="B1901">
        <v>152</v>
      </c>
      <c r="C1901" s="9" t="s">
        <v>8</v>
      </c>
      <c r="D1901" s="8">
        <v>6.8000000000000005E-2</v>
      </c>
    </row>
    <row r="1902" spans="1:4" x14ac:dyDescent="0.35">
      <c r="A1902" t="str">
        <f t="shared" si="29"/>
        <v>152Expectancy</v>
      </c>
      <c r="B1902">
        <v>152</v>
      </c>
      <c r="C1902" s="9" t="s">
        <v>31</v>
      </c>
      <c r="D1902" s="8">
        <v>0.78200000000000003</v>
      </c>
    </row>
    <row r="1903" spans="1:4" x14ac:dyDescent="0.35">
      <c r="A1903" t="str">
        <f t="shared" si="29"/>
        <v>152Net Profit</v>
      </c>
      <c r="B1903">
        <v>152</v>
      </c>
      <c r="C1903" s="9" t="s">
        <v>32</v>
      </c>
      <c r="D1903" s="8">
        <v>3.977E-2</v>
      </c>
    </row>
    <row r="1904" spans="1:4" x14ac:dyDescent="0.35">
      <c r="A1904" t="str">
        <f t="shared" si="29"/>
        <v>152Loss Rate</v>
      </c>
      <c r="B1904">
        <v>152</v>
      </c>
      <c r="C1904" s="9" t="s">
        <v>33</v>
      </c>
      <c r="D1904" s="8">
        <v>0.5</v>
      </c>
    </row>
    <row r="1905" spans="1:4" x14ac:dyDescent="0.35">
      <c r="A1905" t="str">
        <f t="shared" si="29"/>
        <v>152Win Rate</v>
      </c>
      <c r="B1905">
        <v>152</v>
      </c>
      <c r="C1905" s="9" t="s">
        <v>34</v>
      </c>
      <c r="D1905" s="8">
        <v>0.5</v>
      </c>
    </row>
    <row r="1906" spans="1:4" x14ac:dyDescent="0.35">
      <c r="A1906" t="str">
        <f t="shared" si="29"/>
        <v>152Profit-Loss Ratio</v>
      </c>
      <c r="B1906">
        <v>152</v>
      </c>
      <c r="C1906" s="9" t="s">
        <v>26</v>
      </c>
      <c r="D1906" s="8">
        <v>2.56</v>
      </c>
    </row>
    <row r="1907" spans="1:4" x14ac:dyDescent="0.35">
      <c r="A1907" t="str">
        <f t="shared" si="29"/>
        <v>152Alpha</v>
      </c>
      <c r="B1907">
        <v>152</v>
      </c>
      <c r="C1907" s="9" t="s">
        <v>23</v>
      </c>
      <c r="D1907" s="8">
        <v>7.6999999999999999E-2</v>
      </c>
    </row>
    <row r="1908" spans="1:4" x14ac:dyDescent="0.35">
      <c r="A1908" t="str">
        <f t="shared" si="29"/>
        <v>152Beta</v>
      </c>
      <c r="B1908">
        <v>152</v>
      </c>
      <c r="C1908" s="9" t="s">
        <v>24</v>
      </c>
      <c r="D1908" s="8">
        <v>-0.46300000000000002</v>
      </c>
    </row>
    <row r="1909" spans="1:4" x14ac:dyDescent="0.35">
      <c r="A1909" t="str">
        <f t="shared" si="29"/>
        <v>152Annual Standard Deviation</v>
      </c>
      <c r="B1909">
        <v>152</v>
      </c>
      <c r="C1909" s="9" t="s">
        <v>35</v>
      </c>
      <c r="D1909" s="8">
        <v>9.6000000000000002E-2</v>
      </c>
    </row>
    <row r="1910" spans="1:4" x14ac:dyDescent="0.35">
      <c r="A1910" t="str">
        <f t="shared" si="29"/>
        <v>152Annual Variance</v>
      </c>
      <c r="B1910">
        <v>152</v>
      </c>
      <c r="C1910" s="9" t="s">
        <v>36</v>
      </c>
      <c r="D1910" s="8">
        <v>8.9999999999999993E-3</v>
      </c>
    </row>
    <row r="1911" spans="1:4" x14ac:dyDescent="0.35">
      <c r="A1911" t="str">
        <f t="shared" si="29"/>
        <v>152Information Ratio</v>
      </c>
      <c r="B1911">
        <v>152</v>
      </c>
      <c r="C1911" s="9" t="s">
        <v>37</v>
      </c>
      <c r="D1911" s="8">
        <v>-0.122</v>
      </c>
    </row>
    <row r="1912" spans="1:4" x14ac:dyDescent="0.35">
      <c r="A1912" t="str">
        <f t="shared" si="29"/>
        <v>152Tracking Error</v>
      </c>
      <c r="B1912">
        <v>152</v>
      </c>
      <c r="C1912" s="9" t="s">
        <v>38</v>
      </c>
      <c r="D1912" s="8">
        <v>0.13300000000000001</v>
      </c>
    </row>
    <row r="1913" spans="1:4" x14ac:dyDescent="0.35">
      <c r="A1913" t="str">
        <f t="shared" si="29"/>
        <v>152Treynor Ratio</v>
      </c>
      <c r="B1913">
        <v>152</v>
      </c>
      <c r="C1913" s="9" t="s">
        <v>39</v>
      </c>
      <c r="D1913" s="8">
        <v>-0.10199999999999999</v>
      </c>
    </row>
    <row r="1914" spans="1:4" x14ac:dyDescent="0.35">
      <c r="A1914" t="str">
        <f t="shared" si="29"/>
        <v>152Total Fees</v>
      </c>
      <c r="B1914">
        <v>152</v>
      </c>
      <c r="C1914" s="9" t="s">
        <v>40</v>
      </c>
      <c r="D1914" s="8">
        <v>0</v>
      </c>
    </row>
    <row r="1915" spans="1:4" x14ac:dyDescent="0.35">
      <c r="A1915" t="str">
        <f t="shared" si="29"/>
        <v>152Estimated Strategy Capacity</v>
      </c>
      <c r="B1915">
        <v>152</v>
      </c>
      <c r="C1915" s="9" t="s">
        <v>41</v>
      </c>
      <c r="D1915" s="8">
        <v>13000000</v>
      </c>
    </row>
    <row r="1916" spans="1:4" x14ac:dyDescent="0.35">
      <c r="A1916" t="str">
        <f t="shared" si="29"/>
        <v>151PSR</v>
      </c>
      <c r="B1916">
        <v>151</v>
      </c>
      <c r="C1916" s="9" t="s">
        <v>27</v>
      </c>
      <c r="D1916" s="8">
        <v>0.29361999999999999</v>
      </c>
    </row>
    <row r="1917" spans="1:4" x14ac:dyDescent="0.35">
      <c r="A1917" t="str">
        <f t="shared" si="29"/>
        <v>151Sharpe Ratio</v>
      </c>
      <c r="B1917">
        <v>151</v>
      </c>
      <c r="C1917" s="9" t="s">
        <v>1</v>
      </c>
      <c r="D1917" s="8">
        <v>0.441</v>
      </c>
    </row>
    <row r="1918" spans="1:4" x14ac:dyDescent="0.35">
      <c r="A1918" t="str">
        <f t="shared" si="29"/>
        <v>151Total Trades</v>
      </c>
      <c r="B1918">
        <v>151</v>
      </c>
      <c r="C1918" s="9" t="s">
        <v>28</v>
      </c>
      <c r="D1918" s="8">
        <v>199</v>
      </c>
    </row>
    <row r="1919" spans="1:4" x14ac:dyDescent="0.35">
      <c r="A1919" t="str">
        <f t="shared" si="29"/>
        <v>151Average Win</v>
      </c>
      <c r="B1919">
        <v>151</v>
      </c>
      <c r="C1919" s="9" t="s">
        <v>25</v>
      </c>
      <c r="D1919" s="8">
        <v>2.7000000000000001E-3</v>
      </c>
    </row>
    <row r="1920" spans="1:4" x14ac:dyDescent="0.35">
      <c r="A1920" t="str">
        <f t="shared" si="29"/>
        <v>151Average Loss</v>
      </c>
      <c r="B1920">
        <v>151</v>
      </c>
      <c r="C1920" s="9" t="s">
        <v>29</v>
      </c>
      <c r="D1920" s="8">
        <v>-1.1000000000000001E-3</v>
      </c>
    </row>
    <row r="1921" spans="1:4" x14ac:dyDescent="0.35">
      <c r="A1921" t="str">
        <f t="shared" si="29"/>
        <v>151Compounding Annual Return</v>
      </c>
      <c r="B1921">
        <v>151</v>
      </c>
      <c r="C1921" s="9" t="s">
        <v>30</v>
      </c>
      <c r="D1921" s="8">
        <v>6.1599999999999997E-3</v>
      </c>
    </row>
    <row r="1922" spans="1:4" x14ac:dyDescent="0.35">
      <c r="A1922" t="str">
        <f t="shared" si="29"/>
        <v>151Drawdown</v>
      </c>
      <c r="B1922">
        <v>151</v>
      </c>
      <c r="C1922" s="9" t="s">
        <v>8</v>
      </c>
      <c r="D1922" s="8">
        <v>7.0000000000000001E-3</v>
      </c>
    </row>
    <row r="1923" spans="1:4" x14ac:dyDescent="0.35">
      <c r="A1923" t="str">
        <f t="shared" ref="A1923:A1986" si="30">B1923&amp;C1923</f>
        <v>151Expectancy</v>
      </c>
      <c r="B1923">
        <v>151</v>
      </c>
      <c r="C1923" s="9" t="s">
        <v>31</v>
      </c>
      <c r="D1923" s="8">
        <v>0.73799999999999999</v>
      </c>
    </row>
    <row r="1924" spans="1:4" x14ac:dyDescent="0.35">
      <c r="A1924" t="str">
        <f t="shared" si="30"/>
        <v>151Net Profit</v>
      </c>
      <c r="B1924">
        <v>151</v>
      </c>
      <c r="C1924" s="9" t="s">
        <v>32</v>
      </c>
      <c r="D1924" s="8">
        <v>3.98E-3</v>
      </c>
    </row>
    <row r="1925" spans="1:4" x14ac:dyDescent="0.35">
      <c r="A1925" t="str">
        <f t="shared" si="30"/>
        <v>151Loss Rate</v>
      </c>
      <c r="B1925">
        <v>151</v>
      </c>
      <c r="C1925" s="9" t="s">
        <v>33</v>
      </c>
      <c r="D1925" s="8">
        <v>0.5</v>
      </c>
    </row>
    <row r="1926" spans="1:4" x14ac:dyDescent="0.35">
      <c r="A1926" t="str">
        <f t="shared" si="30"/>
        <v>151Win Rate</v>
      </c>
      <c r="B1926">
        <v>151</v>
      </c>
      <c r="C1926" s="9" t="s">
        <v>34</v>
      </c>
      <c r="D1926" s="8">
        <v>0.5</v>
      </c>
    </row>
    <row r="1927" spans="1:4" x14ac:dyDescent="0.35">
      <c r="A1927" t="str">
        <f t="shared" si="30"/>
        <v>151Profit-Loss Ratio</v>
      </c>
      <c r="B1927">
        <v>151</v>
      </c>
      <c r="C1927" s="9" t="s">
        <v>26</v>
      </c>
      <c r="D1927" s="8">
        <v>2.48</v>
      </c>
    </row>
    <row r="1928" spans="1:4" x14ac:dyDescent="0.35">
      <c r="A1928" t="str">
        <f t="shared" si="30"/>
        <v>151Alpha</v>
      </c>
      <c r="B1928">
        <v>151</v>
      </c>
      <c r="C1928" s="9" t="s">
        <v>23</v>
      </c>
      <c r="D1928" s="8">
        <v>7.0000000000000001E-3</v>
      </c>
    </row>
    <row r="1929" spans="1:4" x14ac:dyDescent="0.35">
      <c r="A1929" t="str">
        <f t="shared" si="30"/>
        <v>151Beta</v>
      </c>
      <c r="B1929">
        <v>151</v>
      </c>
      <c r="C1929" s="9" t="s">
        <v>24</v>
      </c>
      <c r="D1929" s="8">
        <v>-4.8000000000000001E-2</v>
      </c>
    </row>
    <row r="1930" spans="1:4" x14ac:dyDescent="0.35">
      <c r="A1930" t="str">
        <f t="shared" si="30"/>
        <v>151Annual Standard Deviation</v>
      </c>
      <c r="B1930">
        <v>151</v>
      </c>
      <c r="C1930" s="9" t="s">
        <v>35</v>
      </c>
      <c r="D1930" s="8">
        <v>0.01</v>
      </c>
    </row>
    <row r="1931" spans="1:4" x14ac:dyDescent="0.35">
      <c r="A1931" t="str">
        <f t="shared" si="30"/>
        <v>151Annual Variance</v>
      </c>
      <c r="B1931">
        <v>151</v>
      </c>
      <c r="C1931" s="9" t="s">
        <v>36</v>
      </c>
      <c r="D1931" s="8">
        <v>0</v>
      </c>
    </row>
    <row r="1932" spans="1:4" x14ac:dyDescent="0.35">
      <c r="A1932" t="str">
        <f t="shared" si="30"/>
        <v>151Information Ratio</v>
      </c>
      <c r="B1932">
        <v>151</v>
      </c>
      <c r="C1932" s="9" t="s">
        <v>37</v>
      </c>
      <c r="D1932" s="8">
        <v>-0.84199999999999997</v>
      </c>
    </row>
    <row r="1933" spans="1:4" x14ac:dyDescent="0.35">
      <c r="A1933" t="str">
        <f t="shared" si="30"/>
        <v>151Tracking Error</v>
      </c>
      <c r="B1933">
        <v>151</v>
      </c>
      <c r="C1933" s="9" t="s">
        <v>38</v>
      </c>
      <c r="D1933" s="8">
        <v>7.0999999999999994E-2</v>
      </c>
    </row>
    <row r="1934" spans="1:4" x14ac:dyDescent="0.35">
      <c r="A1934" t="str">
        <f t="shared" si="30"/>
        <v>151Treynor Ratio</v>
      </c>
      <c r="B1934">
        <v>151</v>
      </c>
      <c r="C1934" s="9" t="s">
        <v>39</v>
      </c>
      <c r="D1934" s="8">
        <v>-0.09</v>
      </c>
    </row>
    <row r="1935" spans="1:4" x14ac:dyDescent="0.35">
      <c r="A1935" t="str">
        <f t="shared" si="30"/>
        <v>151Total Fees</v>
      </c>
      <c r="B1935">
        <v>151</v>
      </c>
      <c r="C1935" s="9" t="s">
        <v>40</v>
      </c>
      <c r="D1935" s="8">
        <v>0</v>
      </c>
    </row>
    <row r="1936" spans="1:4" x14ac:dyDescent="0.35">
      <c r="A1936" t="str">
        <f t="shared" si="30"/>
        <v>151Estimated Strategy Capacity</v>
      </c>
      <c r="B1936">
        <v>151</v>
      </c>
      <c r="C1936" s="9" t="s">
        <v>41</v>
      </c>
      <c r="D1936" s="8">
        <v>120000000</v>
      </c>
    </row>
    <row r="1937" spans="1:4" x14ac:dyDescent="0.35">
      <c r="A1937" t="str">
        <f t="shared" si="30"/>
        <v>150PSR</v>
      </c>
      <c r="B1937">
        <v>150</v>
      </c>
      <c r="C1937" s="9" t="s">
        <v>27</v>
      </c>
      <c r="D1937" s="8">
        <v>8.0699999999999994E-2</v>
      </c>
    </row>
    <row r="1938" spans="1:4" x14ac:dyDescent="0.35">
      <c r="A1938" t="str">
        <f t="shared" si="30"/>
        <v>150Sharpe Ratio</v>
      </c>
      <c r="B1938">
        <v>150</v>
      </c>
      <c r="C1938" s="9" t="s">
        <v>1</v>
      </c>
      <c r="D1938" s="8">
        <v>-0.32</v>
      </c>
    </row>
    <row r="1939" spans="1:4" x14ac:dyDescent="0.35">
      <c r="A1939" t="str">
        <f t="shared" si="30"/>
        <v>150Total Trades</v>
      </c>
      <c r="B1939">
        <v>150</v>
      </c>
      <c r="C1939" s="9" t="s">
        <v>28</v>
      </c>
      <c r="D1939" s="8">
        <v>267</v>
      </c>
    </row>
    <row r="1940" spans="1:4" x14ac:dyDescent="0.35">
      <c r="A1940" t="str">
        <f t="shared" si="30"/>
        <v>150Average Win</v>
      </c>
      <c r="B1940">
        <v>150</v>
      </c>
      <c r="C1940" s="9" t="s">
        <v>25</v>
      </c>
      <c r="D1940" s="8">
        <v>0.14990000000000001</v>
      </c>
    </row>
    <row r="1941" spans="1:4" x14ac:dyDescent="0.35">
      <c r="A1941" t="str">
        <f t="shared" si="30"/>
        <v>150Average Loss</v>
      </c>
      <c r="B1941">
        <v>150</v>
      </c>
      <c r="C1941" s="9" t="s">
        <v>29</v>
      </c>
      <c r="D1941" s="8">
        <v>-0.1085</v>
      </c>
    </row>
    <row r="1942" spans="1:4" x14ac:dyDescent="0.35">
      <c r="A1942" t="str">
        <f t="shared" si="30"/>
        <v>150Compounding Annual Return</v>
      </c>
      <c r="B1942">
        <v>150</v>
      </c>
      <c r="C1942" s="9" t="s">
        <v>30</v>
      </c>
      <c r="D1942" s="8">
        <v>-0.96850000000000003</v>
      </c>
    </row>
    <row r="1943" spans="1:4" x14ac:dyDescent="0.35">
      <c r="A1943" t="str">
        <f t="shared" si="30"/>
        <v>150Drawdown</v>
      </c>
      <c r="B1943">
        <v>150</v>
      </c>
      <c r="C1943" s="9" t="s">
        <v>8</v>
      </c>
      <c r="D1943" s="8">
        <v>0.94299999999999995</v>
      </c>
    </row>
    <row r="1944" spans="1:4" x14ac:dyDescent="0.35">
      <c r="A1944" t="str">
        <f t="shared" si="30"/>
        <v>150Expectancy</v>
      </c>
      <c r="B1944">
        <v>150</v>
      </c>
      <c r="C1944" s="9" t="s">
        <v>31</v>
      </c>
      <c r="D1944" s="8">
        <v>-0.60299999999999998</v>
      </c>
    </row>
    <row r="1945" spans="1:4" x14ac:dyDescent="0.35">
      <c r="A1945" t="str">
        <f t="shared" si="30"/>
        <v>150Net Profit</v>
      </c>
      <c r="B1945">
        <v>150</v>
      </c>
      <c r="C1945" s="9" t="s">
        <v>32</v>
      </c>
      <c r="D1945" s="8">
        <v>-0.89305000000000001</v>
      </c>
    </row>
    <row r="1946" spans="1:4" x14ac:dyDescent="0.35">
      <c r="A1946" t="str">
        <f t="shared" si="30"/>
        <v>150Loss Rate</v>
      </c>
      <c r="B1946">
        <v>150</v>
      </c>
      <c r="C1946" s="9" t="s">
        <v>33</v>
      </c>
      <c r="D1946" s="8">
        <v>0.83</v>
      </c>
    </row>
    <row r="1947" spans="1:4" x14ac:dyDescent="0.35">
      <c r="A1947" t="str">
        <f t="shared" si="30"/>
        <v>150Win Rate</v>
      </c>
      <c r="B1947">
        <v>150</v>
      </c>
      <c r="C1947" s="9" t="s">
        <v>34</v>
      </c>
      <c r="D1947" s="8">
        <v>0.17</v>
      </c>
    </row>
    <row r="1948" spans="1:4" x14ac:dyDescent="0.35">
      <c r="A1948" t="str">
        <f t="shared" si="30"/>
        <v>150Profit-Loss Ratio</v>
      </c>
      <c r="B1948">
        <v>150</v>
      </c>
      <c r="C1948" s="9" t="s">
        <v>26</v>
      </c>
      <c r="D1948" s="8">
        <v>1.38</v>
      </c>
    </row>
    <row r="1949" spans="1:4" x14ac:dyDescent="0.35">
      <c r="A1949" t="str">
        <f t="shared" si="30"/>
        <v>150Alpha</v>
      </c>
      <c r="B1949">
        <v>150</v>
      </c>
      <c r="C1949" s="9" t="s">
        <v>23</v>
      </c>
      <c r="D1949" s="8">
        <v>0.39200000000000002</v>
      </c>
    </row>
    <row r="1950" spans="1:4" x14ac:dyDescent="0.35">
      <c r="A1950" t="str">
        <f t="shared" si="30"/>
        <v>150Beta</v>
      </c>
      <c r="B1950">
        <v>150</v>
      </c>
      <c r="C1950" s="9" t="s">
        <v>24</v>
      </c>
      <c r="D1950" s="8">
        <v>-14.928000000000001</v>
      </c>
    </row>
    <row r="1951" spans="1:4" x14ac:dyDescent="0.35">
      <c r="A1951" t="str">
        <f t="shared" si="30"/>
        <v>150Annual Standard Deviation</v>
      </c>
      <c r="B1951">
        <v>150</v>
      </c>
      <c r="C1951" s="9" t="s">
        <v>35</v>
      </c>
      <c r="D1951" s="8">
        <v>1.746</v>
      </c>
    </row>
    <row r="1952" spans="1:4" x14ac:dyDescent="0.35">
      <c r="A1952" t="str">
        <f t="shared" si="30"/>
        <v>150Annual Variance</v>
      </c>
      <c r="B1952">
        <v>150</v>
      </c>
      <c r="C1952" s="9" t="s">
        <v>36</v>
      </c>
      <c r="D1952" s="8">
        <v>3.048</v>
      </c>
    </row>
    <row r="1953" spans="1:4" x14ac:dyDescent="0.35">
      <c r="A1953" t="str">
        <f t="shared" si="30"/>
        <v>150Information Ratio</v>
      </c>
      <c r="B1953">
        <v>150</v>
      </c>
      <c r="C1953" s="9" t="s">
        <v>37</v>
      </c>
      <c r="D1953" s="8">
        <v>-0.34899999999999998</v>
      </c>
    </row>
    <row r="1954" spans="1:4" x14ac:dyDescent="0.35">
      <c r="A1954" t="str">
        <f t="shared" si="30"/>
        <v>150Tracking Error</v>
      </c>
      <c r="B1954">
        <v>150</v>
      </c>
      <c r="C1954" s="9" t="s">
        <v>38</v>
      </c>
      <c r="D1954" s="8">
        <v>1.7849999999999999</v>
      </c>
    </row>
    <row r="1955" spans="1:4" x14ac:dyDescent="0.35">
      <c r="A1955" t="str">
        <f t="shared" si="30"/>
        <v>150Treynor Ratio</v>
      </c>
      <c r="B1955">
        <v>150</v>
      </c>
      <c r="C1955" s="9" t="s">
        <v>39</v>
      </c>
      <c r="D1955" s="8">
        <v>3.6999999999999998E-2</v>
      </c>
    </row>
    <row r="1956" spans="1:4" x14ac:dyDescent="0.35">
      <c r="A1956" t="str">
        <f t="shared" si="30"/>
        <v>150Total Fees</v>
      </c>
      <c r="B1956">
        <v>150</v>
      </c>
      <c r="C1956" s="9" t="s">
        <v>40</v>
      </c>
      <c r="D1956" s="8">
        <v>0</v>
      </c>
    </row>
    <row r="1957" spans="1:4" x14ac:dyDescent="0.35">
      <c r="A1957" t="str">
        <f t="shared" si="30"/>
        <v>150Estimated Strategy Capacity</v>
      </c>
      <c r="B1957">
        <v>150</v>
      </c>
      <c r="C1957" s="9" t="s">
        <v>41</v>
      </c>
      <c r="D1957" s="8">
        <v>2900000</v>
      </c>
    </row>
    <row r="1958" spans="1:4" x14ac:dyDescent="0.35">
      <c r="A1958" t="str">
        <f t="shared" si="30"/>
        <v>149PSR</v>
      </c>
      <c r="B1958">
        <v>149</v>
      </c>
      <c r="C1958" s="9" t="s">
        <v>27</v>
      </c>
      <c r="D1958" s="8">
        <v>2.6950000000000002E-2</v>
      </c>
    </row>
    <row r="1959" spans="1:4" x14ac:dyDescent="0.35">
      <c r="A1959" t="str">
        <f t="shared" si="30"/>
        <v>149Sharpe Ratio</v>
      </c>
      <c r="B1959">
        <v>149</v>
      </c>
      <c r="C1959" s="9" t="s">
        <v>1</v>
      </c>
      <c r="D1959" s="8">
        <v>-0.94199999999999995</v>
      </c>
    </row>
    <row r="1960" spans="1:4" x14ac:dyDescent="0.35">
      <c r="A1960" t="str">
        <f t="shared" si="30"/>
        <v>149Total Trades</v>
      </c>
      <c r="B1960">
        <v>149</v>
      </c>
      <c r="C1960" s="9" t="s">
        <v>28</v>
      </c>
      <c r="D1960" s="8">
        <v>281</v>
      </c>
    </row>
    <row r="1961" spans="1:4" x14ac:dyDescent="0.35">
      <c r="A1961" t="str">
        <f t="shared" si="30"/>
        <v>149Average Win</v>
      </c>
      <c r="B1961">
        <v>149</v>
      </c>
      <c r="C1961" s="9" t="s">
        <v>25</v>
      </c>
      <c r="D1961" s="8">
        <v>0.02</v>
      </c>
    </row>
    <row r="1962" spans="1:4" x14ac:dyDescent="0.35">
      <c r="A1962" t="str">
        <f t="shared" si="30"/>
        <v>149Average Loss</v>
      </c>
      <c r="B1962">
        <v>149</v>
      </c>
      <c r="C1962" s="9" t="s">
        <v>29</v>
      </c>
      <c r="D1962" s="8">
        <v>-3.5000000000000003E-2</v>
      </c>
    </row>
    <row r="1963" spans="1:4" x14ac:dyDescent="0.35">
      <c r="A1963" t="str">
        <f t="shared" si="30"/>
        <v>149Compounding Annual Return</v>
      </c>
      <c r="B1963">
        <v>149</v>
      </c>
      <c r="C1963" s="9" t="s">
        <v>30</v>
      </c>
      <c r="D1963" s="8">
        <v>-0.23028999999999999</v>
      </c>
    </row>
    <row r="1964" spans="1:4" x14ac:dyDescent="0.35">
      <c r="A1964" t="str">
        <f t="shared" si="30"/>
        <v>149Drawdown</v>
      </c>
      <c r="B1964">
        <v>149</v>
      </c>
      <c r="C1964" s="9" t="s">
        <v>8</v>
      </c>
      <c r="D1964" s="8">
        <v>0.22800000000000001</v>
      </c>
    </row>
    <row r="1965" spans="1:4" x14ac:dyDescent="0.35">
      <c r="A1965" t="str">
        <f t="shared" si="30"/>
        <v>149Expectancy</v>
      </c>
      <c r="B1965">
        <v>149</v>
      </c>
      <c r="C1965" s="9" t="s">
        <v>31</v>
      </c>
      <c r="D1965" s="8">
        <v>-0.47599999999999998</v>
      </c>
    </row>
    <row r="1966" spans="1:4" x14ac:dyDescent="0.35">
      <c r="A1966" t="str">
        <f t="shared" si="30"/>
        <v>149Net Profit</v>
      </c>
      <c r="B1966">
        <v>149</v>
      </c>
      <c r="C1966" s="9" t="s">
        <v>32</v>
      </c>
      <c r="D1966" s="8">
        <v>-0.15565999999999999</v>
      </c>
    </row>
    <row r="1967" spans="1:4" x14ac:dyDescent="0.35">
      <c r="A1967" t="str">
        <f t="shared" si="30"/>
        <v>149Loss Rate</v>
      </c>
      <c r="B1967">
        <v>149</v>
      </c>
      <c r="C1967" s="9" t="s">
        <v>33</v>
      </c>
      <c r="D1967" s="8">
        <v>0.67</v>
      </c>
    </row>
    <row r="1968" spans="1:4" x14ac:dyDescent="0.35">
      <c r="A1968" t="str">
        <f t="shared" si="30"/>
        <v>149Win Rate</v>
      </c>
      <c r="B1968">
        <v>149</v>
      </c>
      <c r="C1968" s="9" t="s">
        <v>34</v>
      </c>
      <c r="D1968" s="8">
        <v>0.33</v>
      </c>
    </row>
    <row r="1969" spans="1:4" x14ac:dyDescent="0.35">
      <c r="A1969" t="str">
        <f t="shared" si="30"/>
        <v>149Profit-Loss Ratio</v>
      </c>
      <c r="B1969">
        <v>149</v>
      </c>
      <c r="C1969" s="9" t="s">
        <v>26</v>
      </c>
      <c r="D1969" s="8">
        <v>0.56999999999999995</v>
      </c>
    </row>
    <row r="1970" spans="1:4" x14ac:dyDescent="0.35">
      <c r="A1970" t="str">
        <f t="shared" si="30"/>
        <v>149Alpha</v>
      </c>
      <c r="B1970">
        <v>149</v>
      </c>
      <c r="C1970" s="9" t="s">
        <v>23</v>
      </c>
      <c r="D1970" s="8">
        <v>-6.8000000000000005E-2</v>
      </c>
    </row>
    <row r="1971" spans="1:4" x14ac:dyDescent="0.35">
      <c r="A1971" t="str">
        <f t="shared" si="30"/>
        <v>149Beta</v>
      </c>
      <c r="B1971">
        <v>149</v>
      </c>
      <c r="C1971" s="9" t="s">
        <v>24</v>
      </c>
      <c r="D1971" s="8">
        <v>-1.3620000000000001</v>
      </c>
    </row>
    <row r="1972" spans="1:4" x14ac:dyDescent="0.35">
      <c r="A1972" t="str">
        <f t="shared" si="30"/>
        <v>149Annual Standard Deviation</v>
      </c>
      <c r="B1972">
        <v>149</v>
      </c>
      <c r="C1972" s="9" t="s">
        <v>35</v>
      </c>
      <c r="D1972" s="8">
        <v>0.16400000000000001</v>
      </c>
    </row>
    <row r="1973" spans="1:4" x14ac:dyDescent="0.35">
      <c r="A1973" t="str">
        <f t="shared" si="30"/>
        <v>149Annual Variance</v>
      </c>
      <c r="B1973">
        <v>149</v>
      </c>
      <c r="C1973" s="9" t="s">
        <v>36</v>
      </c>
      <c r="D1973" s="8">
        <v>2.7E-2</v>
      </c>
    </row>
    <row r="1974" spans="1:4" x14ac:dyDescent="0.35">
      <c r="A1974" t="str">
        <f t="shared" si="30"/>
        <v>149Information Ratio</v>
      </c>
      <c r="B1974">
        <v>149</v>
      </c>
      <c r="C1974" s="9" t="s">
        <v>37</v>
      </c>
      <c r="D1974" s="8">
        <v>-1.046</v>
      </c>
    </row>
    <row r="1975" spans="1:4" x14ac:dyDescent="0.35">
      <c r="A1975" t="str">
        <f t="shared" si="30"/>
        <v>149Tracking Error</v>
      </c>
      <c r="B1975">
        <v>149</v>
      </c>
      <c r="C1975" s="9" t="s">
        <v>38</v>
      </c>
      <c r="D1975" s="8">
        <v>0.20899999999999999</v>
      </c>
    </row>
    <row r="1976" spans="1:4" x14ac:dyDescent="0.35">
      <c r="A1976" t="str">
        <f t="shared" si="30"/>
        <v>149Treynor Ratio</v>
      </c>
      <c r="B1976">
        <v>149</v>
      </c>
      <c r="C1976" s="9" t="s">
        <v>39</v>
      </c>
      <c r="D1976" s="8">
        <v>0.114</v>
      </c>
    </row>
    <row r="1977" spans="1:4" x14ac:dyDescent="0.35">
      <c r="A1977" t="str">
        <f t="shared" si="30"/>
        <v>149Total Fees</v>
      </c>
      <c r="B1977">
        <v>149</v>
      </c>
      <c r="C1977" s="9" t="s">
        <v>40</v>
      </c>
      <c r="D1977" s="8">
        <v>0</v>
      </c>
    </row>
    <row r="1978" spans="1:4" x14ac:dyDescent="0.35">
      <c r="A1978" t="str">
        <f t="shared" si="30"/>
        <v>149Estimated Strategy Capacity</v>
      </c>
      <c r="B1978">
        <v>149</v>
      </c>
      <c r="C1978" s="9" t="s">
        <v>41</v>
      </c>
      <c r="D1978" s="8">
        <v>82000000</v>
      </c>
    </row>
    <row r="1979" spans="1:4" x14ac:dyDescent="0.35">
      <c r="A1979" t="str">
        <f t="shared" si="30"/>
        <v>148PSR</v>
      </c>
      <c r="B1979">
        <v>148</v>
      </c>
      <c r="C1979" s="9" t="s">
        <v>27</v>
      </c>
      <c r="D1979" s="8">
        <v>2.0029999999999999E-2</v>
      </c>
    </row>
    <row r="1980" spans="1:4" x14ac:dyDescent="0.35">
      <c r="A1980" t="str">
        <f t="shared" si="30"/>
        <v>148Sharpe Ratio</v>
      </c>
      <c r="B1980">
        <v>148</v>
      </c>
      <c r="C1980" s="9" t="s">
        <v>1</v>
      </c>
      <c r="D1980" s="8">
        <v>-1.1379999999999999</v>
      </c>
    </row>
    <row r="1981" spans="1:4" x14ac:dyDescent="0.35">
      <c r="A1981" t="str">
        <f t="shared" si="30"/>
        <v>148Total Trades</v>
      </c>
      <c r="B1981">
        <v>148</v>
      </c>
      <c r="C1981" s="9" t="s">
        <v>28</v>
      </c>
      <c r="D1981" s="8">
        <v>281</v>
      </c>
    </row>
    <row r="1982" spans="1:4" x14ac:dyDescent="0.35">
      <c r="A1982" t="str">
        <f t="shared" si="30"/>
        <v>148Average Win</v>
      </c>
      <c r="B1982">
        <v>148</v>
      </c>
      <c r="C1982" s="9" t="s">
        <v>25</v>
      </c>
      <c r="D1982" s="8">
        <v>1.8E-3</v>
      </c>
    </row>
    <row r="1983" spans="1:4" x14ac:dyDescent="0.35">
      <c r="A1983" t="str">
        <f t="shared" si="30"/>
        <v>148Average Loss</v>
      </c>
      <c r="B1983">
        <v>148</v>
      </c>
      <c r="C1983" s="9" t="s">
        <v>29</v>
      </c>
      <c r="D1983" s="8">
        <v>-3.3999999999999998E-3</v>
      </c>
    </row>
    <row r="1984" spans="1:4" x14ac:dyDescent="0.35">
      <c r="A1984" t="str">
        <f t="shared" si="30"/>
        <v>148Compounding Annual Return</v>
      </c>
      <c r="B1984">
        <v>148</v>
      </c>
      <c r="C1984" s="9" t="s">
        <v>30</v>
      </c>
      <c r="D1984" s="8">
        <v>-2.3980000000000001E-2</v>
      </c>
    </row>
    <row r="1985" spans="1:4" x14ac:dyDescent="0.35">
      <c r="A1985" t="str">
        <f t="shared" si="30"/>
        <v>148Drawdown</v>
      </c>
      <c r="B1985">
        <v>148</v>
      </c>
      <c r="C1985" s="9" t="s">
        <v>8</v>
      </c>
      <c r="D1985" s="8">
        <v>2.3E-2</v>
      </c>
    </row>
    <row r="1986" spans="1:4" x14ac:dyDescent="0.35">
      <c r="A1986" t="str">
        <f t="shared" si="30"/>
        <v>148Expectancy</v>
      </c>
      <c r="B1986">
        <v>148</v>
      </c>
      <c r="C1986" s="9" t="s">
        <v>31</v>
      </c>
      <c r="D1986" s="8">
        <v>-0.49199999999999999</v>
      </c>
    </row>
    <row r="1987" spans="1:4" x14ac:dyDescent="0.35">
      <c r="A1987" t="str">
        <f t="shared" ref="A1987:A2050" si="31">B1987&amp;C1987</f>
        <v>148Net Profit</v>
      </c>
      <c r="B1987">
        <v>148</v>
      </c>
      <c r="C1987" s="9" t="s">
        <v>32</v>
      </c>
      <c r="D1987" s="8">
        <v>-1.5570000000000001E-2</v>
      </c>
    </row>
    <row r="1988" spans="1:4" x14ac:dyDescent="0.35">
      <c r="A1988" t="str">
        <f t="shared" si="31"/>
        <v>148Loss Rate</v>
      </c>
      <c r="B1988">
        <v>148</v>
      </c>
      <c r="C1988" s="9" t="s">
        <v>33</v>
      </c>
      <c r="D1988" s="8">
        <v>0.67</v>
      </c>
    </row>
    <row r="1989" spans="1:4" x14ac:dyDescent="0.35">
      <c r="A1989" t="str">
        <f t="shared" si="31"/>
        <v>148Win Rate</v>
      </c>
      <c r="B1989">
        <v>148</v>
      </c>
      <c r="C1989" s="9" t="s">
        <v>34</v>
      </c>
      <c r="D1989" s="8">
        <v>0.33</v>
      </c>
    </row>
    <row r="1990" spans="1:4" x14ac:dyDescent="0.35">
      <c r="A1990" t="str">
        <f t="shared" si="31"/>
        <v>148Profit-Loss Ratio</v>
      </c>
      <c r="B1990">
        <v>148</v>
      </c>
      <c r="C1990" s="9" t="s">
        <v>26</v>
      </c>
      <c r="D1990" s="8">
        <v>0.52</v>
      </c>
    </row>
    <row r="1991" spans="1:4" x14ac:dyDescent="0.35">
      <c r="A1991" t="str">
        <f t="shared" si="31"/>
        <v>148Alpha</v>
      </c>
      <c r="B1991">
        <v>148</v>
      </c>
      <c r="C1991" s="9" t="s">
        <v>23</v>
      </c>
      <c r="D1991" s="8">
        <v>-8.9999999999999993E-3</v>
      </c>
    </row>
    <row r="1992" spans="1:4" x14ac:dyDescent="0.35">
      <c r="A1992" t="str">
        <f t="shared" si="31"/>
        <v>148Beta</v>
      </c>
      <c r="B1992">
        <v>148</v>
      </c>
      <c r="C1992" s="9" t="s">
        <v>24</v>
      </c>
      <c r="D1992" s="8">
        <v>-0.121</v>
      </c>
    </row>
    <row r="1993" spans="1:4" x14ac:dyDescent="0.35">
      <c r="A1993" t="str">
        <f t="shared" si="31"/>
        <v>148Annual Standard Deviation</v>
      </c>
      <c r="B1993">
        <v>148</v>
      </c>
      <c r="C1993" s="9" t="s">
        <v>35</v>
      </c>
      <c r="D1993" s="8">
        <v>1.4999999999999999E-2</v>
      </c>
    </row>
    <row r="1994" spans="1:4" x14ac:dyDescent="0.35">
      <c r="A1994" t="str">
        <f t="shared" si="31"/>
        <v>148Annual Variance</v>
      </c>
      <c r="B1994">
        <v>148</v>
      </c>
      <c r="C1994" s="9" t="s">
        <v>36</v>
      </c>
      <c r="D1994" s="8">
        <v>0</v>
      </c>
    </row>
    <row r="1995" spans="1:4" x14ac:dyDescent="0.35">
      <c r="A1995" t="str">
        <f t="shared" si="31"/>
        <v>148Information Ratio</v>
      </c>
      <c r="B1995">
        <v>148</v>
      </c>
      <c r="C1995" s="9" t="s">
        <v>37</v>
      </c>
      <c r="D1995" s="8">
        <v>-1.0589999999999999</v>
      </c>
    </row>
    <row r="1996" spans="1:4" x14ac:dyDescent="0.35">
      <c r="A1996" t="str">
        <f t="shared" si="31"/>
        <v>148Tracking Error</v>
      </c>
      <c r="B1996">
        <v>148</v>
      </c>
      <c r="C1996" s="9" t="s">
        <v>38</v>
      </c>
      <c r="D1996" s="8">
        <v>7.5999999999999998E-2</v>
      </c>
    </row>
    <row r="1997" spans="1:4" x14ac:dyDescent="0.35">
      <c r="A1997" t="str">
        <f t="shared" si="31"/>
        <v>148Treynor Ratio</v>
      </c>
      <c r="B1997">
        <v>148</v>
      </c>
      <c r="C1997" s="9" t="s">
        <v>39</v>
      </c>
      <c r="D1997" s="8">
        <v>0.13700000000000001</v>
      </c>
    </row>
    <row r="1998" spans="1:4" x14ac:dyDescent="0.35">
      <c r="A1998" t="str">
        <f t="shared" si="31"/>
        <v>148Total Fees</v>
      </c>
      <c r="B1998">
        <v>148</v>
      </c>
      <c r="C1998" s="9" t="s">
        <v>40</v>
      </c>
      <c r="D1998" s="8">
        <v>0</v>
      </c>
    </row>
    <row r="1999" spans="1:4" x14ac:dyDescent="0.35">
      <c r="A1999" t="str">
        <f t="shared" si="31"/>
        <v>148Estimated Strategy Capacity</v>
      </c>
      <c r="B1999">
        <v>148</v>
      </c>
      <c r="C1999" s="9" t="s">
        <v>41</v>
      </c>
      <c r="D1999" s="8">
        <v>940000000</v>
      </c>
    </row>
    <row r="2000" spans="1:4" x14ac:dyDescent="0.35">
      <c r="A2000" t="str">
        <f t="shared" si="31"/>
        <v>147PSR</v>
      </c>
      <c r="B2000">
        <v>147</v>
      </c>
      <c r="C2000" s="9" t="s">
        <v>27</v>
      </c>
      <c r="D2000" s="8">
        <v>4.5839999999999999E-2</v>
      </c>
    </row>
    <row r="2001" spans="1:4" x14ac:dyDescent="0.35">
      <c r="A2001" t="str">
        <f t="shared" si="31"/>
        <v>147Sharpe Ratio</v>
      </c>
      <c r="B2001">
        <v>147</v>
      </c>
      <c r="C2001" s="9" t="s">
        <v>1</v>
      </c>
      <c r="D2001" s="8">
        <v>-0.55400000000000005</v>
      </c>
    </row>
    <row r="2002" spans="1:4" x14ac:dyDescent="0.35">
      <c r="A2002" t="str">
        <f t="shared" si="31"/>
        <v>147Total Trades</v>
      </c>
      <c r="B2002">
        <v>147</v>
      </c>
      <c r="C2002" s="9" t="s">
        <v>28</v>
      </c>
      <c r="D2002" s="8">
        <v>474</v>
      </c>
    </row>
    <row r="2003" spans="1:4" x14ac:dyDescent="0.35">
      <c r="A2003" t="str">
        <f t="shared" si="31"/>
        <v>147Average Win</v>
      </c>
      <c r="B2003">
        <v>147</v>
      </c>
      <c r="C2003" s="9" t="s">
        <v>25</v>
      </c>
      <c r="D2003" s="8">
        <v>0.11650000000000001</v>
      </c>
    </row>
    <row r="2004" spans="1:4" x14ac:dyDescent="0.35">
      <c r="A2004" t="str">
        <f t="shared" si="31"/>
        <v>147Average Loss</v>
      </c>
      <c r="B2004">
        <v>147</v>
      </c>
      <c r="C2004" s="9" t="s">
        <v>29</v>
      </c>
      <c r="D2004" s="8">
        <v>-0.1164</v>
      </c>
    </row>
    <row r="2005" spans="1:4" x14ac:dyDescent="0.35">
      <c r="A2005" t="str">
        <f t="shared" si="31"/>
        <v>147Compounding Annual Return</v>
      </c>
      <c r="B2005">
        <v>147</v>
      </c>
      <c r="C2005" s="9" t="s">
        <v>30</v>
      </c>
      <c r="D2005" s="8">
        <v>-0.77100000000000002</v>
      </c>
    </row>
    <row r="2006" spans="1:4" x14ac:dyDescent="0.35">
      <c r="A2006" t="str">
        <f t="shared" si="31"/>
        <v>147Drawdown</v>
      </c>
      <c r="B2006">
        <v>147</v>
      </c>
      <c r="C2006" s="9" t="s">
        <v>8</v>
      </c>
      <c r="D2006" s="8">
        <v>0.66800000000000004</v>
      </c>
    </row>
    <row r="2007" spans="1:4" x14ac:dyDescent="0.35">
      <c r="A2007" t="str">
        <f t="shared" si="31"/>
        <v>147Expectancy</v>
      </c>
      <c r="B2007">
        <v>147</v>
      </c>
      <c r="C2007" s="9" t="s">
        <v>31</v>
      </c>
      <c r="D2007" s="8">
        <v>-0.33300000000000002</v>
      </c>
    </row>
    <row r="2008" spans="1:4" x14ac:dyDescent="0.35">
      <c r="A2008" t="str">
        <f t="shared" si="31"/>
        <v>147Net Profit</v>
      </c>
      <c r="B2008">
        <v>147</v>
      </c>
      <c r="C2008" s="9" t="s">
        <v>32</v>
      </c>
      <c r="D2008" s="8">
        <v>-0.61438999999999999</v>
      </c>
    </row>
    <row r="2009" spans="1:4" x14ac:dyDescent="0.35">
      <c r="A2009" t="str">
        <f t="shared" si="31"/>
        <v>147Loss Rate</v>
      </c>
      <c r="B2009">
        <v>147</v>
      </c>
      <c r="C2009" s="9" t="s">
        <v>33</v>
      </c>
      <c r="D2009" s="8">
        <v>0.67</v>
      </c>
    </row>
    <row r="2010" spans="1:4" x14ac:dyDescent="0.35">
      <c r="A2010" t="str">
        <f t="shared" si="31"/>
        <v>147Win Rate</v>
      </c>
      <c r="B2010">
        <v>147</v>
      </c>
      <c r="C2010" s="9" t="s">
        <v>34</v>
      </c>
      <c r="D2010" s="8">
        <v>0.33</v>
      </c>
    </row>
    <row r="2011" spans="1:4" x14ac:dyDescent="0.35">
      <c r="A2011" t="str">
        <f t="shared" si="31"/>
        <v>147Profit-Loss Ratio</v>
      </c>
      <c r="B2011">
        <v>147</v>
      </c>
      <c r="C2011" s="9" t="s">
        <v>26</v>
      </c>
      <c r="D2011" s="8">
        <v>1</v>
      </c>
    </row>
    <row r="2012" spans="1:4" x14ac:dyDescent="0.35">
      <c r="A2012" t="str">
        <f t="shared" si="31"/>
        <v>147Alpha</v>
      </c>
      <c r="B2012">
        <v>147</v>
      </c>
      <c r="C2012" s="9" t="s">
        <v>23</v>
      </c>
      <c r="D2012" s="8">
        <v>-0.20699999999999999</v>
      </c>
    </row>
    <row r="2013" spans="1:4" x14ac:dyDescent="0.35">
      <c r="A2013" t="str">
        <f t="shared" si="31"/>
        <v>147Beta</v>
      </c>
      <c r="B2013">
        <v>147</v>
      </c>
      <c r="C2013" s="9" t="s">
        <v>24</v>
      </c>
      <c r="D2013" s="8">
        <v>-4.2039999999999997</v>
      </c>
    </row>
    <row r="2014" spans="1:4" x14ac:dyDescent="0.35">
      <c r="A2014" t="str">
        <f t="shared" si="31"/>
        <v>147Annual Standard Deviation</v>
      </c>
      <c r="B2014">
        <v>147</v>
      </c>
      <c r="C2014" s="9" t="s">
        <v>35</v>
      </c>
      <c r="D2014" s="8">
        <v>0.85699999999999998</v>
      </c>
    </row>
    <row r="2015" spans="1:4" x14ac:dyDescent="0.35">
      <c r="A2015" t="str">
        <f t="shared" si="31"/>
        <v>147Annual Variance</v>
      </c>
      <c r="B2015">
        <v>147</v>
      </c>
      <c r="C2015" s="9" t="s">
        <v>36</v>
      </c>
      <c r="D2015" s="8">
        <v>0.73399999999999999</v>
      </c>
    </row>
    <row r="2016" spans="1:4" x14ac:dyDescent="0.35">
      <c r="A2016" t="str">
        <f t="shared" si="31"/>
        <v>147Information Ratio</v>
      </c>
      <c r="B2016">
        <v>147</v>
      </c>
      <c r="C2016" s="9" t="s">
        <v>37</v>
      </c>
      <c r="D2016" s="8">
        <v>-0.61099999999999999</v>
      </c>
    </row>
    <row r="2017" spans="1:4" x14ac:dyDescent="0.35">
      <c r="A2017" t="str">
        <f t="shared" si="31"/>
        <v>147Tracking Error</v>
      </c>
      <c r="B2017">
        <v>147</v>
      </c>
      <c r="C2017" s="9" t="s">
        <v>38</v>
      </c>
      <c r="D2017" s="8">
        <v>0.88100000000000001</v>
      </c>
    </row>
    <row r="2018" spans="1:4" x14ac:dyDescent="0.35">
      <c r="A2018" t="str">
        <f t="shared" si="31"/>
        <v>147Treynor Ratio</v>
      </c>
      <c r="B2018">
        <v>147</v>
      </c>
      <c r="C2018" s="9" t="s">
        <v>39</v>
      </c>
      <c r="D2018" s="8">
        <v>0.113</v>
      </c>
    </row>
    <row r="2019" spans="1:4" x14ac:dyDescent="0.35">
      <c r="A2019" t="str">
        <f t="shared" si="31"/>
        <v>147Total Fees</v>
      </c>
      <c r="B2019">
        <v>147</v>
      </c>
      <c r="C2019" s="9" t="s">
        <v>40</v>
      </c>
      <c r="D2019" s="8">
        <v>0</v>
      </c>
    </row>
    <row r="2020" spans="1:4" x14ac:dyDescent="0.35">
      <c r="A2020" t="str">
        <f t="shared" si="31"/>
        <v>147Estimated Strategy Capacity</v>
      </c>
      <c r="B2020">
        <v>147</v>
      </c>
      <c r="C2020" s="9" t="s">
        <v>41</v>
      </c>
      <c r="D2020" s="8">
        <v>75000000</v>
      </c>
    </row>
    <row r="2021" spans="1:4" x14ac:dyDescent="0.35">
      <c r="A2021" t="str">
        <f t="shared" si="31"/>
        <v>146PSR</v>
      </c>
      <c r="B2021">
        <v>146</v>
      </c>
      <c r="C2021" s="9" t="s">
        <v>27</v>
      </c>
      <c r="D2021" s="8">
        <v>3.916E-2</v>
      </c>
    </row>
    <row r="2022" spans="1:4" x14ac:dyDescent="0.35">
      <c r="A2022" t="str">
        <f t="shared" si="31"/>
        <v>146Sharpe Ratio</v>
      </c>
      <c r="B2022">
        <v>146</v>
      </c>
      <c r="C2022" s="9" t="s">
        <v>1</v>
      </c>
      <c r="D2022" s="8">
        <v>-0.76300000000000001</v>
      </c>
    </row>
    <row r="2023" spans="1:4" x14ac:dyDescent="0.35">
      <c r="A2023" t="str">
        <f t="shared" si="31"/>
        <v>146Total Trades</v>
      </c>
      <c r="B2023">
        <v>146</v>
      </c>
      <c r="C2023" s="9" t="s">
        <v>28</v>
      </c>
      <c r="D2023" s="8">
        <v>483</v>
      </c>
    </row>
    <row r="2024" spans="1:4" x14ac:dyDescent="0.35">
      <c r="A2024" t="str">
        <f t="shared" si="31"/>
        <v>146Average Win</v>
      </c>
      <c r="B2024">
        <v>146</v>
      </c>
      <c r="C2024" s="9" t="s">
        <v>25</v>
      </c>
      <c r="D2024" s="8">
        <v>1.7500000000000002E-2</v>
      </c>
    </row>
    <row r="2025" spans="1:4" x14ac:dyDescent="0.35">
      <c r="A2025" t="str">
        <f t="shared" si="31"/>
        <v>146Average Loss</v>
      </c>
      <c r="B2025">
        <v>146</v>
      </c>
      <c r="C2025" s="9" t="s">
        <v>29</v>
      </c>
      <c r="D2025" s="8">
        <v>-2.1499999999999998E-2</v>
      </c>
    </row>
    <row r="2026" spans="1:4" x14ac:dyDescent="0.35">
      <c r="A2026" t="str">
        <f t="shared" si="31"/>
        <v>146Compounding Annual Return</v>
      </c>
      <c r="B2026">
        <v>146</v>
      </c>
      <c r="C2026" s="9" t="s">
        <v>30</v>
      </c>
      <c r="D2026" s="8">
        <v>-0.16803999999999999</v>
      </c>
    </row>
    <row r="2027" spans="1:4" x14ac:dyDescent="0.35">
      <c r="A2027" t="str">
        <f t="shared" si="31"/>
        <v>146Drawdown</v>
      </c>
      <c r="B2027">
        <v>146</v>
      </c>
      <c r="C2027" s="9" t="s">
        <v>8</v>
      </c>
      <c r="D2027" s="8">
        <v>0.13700000000000001</v>
      </c>
    </row>
    <row r="2028" spans="1:4" x14ac:dyDescent="0.35">
      <c r="A2028" t="str">
        <f t="shared" si="31"/>
        <v>146Expectancy</v>
      </c>
      <c r="B2028">
        <v>146</v>
      </c>
      <c r="C2028" s="9" t="s">
        <v>31</v>
      </c>
      <c r="D2028" s="8">
        <v>-0.31900000000000001</v>
      </c>
    </row>
    <row r="2029" spans="1:4" x14ac:dyDescent="0.35">
      <c r="A2029" t="str">
        <f t="shared" si="31"/>
        <v>146Net Profit</v>
      </c>
      <c r="B2029">
        <v>146</v>
      </c>
      <c r="C2029" s="9" t="s">
        <v>32</v>
      </c>
      <c r="D2029" s="8">
        <v>-0.11212999999999999</v>
      </c>
    </row>
    <row r="2030" spans="1:4" x14ac:dyDescent="0.35">
      <c r="A2030" t="str">
        <f t="shared" si="31"/>
        <v>146Loss Rate</v>
      </c>
      <c r="B2030">
        <v>146</v>
      </c>
      <c r="C2030" s="9" t="s">
        <v>33</v>
      </c>
      <c r="D2030" s="8">
        <v>0.62</v>
      </c>
    </row>
    <row r="2031" spans="1:4" x14ac:dyDescent="0.35">
      <c r="A2031" t="str">
        <f t="shared" si="31"/>
        <v>146Win Rate</v>
      </c>
      <c r="B2031">
        <v>146</v>
      </c>
      <c r="C2031" s="9" t="s">
        <v>34</v>
      </c>
      <c r="D2031" s="8">
        <v>0.38</v>
      </c>
    </row>
    <row r="2032" spans="1:4" x14ac:dyDescent="0.35">
      <c r="A2032" t="str">
        <f t="shared" si="31"/>
        <v>146Profit-Loss Ratio</v>
      </c>
      <c r="B2032">
        <v>146</v>
      </c>
      <c r="C2032" s="9" t="s">
        <v>26</v>
      </c>
      <c r="D2032" s="8">
        <v>0.82</v>
      </c>
    </row>
    <row r="2033" spans="1:4" x14ac:dyDescent="0.35">
      <c r="A2033" t="str">
        <f t="shared" si="31"/>
        <v>146Alpha</v>
      </c>
      <c r="B2033">
        <v>146</v>
      </c>
      <c r="C2033" s="9" t="s">
        <v>23</v>
      </c>
      <c r="D2033" s="8">
        <v>-6.7000000000000004E-2</v>
      </c>
    </row>
    <row r="2034" spans="1:4" x14ac:dyDescent="0.35">
      <c r="A2034" t="str">
        <f t="shared" si="31"/>
        <v>146Beta</v>
      </c>
      <c r="B2034">
        <v>146</v>
      </c>
      <c r="C2034" s="9" t="s">
        <v>24</v>
      </c>
      <c r="D2034" s="8">
        <v>-0.67600000000000005</v>
      </c>
    </row>
    <row r="2035" spans="1:4" x14ac:dyDescent="0.35">
      <c r="A2035" t="str">
        <f t="shared" si="31"/>
        <v>146Annual Standard Deviation</v>
      </c>
      <c r="B2035">
        <v>146</v>
      </c>
      <c r="C2035" s="9" t="s">
        <v>35</v>
      </c>
      <c r="D2035" s="8">
        <v>0.14499999999999999</v>
      </c>
    </row>
    <row r="2036" spans="1:4" x14ac:dyDescent="0.35">
      <c r="A2036" t="str">
        <f t="shared" si="31"/>
        <v>146Annual Variance</v>
      </c>
      <c r="B2036">
        <v>146</v>
      </c>
      <c r="C2036" s="9" t="s">
        <v>36</v>
      </c>
      <c r="D2036" s="8">
        <v>2.1000000000000001E-2</v>
      </c>
    </row>
    <row r="2037" spans="1:4" x14ac:dyDescent="0.35">
      <c r="A2037" t="str">
        <f t="shared" si="31"/>
        <v>146Information Ratio</v>
      </c>
      <c r="B2037">
        <v>146</v>
      </c>
      <c r="C2037" s="9" t="s">
        <v>37</v>
      </c>
      <c r="D2037" s="8">
        <v>-0.98199999999999998</v>
      </c>
    </row>
    <row r="2038" spans="1:4" x14ac:dyDescent="0.35">
      <c r="A2038" t="str">
        <f t="shared" si="31"/>
        <v>146Tracking Error</v>
      </c>
      <c r="B2038">
        <v>146</v>
      </c>
      <c r="C2038" s="9" t="s">
        <v>38</v>
      </c>
      <c r="D2038" s="8">
        <v>0.17699999999999999</v>
      </c>
    </row>
    <row r="2039" spans="1:4" x14ac:dyDescent="0.35">
      <c r="A2039" t="str">
        <f t="shared" si="31"/>
        <v>146Treynor Ratio</v>
      </c>
      <c r="B2039">
        <v>146</v>
      </c>
      <c r="C2039" s="9" t="s">
        <v>39</v>
      </c>
      <c r="D2039" s="8">
        <v>0.16300000000000001</v>
      </c>
    </row>
    <row r="2040" spans="1:4" x14ac:dyDescent="0.35">
      <c r="A2040" t="str">
        <f t="shared" si="31"/>
        <v>146Total Fees</v>
      </c>
      <c r="B2040">
        <v>146</v>
      </c>
      <c r="C2040" s="9" t="s">
        <v>40</v>
      </c>
      <c r="D2040" s="8">
        <v>0</v>
      </c>
    </row>
    <row r="2041" spans="1:4" x14ac:dyDescent="0.35">
      <c r="A2041" t="str">
        <f t="shared" si="31"/>
        <v>146Estimated Strategy Capacity</v>
      </c>
      <c r="B2041">
        <v>146</v>
      </c>
      <c r="C2041" s="9" t="s">
        <v>41</v>
      </c>
      <c r="D2041" s="8">
        <v>800000000</v>
      </c>
    </row>
    <row r="2042" spans="1:4" x14ac:dyDescent="0.35">
      <c r="A2042" t="str">
        <f t="shared" si="31"/>
        <v>145PSR</v>
      </c>
      <c r="B2042">
        <v>145</v>
      </c>
      <c r="C2042" s="9" t="s">
        <v>27</v>
      </c>
      <c r="D2042" s="8">
        <v>3.3939999999999998E-2</v>
      </c>
    </row>
    <row r="2043" spans="1:4" x14ac:dyDescent="0.35">
      <c r="A2043" t="str">
        <f t="shared" si="31"/>
        <v>145Sharpe Ratio</v>
      </c>
      <c r="B2043">
        <v>145</v>
      </c>
      <c r="C2043" s="9" t="s">
        <v>1</v>
      </c>
      <c r="D2043" s="8">
        <v>-0.86</v>
      </c>
    </row>
    <row r="2044" spans="1:4" x14ac:dyDescent="0.35">
      <c r="A2044" t="str">
        <f t="shared" si="31"/>
        <v>145Total Trades</v>
      </c>
      <c r="B2044">
        <v>145</v>
      </c>
      <c r="C2044" s="9" t="s">
        <v>28</v>
      </c>
      <c r="D2044" s="8">
        <v>483</v>
      </c>
    </row>
    <row r="2045" spans="1:4" x14ac:dyDescent="0.35">
      <c r="A2045" t="str">
        <f t="shared" si="31"/>
        <v>145Average Win</v>
      </c>
      <c r="B2045">
        <v>145</v>
      </c>
      <c r="C2045" s="9" t="s">
        <v>25</v>
      </c>
      <c r="D2045" s="8">
        <v>1.6000000000000001E-3</v>
      </c>
    </row>
    <row r="2046" spans="1:4" x14ac:dyDescent="0.35">
      <c r="A2046" t="str">
        <f t="shared" si="31"/>
        <v>145Average Loss</v>
      </c>
      <c r="B2046">
        <v>145</v>
      </c>
      <c r="C2046" s="9" t="s">
        <v>29</v>
      </c>
      <c r="D2046" s="8">
        <v>-2.0999999999999999E-3</v>
      </c>
    </row>
    <row r="2047" spans="1:4" x14ac:dyDescent="0.35">
      <c r="A2047" t="str">
        <f t="shared" si="31"/>
        <v>145Compounding Annual Return</v>
      </c>
      <c r="B2047">
        <v>145</v>
      </c>
      <c r="C2047" s="9" t="s">
        <v>30</v>
      </c>
      <c r="D2047" s="8">
        <v>-1.729E-2</v>
      </c>
    </row>
    <row r="2048" spans="1:4" x14ac:dyDescent="0.35">
      <c r="A2048" t="str">
        <f t="shared" si="31"/>
        <v>145Drawdown</v>
      </c>
      <c r="B2048">
        <v>145</v>
      </c>
      <c r="C2048" s="9" t="s">
        <v>8</v>
      </c>
      <c r="D2048" s="8">
        <v>1.4E-2</v>
      </c>
    </row>
    <row r="2049" spans="1:4" x14ac:dyDescent="0.35">
      <c r="A2049" t="str">
        <f t="shared" si="31"/>
        <v>145Expectancy</v>
      </c>
      <c r="B2049">
        <v>145</v>
      </c>
      <c r="C2049" s="9" t="s">
        <v>31</v>
      </c>
      <c r="D2049" s="8">
        <v>-0.32700000000000001</v>
      </c>
    </row>
    <row r="2050" spans="1:4" x14ac:dyDescent="0.35">
      <c r="A2050" t="str">
        <f t="shared" si="31"/>
        <v>145Net Profit</v>
      </c>
      <c r="B2050">
        <v>145</v>
      </c>
      <c r="C2050" s="9" t="s">
        <v>32</v>
      </c>
      <c r="D2050" s="8">
        <v>-1.1209999999999999E-2</v>
      </c>
    </row>
    <row r="2051" spans="1:4" x14ac:dyDescent="0.35">
      <c r="A2051" t="str">
        <f t="shared" ref="A2051:A2114" si="32">B2051&amp;C2051</f>
        <v>145Loss Rate</v>
      </c>
      <c r="B2051">
        <v>145</v>
      </c>
      <c r="C2051" s="9" t="s">
        <v>33</v>
      </c>
      <c r="D2051" s="8">
        <v>0.62</v>
      </c>
    </row>
    <row r="2052" spans="1:4" x14ac:dyDescent="0.35">
      <c r="A2052" t="str">
        <f t="shared" si="32"/>
        <v>145Win Rate</v>
      </c>
      <c r="B2052">
        <v>145</v>
      </c>
      <c r="C2052" s="9" t="s">
        <v>34</v>
      </c>
      <c r="D2052" s="8">
        <v>0.38</v>
      </c>
    </row>
    <row r="2053" spans="1:4" x14ac:dyDescent="0.35">
      <c r="A2053" t="str">
        <f t="shared" si="32"/>
        <v>145Profit-Loss Ratio</v>
      </c>
      <c r="B2053">
        <v>145</v>
      </c>
      <c r="C2053" s="9" t="s">
        <v>26</v>
      </c>
      <c r="D2053" s="8">
        <v>0.79</v>
      </c>
    </row>
    <row r="2054" spans="1:4" x14ac:dyDescent="0.35">
      <c r="A2054" t="str">
        <f t="shared" si="32"/>
        <v>145Alpha</v>
      </c>
      <c r="B2054">
        <v>145</v>
      </c>
      <c r="C2054" s="9" t="s">
        <v>23</v>
      </c>
      <c r="D2054" s="8">
        <v>-8.0000000000000002E-3</v>
      </c>
    </row>
    <row r="2055" spans="1:4" x14ac:dyDescent="0.35">
      <c r="A2055" t="str">
        <f t="shared" si="32"/>
        <v>145Beta</v>
      </c>
      <c r="B2055">
        <v>145</v>
      </c>
      <c r="C2055" s="9" t="s">
        <v>24</v>
      </c>
      <c r="D2055" s="8">
        <v>-6.5000000000000002E-2</v>
      </c>
    </row>
    <row r="2056" spans="1:4" x14ac:dyDescent="0.35">
      <c r="A2056" t="str">
        <f t="shared" si="32"/>
        <v>145Annual Standard Deviation</v>
      </c>
      <c r="B2056">
        <v>145</v>
      </c>
      <c r="C2056" s="9" t="s">
        <v>35</v>
      </c>
      <c r="D2056" s="8">
        <v>1.4E-2</v>
      </c>
    </row>
    <row r="2057" spans="1:4" x14ac:dyDescent="0.35">
      <c r="A2057" t="str">
        <f t="shared" si="32"/>
        <v>145Annual Variance</v>
      </c>
      <c r="B2057">
        <v>145</v>
      </c>
      <c r="C2057" s="9" t="s">
        <v>36</v>
      </c>
      <c r="D2057" s="8">
        <v>0</v>
      </c>
    </row>
    <row r="2058" spans="1:4" x14ac:dyDescent="0.35">
      <c r="A2058" t="str">
        <f t="shared" si="32"/>
        <v>145Information Ratio</v>
      </c>
      <c r="B2058">
        <v>145</v>
      </c>
      <c r="C2058" s="9" t="s">
        <v>37</v>
      </c>
      <c r="D2058" s="8">
        <v>-1.046</v>
      </c>
    </row>
    <row r="2059" spans="1:4" x14ac:dyDescent="0.35">
      <c r="A2059" t="str">
        <f t="shared" si="32"/>
        <v>145Tracking Error</v>
      </c>
      <c r="B2059">
        <v>145</v>
      </c>
      <c r="C2059" s="9" t="s">
        <v>38</v>
      </c>
      <c r="D2059" s="8">
        <v>7.1999999999999995E-2</v>
      </c>
    </row>
    <row r="2060" spans="1:4" x14ac:dyDescent="0.35">
      <c r="A2060" t="str">
        <f t="shared" si="32"/>
        <v>145Treynor Ratio</v>
      </c>
      <c r="B2060">
        <v>145</v>
      </c>
      <c r="C2060" s="9" t="s">
        <v>39</v>
      </c>
      <c r="D2060" s="8">
        <v>0.184</v>
      </c>
    </row>
    <row r="2061" spans="1:4" x14ac:dyDescent="0.35">
      <c r="A2061" t="str">
        <f t="shared" si="32"/>
        <v>145Total Fees</v>
      </c>
      <c r="B2061">
        <v>145</v>
      </c>
      <c r="C2061" s="9" t="s">
        <v>40</v>
      </c>
      <c r="D2061" s="8">
        <v>0</v>
      </c>
    </row>
    <row r="2062" spans="1:4" x14ac:dyDescent="0.35">
      <c r="A2062" t="str">
        <f t="shared" si="32"/>
        <v>145Estimated Strategy Capacity</v>
      </c>
      <c r="B2062">
        <v>145</v>
      </c>
      <c r="C2062" s="9" t="s">
        <v>41</v>
      </c>
      <c r="D2062" s="8">
        <v>8900000000</v>
      </c>
    </row>
    <row r="2063" spans="1:4" x14ac:dyDescent="0.35">
      <c r="A2063" t="str">
        <f t="shared" si="32"/>
        <v>135PSR</v>
      </c>
      <c r="B2063">
        <v>135</v>
      </c>
      <c r="C2063" s="9" t="s">
        <v>27</v>
      </c>
      <c r="D2063" s="8">
        <v>0.51597999999999999</v>
      </c>
    </row>
    <row r="2064" spans="1:4" x14ac:dyDescent="0.35">
      <c r="A2064" t="str">
        <f t="shared" si="32"/>
        <v>135Sharpe Ratio</v>
      </c>
      <c r="B2064">
        <v>135</v>
      </c>
      <c r="C2064" s="9" t="s">
        <v>1</v>
      </c>
      <c r="D2064" s="8">
        <v>1.236</v>
      </c>
    </row>
    <row r="2065" spans="1:4" x14ac:dyDescent="0.35">
      <c r="A2065" t="str">
        <f t="shared" si="32"/>
        <v>135Total Trades</v>
      </c>
      <c r="B2065">
        <v>135</v>
      </c>
      <c r="C2065" s="9" t="s">
        <v>28</v>
      </c>
      <c r="D2065" s="8">
        <v>194</v>
      </c>
    </row>
    <row r="2066" spans="1:4" x14ac:dyDescent="0.35">
      <c r="A2066" t="str">
        <f t="shared" si="32"/>
        <v>135Average Win</v>
      </c>
      <c r="B2066">
        <v>135</v>
      </c>
      <c r="C2066" s="9" t="s">
        <v>25</v>
      </c>
      <c r="D2066" s="8">
        <v>0.16889999999999999</v>
      </c>
    </row>
    <row r="2067" spans="1:4" x14ac:dyDescent="0.35">
      <c r="A2067" t="str">
        <f t="shared" si="32"/>
        <v>135Average Loss</v>
      </c>
      <c r="B2067">
        <v>135</v>
      </c>
      <c r="C2067" s="9" t="s">
        <v>29</v>
      </c>
      <c r="D2067" s="8">
        <v>-5.79E-2</v>
      </c>
    </row>
    <row r="2068" spans="1:4" x14ac:dyDescent="0.35">
      <c r="A2068" t="str">
        <f t="shared" si="32"/>
        <v>135Compounding Annual Return</v>
      </c>
      <c r="B2068">
        <v>135</v>
      </c>
      <c r="C2068" s="9" t="s">
        <v>30</v>
      </c>
      <c r="D2068" s="8">
        <v>0.53927000000000003</v>
      </c>
    </row>
    <row r="2069" spans="1:4" x14ac:dyDescent="0.35">
      <c r="A2069" t="str">
        <f t="shared" si="32"/>
        <v>135Drawdown</v>
      </c>
      <c r="B2069">
        <v>135</v>
      </c>
      <c r="C2069" s="9" t="s">
        <v>8</v>
      </c>
      <c r="D2069" s="8">
        <v>0.182</v>
      </c>
    </row>
    <row r="2070" spans="1:4" x14ac:dyDescent="0.35">
      <c r="A2070" t="str">
        <f t="shared" si="32"/>
        <v>135Expectancy</v>
      </c>
      <c r="B2070">
        <v>135</v>
      </c>
      <c r="C2070" s="9" t="s">
        <v>31</v>
      </c>
      <c r="D2070" s="8">
        <v>0.96</v>
      </c>
    </row>
    <row r="2071" spans="1:4" x14ac:dyDescent="0.35">
      <c r="A2071" t="str">
        <f t="shared" si="32"/>
        <v>135Net Profit</v>
      </c>
      <c r="B2071">
        <v>135</v>
      </c>
      <c r="C2071" s="9" t="s">
        <v>32</v>
      </c>
      <c r="D2071" s="8">
        <v>0.32157999999999998</v>
      </c>
    </row>
    <row r="2072" spans="1:4" x14ac:dyDescent="0.35">
      <c r="A2072" t="str">
        <f t="shared" si="32"/>
        <v>135Loss Rate</v>
      </c>
      <c r="B2072">
        <v>135</v>
      </c>
      <c r="C2072" s="9" t="s">
        <v>33</v>
      </c>
      <c r="D2072" s="8">
        <v>0.5</v>
      </c>
    </row>
    <row r="2073" spans="1:4" x14ac:dyDescent="0.35">
      <c r="A2073" t="str">
        <f t="shared" si="32"/>
        <v>135Win Rate</v>
      </c>
      <c r="B2073">
        <v>135</v>
      </c>
      <c r="C2073" s="9" t="s">
        <v>34</v>
      </c>
      <c r="D2073" s="8">
        <v>0.5</v>
      </c>
    </row>
    <row r="2074" spans="1:4" x14ac:dyDescent="0.35">
      <c r="A2074" t="str">
        <f t="shared" si="32"/>
        <v>135Profit-Loss Ratio</v>
      </c>
      <c r="B2074">
        <v>135</v>
      </c>
      <c r="C2074" s="9" t="s">
        <v>26</v>
      </c>
      <c r="D2074" s="8">
        <v>2.92</v>
      </c>
    </row>
    <row r="2075" spans="1:4" x14ac:dyDescent="0.35">
      <c r="A2075" t="str">
        <f t="shared" si="32"/>
        <v>135Alpha</v>
      </c>
      <c r="B2075">
        <v>135</v>
      </c>
      <c r="C2075" s="9" t="s">
        <v>23</v>
      </c>
      <c r="D2075" s="8">
        <v>0.499</v>
      </c>
    </row>
    <row r="2076" spans="1:4" x14ac:dyDescent="0.35">
      <c r="A2076" t="str">
        <f t="shared" si="32"/>
        <v>135Beta</v>
      </c>
      <c r="B2076">
        <v>135</v>
      </c>
      <c r="C2076" s="9" t="s">
        <v>24</v>
      </c>
      <c r="D2076" s="8">
        <v>-1.222</v>
      </c>
    </row>
    <row r="2077" spans="1:4" x14ac:dyDescent="0.35">
      <c r="A2077" t="str">
        <f t="shared" si="32"/>
        <v>135Annual Standard Deviation</v>
      </c>
      <c r="B2077">
        <v>135</v>
      </c>
      <c r="C2077" s="9" t="s">
        <v>35</v>
      </c>
      <c r="D2077" s="8">
        <v>0.34100000000000003</v>
      </c>
    </row>
    <row r="2078" spans="1:4" x14ac:dyDescent="0.35">
      <c r="A2078" t="str">
        <f t="shared" si="32"/>
        <v>135Annual Variance</v>
      </c>
      <c r="B2078">
        <v>135</v>
      </c>
      <c r="C2078" s="9" t="s">
        <v>36</v>
      </c>
      <c r="D2078" s="8">
        <v>0.11600000000000001</v>
      </c>
    </row>
    <row r="2079" spans="1:4" x14ac:dyDescent="0.35">
      <c r="A2079" t="str">
        <f t="shared" si="32"/>
        <v>135Information Ratio</v>
      </c>
      <c r="B2079">
        <v>135</v>
      </c>
      <c r="C2079" s="9" t="s">
        <v>37</v>
      </c>
      <c r="D2079" s="8">
        <v>0.98599999999999999</v>
      </c>
    </row>
    <row r="2080" spans="1:4" x14ac:dyDescent="0.35">
      <c r="A2080" t="str">
        <f t="shared" si="32"/>
        <v>135Tracking Error</v>
      </c>
      <c r="B2080">
        <v>135</v>
      </c>
      <c r="C2080" s="9" t="s">
        <v>38</v>
      </c>
      <c r="D2080" s="8">
        <v>0.36299999999999999</v>
      </c>
    </row>
    <row r="2081" spans="1:4" x14ac:dyDescent="0.35">
      <c r="A2081" t="str">
        <f t="shared" si="32"/>
        <v>135Treynor Ratio</v>
      </c>
      <c r="B2081">
        <v>135</v>
      </c>
      <c r="C2081" s="9" t="s">
        <v>39</v>
      </c>
      <c r="D2081" s="8">
        <v>-0.34399999999999997</v>
      </c>
    </row>
    <row r="2082" spans="1:4" x14ac:dyDescent="0.35">
      <c r="A2082" t="str">
        <f t="shared" si="32"/>
        <v>135Total Fees</v>
      </c>
      <c r="B2082">
        <v>135</v>
      </c>
      <c r="C2082" s="9" t="s">
        <v>40</v>
      </c>
      <c r="D2082" s="8">
        <v>0</v>
      </c>
    </row>
    <row r="2083" spans="1:4" x14ac:dyDescent="0.35">
      <c r="A2083" t="str">
        <f t="shared" si="32"/>
        <v>135Estimated Strategy Capacity</v>
      </c>
      <c r="B2083">
        <v>135</v>
      </c>
      <c r="C2083" s="9" t="s">
        <v>41</v>
      </c>
      <c r="D2083" s="8">
        <v>30000000</v>
      </c>
    </row>
    <row r="2084" spans="1:4" x14ac:dyDescent="0.35">
      <c r="A2084" t="str">
        <f t="shared" si="32"/>
        <v>134PSR</v>
      </c>
      <c r="B2084">
        <v>134</v>
      </c>
      <c r="C2084" s="9" t="s">
        <v>27</v>
      </c>
      <c r="D2084" s="8">
        <v>0.46274999999999999</v>
      </c>
    </row>
    <row r="2085" spans="1:4" x14ac:dyDescent="0.35">
      <c r="A2085" t="str">
        <f t="shared" si="32"/>
        <v>134Sharpe Ratio</v>
      </c>
      <c r="B2085">
        <v>134</v>
      </c>
      <c r="C2085" s="9" t="s">
        <v>1</v>
      </c>
      <c r="D2085" s="8">
        <v>0.95399999999999996</v>
      </c>
    </row>
    <row r="2086" spans="1:4" x14ac:dyDescent="0.35">
      <c r="A2086" t="str">
        <f t="shared" si="32"/>
        <v>134Total Trades</v>
      </c>
      <c r="B2086">
        <v>134</v>
      </c>
      <c r="C2086" s="9" t="s">
        <v>28</v>
      </c>
      <c r="D2086" s="8">
        <v>194</v>
      </c>
    </row>
    <row r="2087" spans="1:4" x14ac:dyDescent="0.35">
      <c r="A2087" t="str">
        <f t="shared" si="32"/>
        <v>134Average Win</v>
      </c>
      <c r="B2087">
        <v>134</v>
      </c>
      <c r="C2087" s="9" t="s">
        <v>25</v>
      </c>
      <c r="D2087" s="8">
        <v>3.5999999999999997E-2</v>
      </c>
    </row>
    <row r="2088" spans="1:4" x14ac:dyDescent="0.35">
      <c r="A2088" t="str">
        <f t="shared" si="32"/>
        <v>134Average Loss</v>
      </c>
      <c r="B2088">
        <v>134</v>
      </c>
      <c r="C2088" s="9" t="s">
        <v>29</v>
      </c>
      <c r="D2088" s="8">
        <v>-1.47E-2</v>
      </c>
    </row>
    <row r="2089" spans="1:4" x14ac:dyDescent="0.35">
      <c r="A2089" t="str">
        <f t="shared" si="32"/>
        <v>134Compounding Annual Return</v>
      </c>
      <c r="B2089">
        <v>134</v>
      </c>
      <c r="C2089" s="9" t="s">
        <v>30</v>
      </c>
      <c r="D2089" s="8">
        <v>0.10122</v>
      </c>
    </row>
    <row r="2090" spans="1:4" x14ac:dyDescent="0.35">
      <c r="A2090" t="str">
        <f t="shared" si="32"/>
        <v>134Drawdown</v>
      </c>
      <c r="B2090">
        <v>134</v>
      </c>
      <c r="C2090" s="9" t="s">
        <v>8</v>
      </c>
      <c r="D2090" s="8">
        <v>5.0999999999999997E-2</v>
      </c>
    </row>
    <row r="2091" spans="1:4" x14ac:dyDescent="0.35">
      <c r="A2091" t="str">
        <f t="shared" si="32"/>
        <v>134Expectancy</v>
      </c>
      <c r="B2091">
        <v>134</v>
      </c>
      <c r="C2091" s="9" t="s">
        <v>31</v>
      </c>
      <c r="D2091" s="8">
        <v>0.72599999999999998</v>
      </c>
    </row>
    <row r="2092" spans="1:4" x14ac:dyDescent="0.35">
      <c r="A2092" t="str">
        <f t="shared" si="32"/>
        <v>134Net Profit</v>
      </c>
      <c r="B2092">
        <v>134</v>
      </c>
      <c r="C2092" s="9" t="s">
        <v>32</v>
      </c>
      <c r="D2092" s="8">
        <v>6.4320000000000002E-2</v>
      </c>
    </row>
    <row r="2093" spans="1:4" x14ac:dyDescent="0.35">
      <c r="A2093" t="str">
        <f t="shared" si="32"/>
        <v>134Loss Rate</v>
      </c>
      <c r="B2093">
        <v>134</v>
      </c>
      <c r="C2093" s="9" t="s">
        <v>33</v>
      </c>
      <c r="D2093" s="8">
        <v>0.5</v>
      </c>
    </row>
    <row r="2094" spans="1:4" x14ac:dyDescent="0.35">
      <c r="A2094" t="str">
        <f t="shared" si="32"/>
        <v>134Win Rate</v>
      </c>
      <c r="B2094">
        <v>134</v>
      </c>
      <c r="C2094" s="9" t="s">
        <v>34</v>
      </c>
      <c r="D2094" s="8">
        <v>0.5</v>
      </c>
    </row>
    <row r="2095" spans="1:4" x14ac:dyDescent="0.35">
      <c r="A2095" t="str">
        <f t="shared" si="32"/>
        <v>134Profit-Loss Ratio</v>
      </c>
      <c r="B2095">
        <v>134</v>
      </c>
      <c r="C2095" s="9" t="s">
        <v>26</v>
      </c>
      <c r="D2095" s="8">
        <v>2.4500000000000002</v>
      </c>
    </row>
    <row r="2096" spans="1:4" x14ac:dyDescent="0.35">
      <c r="A2096" t="str">
        <f t="shared" si="32"/>
        <v>134Alpha</v>
      </c>
      <c r="B2096">
        <v>134</v>
      </c>
      <c r="C2096" s="9" t="s">
        <v>23</v>
      </c>
      <c r="D2096" s="8">
        <v>8.8999999999999996E-2</v>
      </c>
    </row>
    <row r="2097" spans="1:4" x14ac:dyDescent="0.35">
      <c r="A2097" t="str">
        <f t="shared" si="32"/>
        <v>134Beta</v>
      </c>
      <c r="B2097">
        <v>134</v>
      </c>
      <c r="C2097" s="9" t="s">
        <v>24</v>
      </c>
      <c r="D2097" s="8">
        <v>-0.27</v>
      </c>
    </row>
    <row r="2098" spans="1:4" x14ac:dyDescent="0.35">
      <c r="A2098" t="str">
        <f t="shared" si="32"/>
        <v>134Annual Standard Deviation</v>
      </c>
      <c r="B2098">
        <v>134</v>
      </c>
      <c r="C2098" s="9" t="s">
        <v>35</v>
      </c>
      <c r="D2098" s="8">
        <v>7.5999999999999998E-2</v>
      </c>
    </row>
    <row r="2099" spans="1:4" x14ac:dyDescent="0.35">
      <c r="A2099" t="str">
        <f t="shared" si="32"/>
        <v>134Annual Variance</v>
      </c>
      <c r="B2099">
        <v>134</v>
      </c>
      <c r="C2099" s="9" t="s">
        <v>36</v>
      </c>
      <c r="D2099" s="8">
        <v>6.0000000000000001E-3</v>
      </c>
    </row>
    <row r="2100" spans="1:4" x14ac:dyDescent="0.35">
      <c r="A2100" t="str">
        <f t="shared" si="32"/>
        <v>134Information Ratio</v>
      </c>
      <c r="B2100">
        <v>134</v>
      </c>
      <c r="C2100" s="9" t="s">
        <v>37</v>
      </c>
      <c r="D2100" s="8">
        <v>7.4999999999999997E-2</v>
      </c>
    </row>
    <row r="2101" spans="1:4" x14ac:dyDescent="0.35">
      <c r="A2101" t="str">
        <f t="shared" si="32"/>
        <v>134Tracking Error</v>
      </c>
      <c r="B2101">
        <v>134</v>
      </c>
      <c r="C2101" s="9" t="s">
        <v>38</v>
      </c>
      <c r="D2101" s="8">
        <v>0.112</v>
      </c>
    </row>
    <row r="2102" spans="1:4" x14ac:dyDescent="0.35">
      <c r="A2102" t="str">
        <f t="shared" si="32"/>
        <v>134Treynor Ratio</v>
      </c>
      <c r="B2102">
        <v>134</v>
      </c>
      <c r="C2102" s="9" t="s">
        <v>39</v>
      </c>
      <c r="D2102" s="8">
        <v>-0.26700000000000002</v>
      </c>
    </row>
    <row r="2103" spans="1:4" x14ac:dyDescent="0.35">
      <c r="A2103" t="str">
        <f t="shared" si="32"/>
        <v>134Total Fees</v>
      </c>
      <c r="B2103">
        <v>134</v>
      </c>
      <c r="C2103" s="9" t="s">
        <v>40</v>
      </c>
      <c r="D2103" s="8">
        <v>0</v>
      </c>
    </row>
    <row r="2104" spans="1:4" x14ac:dyDescent="0.35">
      <c r="A2104" t="str">
        <f t="shared" si="32"/>
        <v>134Estimated Strategy Capacity</v>
      </c>
      <c r="B2104">
        <v>134</v>
      </c>
      <c r="C2104" s="9" t="s">
        <v>41</v>
      </c>
      <c r="D2104" s="8">
        <v>120000000</v>
      </c>
    </row>
    <row r="2105" spans="1:4" x14ac:dyDescent="0.35">
      <c r="A2105" t="str">
        <f t="shared" si="32"/>
        <v>133PSR</v>
      </c>
      <c r="B2105">
        <v>133</v>
      </c>
      <c r="C2105" s="9" t="s">
        <v>27</v>
      </c>
      <c r="D2105" s="8">
        <v>0.44779999999999998</v>
      </c>
    </row>
    <row r="2106" spans="1:4" x14ac:dyDescent="0.35">
      <c r="A2106" t="str">
        <f t="shared" si="32"/>
        <v>133Sharpe Ratio</v>
      </c>
      <c r="B2106">
        <v>133</v>
      </c>
      <c r="C2106" s="9" t="s">
        <v>1</v>
      </c>
      <c r="D2106" s="8">
        <v>0.89100000000000001</v>
      </c>
    </row>
    <row r="2107" spans="1:4" x14ac:dyDescent="0.35">
      <c r="A2107" t="str">
        <f t="shared" si="32"/>
        <v>133Total Trades</v>
      </c>
      <c r="B2107">
        <v>133</v>
      </c>
      <c r="C2107" s="9" t="s">
        <v>28</v>
      </c>
      <c r="D2107" s="8">
        <v>194</v>
      </c>
    </row>
    <row r="2108" spans="1:4" x14ac:dyDescent="0.35">
      <c r="A2108" t="str">
        <f t="shared" si="32"/>
        <v>133Average Win</v>
      </c>
      <c r="B2108">
        <v>133</v>
      </c>
      <c r="C2108" s="9" t="s">
        <v>25</v>
      </c>
      <c r="D2108" s="8">
        <v>3.7000000000000002E-3</v>
      </c>
    </row>
    <row r="2109" spans="1:4" x14ac:dyDescent="0.35">
      <c r="A2109" t="str">
        <f t="shared" si="32"/>
        <v>133Average Loss</v>
      </c>
      <c r="B2109">
        <v>133</v>
      </c>
      <c r="C2109" s="9" t="s">
        <v>29</v>
      </c>
      <c r="D2109" s="8">
        <v>-1.6000000000000001E-3</v>
      </c>
    </row>
    <row r="2110" spans="1:4" x14ac:dyDescent="0.35">
      <c r="A2110" t="str">
        <f t="shared" si="32"/>
        <v>133Compounding Annual Return</v>
      </c>
      <c r="B2110">
        <v>133</v>
      </c>
      <c r="C2110" s="9" t="s">
        <v>30</v>
      </c>
      <c r="D2110" s="8">
        <v>9.9699999999999997E-3</v>
      </c>
    </row>
    <row r="2111" spans="1:4" x14ac:dyDescent="0.35">
      <c r="A2111" t="str">
        <f t="shared" si="32"/>
        <v>133Drawdown</v>
      </c>
      <c r="B2111">
        <v>133</v>
      </c>
      <c r="C2111" s="9" t="s">
        <v>8</v>
      </c>
      <c r="D2111" s="8">
        <v>6.0000000000000001E-3</v>
      </c>
    </row>
    <row r="2112" spans="1:4" x14ac:dyDescent="0.35">
      <c r="A2112" t="str">
        <f t="shared" si="32"/>
        <v>133Expectancy</v>
      </c>
      <c r="B2112">
        <v>133</v>
      </c>
      <c r="C2112" s="9" t="s">
        <v>31</v>
      </c>
      <c r="D2112" s="8">
        <v>0.66700000000000004</v>
      </c>
    </row>
    <row r="2113" spans="1:4" x14ac:dyDescent="0.35">
      <c r="A2113" t="str">
        <f t="shared" si="32"/>
        <v>133Net Profit</v>
      </c>
      <c r="B2113">
        <v>133</v>
      </c>
      <c r="C2113" s="9" t="s">
        <v>32</v>
      </c>
      <c r="D2113" s="8">
        <v>6.43E-3</v>
      </c>
    </row>
    <row r="2114" spans="1:4" x14ac:dyDescent="0.35">
      <c r="A2114" t="str">
        <f t="shared" si="32"/>
        <v>133Loss Rate</v>
      </c>
      <c r="B2114">
        <v>133</v>
      </c>
      <c r="C2114" s="9" t="s">
        <v>33</v>
      </c>
      <c r="D2114" s="8">
        <v>0.5</v>
      </c>
    </row>
    <row r="2115" spans="1:4" x14ac:dyDescent="0.35">
      <c r="A2115" t="str">
        <f t="shared" ref="A2115:A2178" si="33">B2115&amp;C2115</f>
        <v>133Win Rate</v>
      </c>
      <c r="B2115">
        <v>133</v>
      </c>
      <c r="C2115" s="9" t="s">
        <v>34</v>
      </c>
      <c r="D2115" s="8">
        <v>0.5</v>
      </c>
    </row>
    <row r="2116" spans="1:4" x14ac:dyDescent="0.35">
      <c r="A2116" t="str">
        <f t="shared" si="33"/>
        <v>133Profit-Loss Ratio</v>
      </c>
      <c r="B2116">
        <v>133</v>
      </c>
      <c r="C2116" s="9" t="s">
        <v>26</v>
      </c>
      <c r="D2116" s="8">
        <v>2.33</v>
      </c>
    </row>
    <row r="2117" spans="1:4" x14ac:dyDescent="0.35">
      <c r="A2117" t="str">
        <f t="shared" si="33"/>
        <v>133Alpha</v>
      </c>
      <c r="B2117">
        <v>133</v>
      </c>
      <c r="C2117" s="9" t="s">
        <v>23</v>
      </c>
      <c r="D2117" s="8">
        <v>8.9999999999999993E-3</v>
      </c>
    </row>
    <row r="2118" spans="1:4" x14ac:dyDescent="0.35">
      <c r="A2118" t="str">
        <f t="shared" si="33"/>
        <v>133Beta</v>
      </c>
      <c r="B2118">
        <v>133</v>
      </c>
      <c r="C2118" s="9" t="s">
        <v>24</v>
      </c>
      <c r="D2118" s="8">
        <v>-2.8000000000000001E-2</v>
      </c>
    </row>
    <row r="2119" spans="1:4" x14ac:dyDescent="0.35">
      <c r="A2119" t="str">
        <f t="shared" si="33"/>
        <v>133Annual Standard Deviation</v>
      </c>
      <c r="B2119">
        <v>133</v>
      </c>
      <c r="C2119" s="9" t="s">
        <v>35</v>
      </c>
      <c r="D2119" s="8">
        <v>8.0000000000000002E-3</v>
      </c>
    </row>
    <row r="2120" spans="1:4" x14ac:dyDescent="0.35">
      <c r="A2120" t="str">
        <f t="shared" si="33"/>
        <v>133Annual Variance</v>
      </c>
      <c r="B2120">
        <v>133</v>
      </c>
      <c r="C2120" s="9" t="s">
        <v>36</v>
      </c>
      <c r="D2120" s="8">
        <v>0</v>
      </c>
    </row>
    <row r="2121" spans="1:4" x14ac:dyDescent="0.35">
      <c r="A2121" t="str">
        <f t="shared" si="33"/>
        <v>133Information Ratio</v>
      </c>
      <c r="B2121">
        <v>133</v>
      </c>
      <c r="C2121" s="9" t="s">
        <v>37</v>
      </c>
      <c r="D2121" s="8">
        <v>-0.82299999999999995</v>
      </c>
    </row>
    <row r="2122" spans="1:4" x14ac:dyDescent="0.35">
      <c r="A2122" t="str">
        <f t="shared" si="33"/>
        <v>133Tracking Error</v>
      </c>
      <c r="B2122">
        <v>133</v>
      </c>
      <c r="C2122" s="9" t="s">
        <v>38</v>
      </c>
      <c r="D2122" s="8">
        <v>6.9000000000000006E-2</v>
      </c>
    </row>
    <row r="2123" spans="1:4" x14ac:dyDescent="0.35">
      <c r="A2123" t="str">
        <f t="shared" si="33"/>
        <v>133Treynor Ratio</v>
      </c>
      <c r="B2123">
        <v>133</v>
      </c>
      <c r="C2123" s="9" t="s">
        <v>39</v>
      </c>
      <c r="D2123" s="8">
        <v>-0.25</v>
      </c>
    </row>
    <row r="2124" spans="1:4" x14ac:dyDescent="0.35">
      <c r="A2124" t="str">
        <f t="shared" si="33"/>
        <v>133Total Fees</v>
      </c>
      <c r="B2124">
        <v>133</v>
      </c>
      <c r="C2124" s="9" t="s">
        <v>40</v>
      </c>
      <c r="D2124" s="8">
        <v>0</v>
      </c>
    </row>
    <row r="2125" spans="1:4" x14ac:dyDescent="0.35">
      <c r="A2125" t="str">
        <f t="shared" si="33"/>
        <v>133Estimated Strategy Capacity</v>
      </c>
      <c r="B2125">
        <v>133</v>
      </c>
      <c r="C2125" s="9" t="s">
        <v>41</v>
      </c>
      <c r="D2125" s="8">
        <v>1100000000</v>
      </c>
    </row>
    <row r="2126" spans="1:4" x14ac:dyDescent="0.35">
      <c r="A2126" t="str">
        <f t="shared" si="33"/>
        <v>132PSR</v>
      </c>
      <c r="B2126">
        <v>132</v>
      </c>
      <c r="C2126" s="9" t="s">
        <v>27</v>
      </c>
      <c r="D2126" s="8">
        <v>9.3999999999999997E-4</v>
      </c>
    </row>
    <row r="2127" spans="1:4" x14ac:dyDescent="0.35">
      <c r="A2127" t="str">
        <f t="shared" si="33"/>
        <v>132Sharpe Ratio</v>
      </c>
      <c r="B2127">
        <v>132</v>
      </c>
      <c r="C2127" s="9" t="s">
        <v>1</v>
      </c>
      <c r="D2127" s="8">
        <v>-1.08</v>
      </c>
    </row>
    <row r="2128" spans="1:4" x14ac:dyDescent="0.35">
      <c r="A2128" t="str">
        <f t="shared" si="33"/>
        <v>132Total Trades</v>
      </c>
      <c r="B2128">
        <v>132</v>
      </c>
      <c r="C2128" s="9" t="s">
        <v>28</v>
      </c>
      <c r="D2128" s="8">
        <v>277</v>
      </c>
    </row>
    <row r="2129" spans="1:4" x14ac:dyDescent="0.35">
      <c r="A2129" t="str">
        <f t="shared" si="33"/>
        <v>132Average Win</v>
      </c>
      <c r="B2129">
        <v>132</v>
      </c>
      <c r="C2129" s="9" t="s">
        <v>25</v>
      </c>
      <c r="D2129" s="8">
        <v>0.1123</v>
      </c>
    </row>
    <row r="2130" spans="1:4" x14ac:dyDescent="0.35">
      <c r="A2130" t="str">
        <f t="shared" si="33"/>
        <v>132Average Loss</v>
      </c>
      <c r="B2130">
        <v>132</v>
      </c>
      <c r="C2130" s="9" t="s">
        <v>29</v>
      </c>
      <c r="D2130" s="8">
        <v>-0.11940000000000001</v>
      </c>
    </row>
    <row r="2131" spans="1:4" x14ac:dyDescent="0.35">
      <c r="A2131" t="str">
        <f t="shared" si="33"/>
        <v>132Compounding Annual Return</v>
      </c>
      <c r="B2131">
        <v>132</v>
      </c>
      <c r="C2131" s="9" t="s">
        <v>30</v>
      </c>
      <c r="D2131" s="8">
        <v>-0.68932000000000004</v>
      </c>
    </row>
    <row r="2132" spans="1:4" x14ac:dyDescent="0.35">
      <c r="A2132" t="str">
        <f t="shared" si="33"/>
        <v>132Drawdown</v>
      </c>
      <c r="B2132">
        <v>132</v>
      </c>
      <c r="C2132" s="9" t="s">
        <v>8</v>
      </c>
      <c r="D2132" s="8">
        <v>0.54800000000000004</v>
      </c>
    </row>
    <row r="2133" spans="1:4" x14ac:dyDescent="0.35">
      <c r="A2133" t="str">
        <f t="shared" si="33"/>
        <v>132Expectancy</v>
      </c>
      <c r="B2133">
        <v>132</v>
      </c>
      <c r="C2133" s="9" t="s">
        <v>31</v>
      </c>
      <c r="D2133" s="8">
        <v>-0.56899999999999995</v>
      </c>
    </row>
    <row r="2134" spans="1:4" x14ac:dyDescent="0.35">
      <c r="A2134" t="str">
        <f t="shared" si="33"/>
        <v>132Net Profit</v>
      </c>
      <c r="B2134">
        <v>132</v>
      </c>
      <c r="C2134" s="9" t="s">
        <v>32</v>
      </c>
      <c r="D2134" s="8">
        <v>-0.53032999999999997</v>
      </c>
    </row>
    <row r="2135" spans="1:4" x14ac:dyDescent="0.35">
      <c r="A2135" t="str">
        <f t="shared" si="33"/>
        <v>132Loss Rate</v>
      </c>
      <c r="B2135">
        <v>132</v>
      </c>
      <c r="C2135" s="9" t="s">
        <v>33</v>
      </c>
      <c r="D2135" s="8">
        <v>0.78</v>
      </c>
    </row>
    <row r="2136" spans="1:4" x14ac:dyDescent="0.35">
      <c r="A2136" t="str">
        <f t="shared" si="33"/>
        <v>132Win Rate</v>
      </c>
      <c r="B2136">
        <v>132</v>
      </c>
      <c r="C2136" s="9" t="s">
        <v>34</v>
      </c>
      <c r="D2136" s="8">
        <v>0.22</v>
      </c>
    </row>
    <row r="2137" spans="1:4" x14ac:dyDescent="0.35">
      <c r="A2137" t="str">
        <f t="shared" si="33"/>
        <v>132Profit-Loss Ratio</v>
      </c>
      <c r="B2137">
        <v>132</v>
      </c>
      <c r="C2137" s="9" t="s">
        <v>26</v>
      </c>
      <c r="D2137" s="8">
        <v>0.94</v>
      </c>
    </row>
    <row r="2138" spans="1:4" x14ac:dyDescent="0.35">
      <c r="A2138" t="str">
        <f t="shared" si="33"/>
        <v>132Alpha</v>
      </c>
      <c r="B2138">
        <v>132</v>
      </c>
      <c r="C2138" s="9" t="s">
        <v>23</v>
      </c>
      <c r="D2138" s="8">
        <v>-0.36299999999999999</v>
      </c>
    </row>
    <row r="2139" spans="1:4" x14ac:dyDescent="0.35">
      <c r="A2139" t="str">
        <f t="shared" si="33"/>
        <v>132Beta</v>
      </c>
      <c r="B2139">
        <v>132</v>
      </c>
      <c r="C2139" s="9" t="s">
        <v>24</v>
      </c>
      <c r="D2139" s="8">
        <v>-2.1120000000000001</v>
      </c>
    </row>
    <row r="2140" spans="1:4" x14ac:dyDescent="0.35">
      <c r="A2140" t="str">
        <f t="shared" si="33"/>
        <v>132Annual Standard Deviation</v>
      </c>
      <c r="B2140">
        <v>132</v>
      </c>
      <c r="C2140" s="9" t="s">
        <v>35</v>
      </c>
      <c r="D2140" s="8">
        <v>0.46100000000000002</v>
      </c>
    </row>
    <row r="2141" spans="1:4" x14ac:dyDescent="0.35">
      <c r="A2141" t="str">
        <f t="shared" si="33"/>
        <v>132Annual Variance</v>
      </c>
      <c r="B2141">
        <v>132</v>
      </c>
      <c r="C2141" s="9" t="s">
        <v>36</v>
      </c>
      <c r="D2141" s="8">
        <v>0.21199999999999999</v>
      </c>
    </row>
    <row r="2142" spans="1:4" x14ac:dyDescent="0.35">
      <c r="A2142" t="str">
        <f t="shared" si="33"/>
        <v>132Information Ratio</v>
      </c>
      <c r="B2142">
        <v>132</v>
      </c>
      <c r="C2142" s="9" t="s">
        <v>37</v>
      </c>
      <c r="D2142" s="8">
        <v>-1.157</v>
      </c>
    </row>
    <row r="2143" spans="1:4" x14ac:dyDescent="0.35">
      <c r="A2143" t="str">
        <f t="shared" si="33"/>
        <v>132Tracking Error</v>
      </c>
      <c r="B2143">
        <v>132</v>
      </c>
      <c r="C2143" s="9" t="s">
        <v>38</v>
      </c>
      <c r="D2143" s="8">
        <v>0.48499999999999999</v>
      </c>
    </row>
    <row r="2144" spans="1:4" x14ac:dyDescent="0.35">
      <c r="A2144" t="str">
        <f t="shared" si="33"/>
        <v>132Treynor Ratio</v>
      </c>
      <c r="B2144">
        <v>132</v>
      </c>
      <c r="C2144" s="9" t="s">
        <v>39</v>
      </c>
      <c r="D2144" s="8">
        <v>0.23599999999999999</v>
      </c>
    </row>
    <row r="2145" spans="1:4" x14ac:dyDescent="0.35">
      <c r="A2145" t="str">
        <f t="shared" si="33"/>
        <v>132Total Fees</v>
      </c>
      <c r="B2145">
        <v>132</v>
      </c>
      <c r="C2145" s="9" t="s">
        <v>40</v>
      </c>
      <c r="D2145" s="8">
        <v>0</v>
      </c>
    </row>
    <row r="2146" spans="1:4" x14ac:dyDescent="0.35">
      <c r="A2146" t="str">
        <f t="shared" si="33"/>
        <v>132Estimated Strategy Capacity</v>
      </c>
      <c r="B2146">
        <v>132</v>
      </c>
      <c r="C2146" s="9" t="s">
        <v>41</v>
      </c>
      <c r="D2146" s="8">
        <v>28000000</v>
      </c>
    </row>
    <row r="2147" spans="1:4" x14ac:dyDescent="0.35">
      <c r="A2147" t="str">
        <f t="shared" si="33"/>
        <v>131PSR</v>
      </c>
      <c r="B2147">
        <v>131</v>
      </c>
      <c r="C2147" s="9" t="s">
        <v>27</v>
      </c>
      <c r="D2147" s="8">
        <v>5.9000000000000003E-4</v>
      </c>
    </row>
    <row r="2148" spans="1:4" x14ac:dyDescent="0.35">
      <c r="A2148" t="str">
        <f t="shared" si="33"/>
        <v>131Sharpe Ratio</v>
      </c>
      <c r="B2148">
        <v>131</v>
      </c>
      <c r="C2148" s="9" t="s">
        <v>1</v>
      </c>
      <c r="D2148" s="8">
        <v>-1.47</v>
      </c>
    </row>
    <row r="2149" spans="1:4" x14ac:dyDescent="0.35">
      <c r="A2149" t="str">
        <f t="shared" si="33"/>
        <v>131Total Trades</v>
      </c>
      <c r="B2149">
        <v>131</v>
      </c>
      <c r="C2149" s="9" t="s">
        <v>28</v>
      </c>
      <c r="D2149" s="8">
        <v>278</v>
      </c>
    </row>
    <row r="2150" spans="1:4" x14ac:dyDescent="0.35">
      <c r="A2150" t="str">
        <f t="shared" si="33"/>
        <v>131Average Win</v>
      </c>
      <c r="B2150">
        <v>131</v>
      </c>
      <c r="C2150" s="9" t="s">
        <v>25</v>
      </c>
      <c r="D2150" s="8">
        <v>1.8499999999999999E-2</v>
      </c>
    </row>
    <row r="2151" spans="1:4" x14ac:dyDescent="0.35">
      <c r="A2151" t="str">
        <f t="shared" si="33"/>
        <v>131Average Loss</v>
      </c>
      <c r="B2151">
        <v>131</v>
      </c>
      <c r="C2151" s="9" t="s">
        <v>29</v>
      </c>
      <c r="D2151" s="8">
        <v>-2.1299999999999999E-2</v>
      </c>
    </row>
    <row r="2152" spans="1:4" x14ac:dyDescent="0.35">
      <c r="A2152" t="str">
        <f t="shared" si="33"/>
        <v>131Compounding Annual Return</v>
      </c>
      <c r="B2152">
        <v>131</v>
      </c>
      <c r="C2152" s="9" t="s">
        <v>30</v>
      </c>
      <c r="D2152" s="8">
        <v>-0.16638</v>
      </c>
    </row>
    <row r="2153" spans="1:4" x14ac:dyDescent="0.35">
      <c r="A2153" t="str">
        <f t="shared" si="33"/>
        <v>131Drawdown</v>
      </c>
      <c r="B2153">
        <v>131</v>
      </c>
      <c r="C2153" s="9" t="s">
        <v>8</v>
      </c>
      <c r="D2153" s="8">
        <v>0.11700000000000001</v>
      </c>
    </row>
    <row r="2154" spans="1:4" x14ac:dyDescent="0.35">
      <c r="A2154" t="str">
        <f t="shared" si="33"/>
        <v>131Expectancy</v>
      </c>
      <c r="B2154">
        <v>131</v>
      </c>
      <c r="C2154" s="9" t="s">
        <v>31</v>
      </c>
      <c r="D2154" s="8">
        <v>-0.58499999999999996</v>
      </c>
    </row>
    <row r="2155" spans="1:4" x14ac:dyDescent="0.35">
      <c r="A2155" t="str">
        <f t="shared" si="33"/>
        <v>131Net Profit</v>
      </c>
      <c r="B2155">
        <v>131</v>
      </c>
      <c r="C2155" s="9" t="s">
        <v>32</v>
      </c>
      <c r="D2155" s="8">
        <v>-0.11099000000000001</v>
      </c>
    </row>
    <row r="2156" spans="1:4" x14ac:dyDescent="0.35">
      <c r="A2156" t="str">
        <f t="shared" si="33"/>
        <v>131Loss Rate</v>
      </c>
      <c r="B2156">
        <v>131</v>
      </c>
      <c r="C2156" s="9" t="s">
        <v>33</v>
      </c>
      <c r="D2156" s="8">
        <v>0.78</v>
      </c>
    </row>
    <row r="2157" spans="1:4" x14ac:dyDescent="0.35">
      <c r="A2157" t="str">
        <f t="shared" si="33"/>
        <v>131Win Rate</v>
      </c>
      <c r="B2157">
        <v>131</v>
      </c>
      <c r="C2157" s="9" t="s">
        <v>34</v>
      </c>
      <c r="D2157" s="8">
        <v>0.22</v>
      </c>
    </row>
    <row r="2158" spans="1:4" x14ac:dyDescent="0.35">
      <c r="A2158" t="str">
        <f t="shared" si="33"/>
        <v>131Profit-Loss Ratio</v>
      </c>
      <c r="B2158">
        <v>131</v>
      </c>
      <c r="C2158" s="9" t="s">
        <v>26</v>
      </c>
      <c r="D2158" s="8">
        <v>0.87</v>
      </c>
    </row>
    <row r="2159" spans="1:4" x14ac:dyDescent="0.35">
      <c r="A2159" t="str">
        <f t="shared" si="33"/>
        <v>131Alpha</v>
      </c>
      <c r="B2159">
        <v>131</v>
      </c>
      <c r="C2159" s="9" t="s">
        <v>23</v>
      </c>
      <c r="D2159" s="8">
        <v>-9.2999999999999999E-2</v>
      </c>
    </row>
    <row r="2160" spans="1:4" x14ac:dyDescent="0.35">
      <c r="A2160" t="str">
        <f t="shared" si="33"/>
        <v>131Beta</v>
      </c>
      <c r="B2160">
        <v>131</v>
      </c>
      <c r="C2160" s="9" t="s">
        <v>24</v>
      </c>
      <c r="D2160" s="8">
        <v>-0.35299999999999998</v>
      </c>
    </row>
    <row r="2161" spans="1:4" x14ac:dyDescent="0.35">
      <c r="A2161" t="str">
        <f t="shared" si="33"/>
        <v>131Annual Standard Deviation</v>
      </c>
      <c r="B2161">
        <v>131</v>
      </c>
      <c r="C2161" s="9" t="s">
        <v>35</v>
      </c>
      <c r="D2161" s="8">
        <v>7.9000000000000001E-2</v>
      </c>
    </row>
    <row r="2162" spans="1:4" x14ac:dyDescent="0.35">
      <c r="A2162" t="str">
        <f t="shared" si="33"/>
        <v>131Annual Variance</v>
      </c>
      <c r="B2162">
        <v>131</v>
      </c>
      <c r="C2162" s="9" t="s">
        <v>36</v>
      </c>
      <c r="D2162" s="8">
        <v>6.0000000000000001E-3</v>
      </c>
    </row>
    <row r="2163" spans="1:4" x14ac:dyDescent="0.35">
      <c r="A2163" t="str">
        <f t="shared" si="33"/>
        <v>131Information Ratio</v>
      </c>
      <c r="B2163">
        <v>131</v>
      </c>
      <c r="C2163" s="9" t="s">
        <v>37</v>
      </c>
      <c r="D2163" s="8">
        <v>-1.528</v>
      </c>
    </row>
    <row r="2164" spans="1:4" x14ac:dyDescent="0.35">
      <c r="A2164" t="str">
        <f t="shared" si="33"/>
        <v>131Tracking Error</v>
      </c>
      <c r="B2164">
        <v>131</v>
      </c>
      <c r="C2164" s="9" t="s">
        <v>38</v>
      </c>
      <c r="D2164" s="8">
        <v>0.11700000000000001</v>
      </c>
    </row>
    <row r="2165" spans="1:4" x14ac:dyDescent="0.35">
      <c r="A2165" t="str">
        <f t="shared" si="33"/>
        <v>131Treynor Ratio</v>
      </c>
      <c r="B2165">
        <v>131</v>
      </c>
      <c r="C2165" s="9" t="s">
        <v>39</v>
      </c>
      <c r="D2165" s="8">
        <v>0.32800000000000001</v>
      </c>
    </row>
    <row r="2166" spans="1:4" x14ac:dyDescent="0.35">
      <c r="A2166" t="str">
        <f t="shared" si="33"/>
        <v>131Total Fees</v>
      </c>
      <c r="B2166">
        <v>131</v>
      </c>
      <c r="C2166" s="9" t="s">
        <v>40</v>
      </c>
      <c r="D2166" s="8">
        <v>0</v>
      </c>
    </row>
    <row r="2167" spans="1:4" x14ac:dyDescent="0.35">
      <c r="A2167" t="str">
        <f t="shared" si="33"/>
        <v>131Estimated Strategy Capacity</v>
      </c>
      <c r="B2167">
        <v>131</v>
      </c>
      <c r="C2167" s="9" t="s">
        <v>41</v>
      </c>
      <c r="D2167" s="8">
        <v>250000000</v>
      </c>
    </row>
    <row r="2168" spans="1:4" x14ac:dyDescent="0.35">
      <c r="A2168" t="str">
        <f t="shared" si="33"/>
        <v>130PSR</v>
      </c>
      <c r="B2168">
        <v>130</v>
      </c>
      <c r="C2168" s="9" t="s">
        <v>27</v>
      </c>
      <c r="D2168" s="8">
        <v>5.8E-4</v>
      </c>
    </row>
    <row r="2169" spans="1:4" x14ac:dyDescent="0.35">
      <c r="A2169" t="str">
        <f t="shared" si="33"/>
        <v>130Sharpe Ratio</v>
      </c>
      <c r="B2169">
        <v>130</v>
      </c>
      <c r="C2169" s="9" t="s">
        <v>1</v>
      </c>
      <c r="D2169" s="8">
        <v>-1.5660000000000001</v>
      </c>
    </row>
    <row r="2170" spans="1:4" x14ac:dyDescent="0.35">
      <c r="A2170" t="str">
        <f t="shared" si="33"/>
        <v>130Total Trades</v>
      </c>
      <c r="B2170">
        <v>130</v>
      </c>
      <c r="C2170" s="9" t="s">
        <v>28</v>
      </c>
      <c r="D2170" s="8">
        <v>278</v>
      </c>
    </row>
    <row r="2171" spans="1:4" x14ac:dyDescent="0.35">
      <c r="A2171" t="str">
        <f t="shared" si="33"/>
        <v>130Average Win</v>
      </c>
      <c r="B2171">
        <v>130</v>
      </c>
      <c r="C2171" s="9" t="s">
        <v>25</v>
      </c>
      <c r="D2171" s="8">
        <v>1.8E-3</v>
      </c>
    </row>
    <row r="2172" spans="1:4" x14ac:dyDescent="0.35">
      <c r="A2172" t="str">
        <f t="shared" si="33"/>
        <v>130Average Loss</v>
      </c>
      <c r="B2172">
        <v>130</v>
      </c>
      <c r="C2172" s="9" t="s">
        <v>29</v>
      </c>
      <c r="D2172" s="8">
        <v>-2.0999999999999999E-3</v>
      </c>
    </row>
    <row r="2173" spans="1:4" x14ac:dyDescent="0.35">
      <c r="A2173" t="str">
        <f t="shared" si="33"/>
        <v>130Compounding Annual Return</v>
      </c>
      <c r="B2173">
        <v>130</v>
      </c>
      <c r="C2173" s="9" t="s">
        <v>30</v>
      </c>
      <c r="D2173" s="8">
        <v>-1.712E-2</v>
      </c>
    </row>
    <row r="2174" spans="1:4" x14ac:dyDescent="0.35">
      <c r="A2174" t="str">
        <f t="shared" si="33"/>
        <v>130Drawdown</v>
      </c>
      <c r="B2174">
        <v>130</v>
      </c>
      <c r="C2174" s="9" t="s">
        <v>8</v>
      </c>
      <c r="D2174" s="8">
        <v>1.2E-2</v>
      </c>
    </row>
    <row r="2175" spans="1:4" x14ac:dyDescent="0.35">
      <c r="A2175" t="str">
        <f t="shared" si="33"/>
        <v>130Expectancy</v>
      </c>
      <c r="B2175">
        <v>130</v>
      </c>
      <c r="C2175" s="9" t="s">
        <v>31</v>
      </c>
      <c r="D2175" s="8">
        <v>-0.58599999999999997</v>
      </c>
    </row>
    <row r="2176" spans="1:4" x14ac:dyDescent="0.35">
      <c r="A2176" t="str">
        <f t="shared" si="33"/>
        <v>130Net Profit</v>
      </c>
      <c r="B2176">
        <v>130</v>
      </c>
      <c r="C2176" s="9" t="s">
        <v>32</v>
      </c>
      <c r="D2176" s="8">
        <v>-1.11E-2</v>
      </c>
    </row>
    <row r="2177" spans="1:4" x14ac:dyDescent="0.35">
      <c r="A2177" t="str">
        <f t="shared" si="33"/>
        <v>130Loss Rate</v>
      </c>
      <c r="B2177">
        <v>130</v>
      </c>
      <c r="C2177" s="9" t="s">
        <v>33</v>
      </c>
      <c r="D2177" s="8">
        <v>0.78</v>
      </c>
    </row>
    <row r="2178" spans="1:4" x14ac:dyDescent="0.35">
      <c r="A2178" t="str">
        <f t="shared" si="33"/>
        <v>130Win Rate</v>
      </c>
      <c r="B2178">
        <v>130</v>
      </c>
      <c r="C2178" s="9" t="s">
        <v>34</v>
      </c>
      <c r="D2178" s="8">
        <v>0.22</v>
      </c>
    </row>
    <row r="2179" spans="1:4" x14ac:dyDescent="0.35">
      <c r="A2179" t="str">
        <f t="shared" ref="A2179:A2242" si="34">B2179&amp;C2179</f>
        <v>130Profit-Loss Ratio</v>
      </c>
      <c r="B2179">
        <v>130</v>
      </c>
      <c r="C2179" s="9" t="s">
        <v>26</v>
      </c>
      <c r="D2179" s="8">
        <v>0.86</v>
      </c>
    </row>
    <row r="2180" spans="1:4" x14ac:dyDescent="0.35">
      <c r="A2180" t="str">
        <f t="shared" si="34"/>
        <v>130Alpha</v>
      </c>
      <c r="B2180">
        <v>130</v>
      </c>
      <c r="C2180" s="9" t="s">
        <v>23</v>
      </c>
      <c r="D2180" s="8">
        <v>-0.01</v>
      </c>
    </row>
    <row r="2181" spans="1:4" x14ac:dyDescent="0.35">
      <c r="A2181" t="str">
        <f t="shared" si="34"/>
        <v>130Beta</v>
      </c>
      <c r="B2181">
        <v>130</v>
      </c>
      <c r="C2181" s="9" t="s">
        <v>24</v>
      </c>
      <c r="D2181" s="8">
        <v>-3.4000000000000002E-2</v>
      </c>
    </row>
    <row r="2182" spans="1:4" x14ac:dyDescent="0.35">
      <c r="A2182" t="str">
        <f t="shared" si="34"/>
        <v>130Annual Standard Deviation</v>
      </c>
      <c r="B2182">
        <v>130</v>
      </c>
      <c r="C2182" s="9" t="s">
        <v>35</v>
      </c>
      <c r="D2182" s="8">
        <v>8.0000000000000002E-3</v>
      </c>
    </row>
    <row r="2183" spans="1:4" x14ac:dyDescent="0.35">
      <c r="A2183" t="str">
        <f t="shared" si="34"/>
        <v>130Annual Variance</v>
      </c>
      <c r="B2183">
        <v>130</v>
      </c>
      <c r="C2183" s="9" t="s">
        <v>36</v>
      </c>
      <c r="D2183" s="8">
        <v>0</v>
      </c>
    </row>
    <row r="2184" spans="1:4" x14ac:dyDescent="0.35">
      <c r="A2184" t="str">
        <f t="shared" si="34"/>
        <v>130Information Ratio</v>
      </c>
      <c r="B2184">
        <v>130</v>
      </c>
      <c r="C2184" s="9" t="s">
        <v>37</v>
      </c>
      <c r="D2184" s="8">
        <v>-1.089</v>
      </c>
    </row>
    <row r="2185" spans="1:4" x14ac:dyDescent="0.35">
      <c r="A2185" t="str">
        <f t="shared" si="34"/>
        <v>130Tracking Error</v>
      </c>
      <c r="B2185">
        <v>130</v>
      </c>
      <c r="C2185" s="9" t="s">
        <v>38</v>
      </c>
      <c r="D2185" s="8">
        <v>6.9000000000000006E-2</v>
      </c>
    </row>
    <row r="2186" spans="1:4" x14ac:dyDescent="0.35">
      <c r="A2186" t="str">
        <f t="shared" si="34"/>
        <v>130Treynor Ratio</v>
      </c>
      <c r="B2186">
        <v>130</v>
      </c>
      <c r="C2186" s="9" t="s">
        <v>39</v>
      </c>
      <c r="D2186" s="8">
        <v>0.35</v>
      </c>
    </row>
    <row r="2187" spans="1:4" x14ac:dyDescent="0.35">
      <c r="A2187" t="str">
        <f t="shared" si="34"/>
        <v>130Total Fees</v>
      </c>
      <c r="B2187">
        <v>130</v>
      </c>
      <c r="C2187" s="9" t="s">
        <v>40</v>
      </c>
      <c r="D2187" s="8">
        <v>0</v>
      </c>
    </row>
    <row r="2188" spans="1:4" x14ac:dyDescent="0.35">
      <c r="A2188" t="str">
        <f t="shared" si="34"/>
        <v>130Estimated Strategy Capacity</v>
      </c>
      <c r="B2188">
        <v>130</v>
      </c>
      <c r="C2188" s="9" t="s">
        <v>41</v>
      </c>
      <c r="D2188" s="8">
        <v>2700000000</v>
      </c>
    </row>
    <row r="2189" spans="1:4" x14ac:dyDescent="0.35">
      <c r="A2189" t="str">
        <f t="shared" si="34"/>
        <v>129PSR</v>
      </c>
      <c r="B2189">
        <v>129</v>
      </c>
      <c r="C2189" s="9" t="s">
        <v>27</v>
      </c>
      <c r="D2189" s="8">
        <v>5.3260000000000002E-2</v>
      </c>
    </row>
    <row r="2190" spans="1:4" x14ac:dyDescent="0.35">
      <c r="A2190" t="str">
        <f t="shared" si="34"/>
        <v>129Sharpe Ratio</v>
      </c>
      <c r="B2190">
        <v>129</v>
      </c>
      <c r="C2190" s="9" t="s">
        <v>1</v>
      </c>
      <c r="D2190" s="8">
        <v>-0.61799999999999999</v>
      </c>
    </row>
    <row r="2191" spans="1:4" x14ac:dyDescent="0.35">
      <c r="A2191" t="str">
        <f t="shared" si="34"/>
        <v>129Total Trades</v>
      </c>
      <c r="B2191">
        <v>129</v>
      </c>
      <c r="C2191" s="9" t="s">
        <v>28</v>
      </c>
      <c r="D2191" s="8">
        <v>467</v>
      </c>
    </row>
    <row r="2192" spans="1:4" x14ac:dyDescent="0.35">
      <c r="A2192" t="str">
        <f t="shared" si="34"/>
        <v>129Average Win</v>
      </c>
      <c r="B2192">
        <v>129</v>
      </c>
      <c r="C2192" s="9" t="s">
        <v>25</v>
      </c>
      <c r="D2192" s="8">
        <v>5.2999999999999999E-2</v>
      </c>
    </row>
    <row r="2193" spans="1:4" x14ac:dyDescent="0.35">
      <c r="A2193" t="str">
        <f t="shared" si="34"/>
        <v>129Average Loss</v>
      </c>
      <c r="B2193">
        <v>129</v>
      </c>
      <c r="C2193" s="9" t="s">
        <v>29</v>
      </c>
      <c r="D2193" s="8">
        <v>-4.4299999999999999E-2</v>
      </c>
    </row>
    <row r="2194" spans="1:4" x14ac:dyDescent="0.35">
      <c r="A2194" t="str">
        <f t="shared" si="34"/>
        <v>129Compounding Annual Return</v>
      </c>
      <c r="B2194">
        <v>129</v>
      </c>
      <c r="C2194" s="9" t="s">
        <v>30</v>
      </c>
      <c r="D2194" s="8">
        <v>-0.28738000000000002</v>
      </c>
    </row>
    <row r="2195" spans="1:4" x14ac:dyDescent="0.35">
      <c r="A2195" t="str">
        <f t="shared" si="34"/>
        <v>129Drawdown</v>
      </c>
      <c r="B2195">
        <v>129</v>
      </c>
      <c r="C2195" s="9" t="s">
        <v>8</v>
      </c>
      <c r="D2195" s="8">
        <v>0.27700000000000002</v>
      </c>
    </row>
    <row r="2196" spans="1:4" x14ac:dyDescent="0.35">
      <c r="A2196" t="str">
        <f t="shared" si="34"/>
        <v>129Expectancy</v>
      </c>
      <c r="B2196">
        <v>129</v>
      </c>
      <c r="C2196" s="9" t="s">
        <v>31</v>
      </c>
      <c r="D2196" s="8">
        <v>-0.26800000000000002</v>
      </c>
    </row>
    <row r="2197" spans="1:4" x14ac:dyDescent="0.35">
      <c r="A2197" t="str">
        <f t="shared" si="34"/>
        <v>129Net Profit</v>
      </c>
      <c r="B2197">
        <v>129</v>
      </c>
      <c r="C2197" s="9" t="s">
        <v>32</v>
      </c>
      <c r="D2197" s="8">
        <v>-0.19670000000000001</v>
      </c>
    </row>
    <row r="2198" spans="1:4" x14ac:dyDescent="0.35">
      <c r="A2198" t="str">
        <f t="shared" si="34"/>
        <v>129Loss Rate</v>
      </c>
      <c r="B2198">
        <v>129</v>
      </c>
      <c r="C2198" s="9" t="s">
        <v>33</v>
      </c>
      <c r="D2198" s="8">
        <v>0.67</v>
      </c>
    </row>
    <row r="2199" spans="1:4" x14ac:dyDescent="0.35">
      <c r="A2199" t="str">
        <f t="shared" si="34"/>
        <v>129Win Rate</v>
      </c>
      <c r="B2199">
        <v>129</v>
      </c>
      <c r="C2199" s="9" t="s">
        <v>34</v>
      </c>
      <c r="D2199" s="8">
        <v>0.33</v>
      </c>
    </row>
    <row r="2200" spans="1:4" x14ac:dyDescent="0.35">
      <c r="A2200" t="str">
        <f t="shared" si="34"/>
        <v>129Profit-Loss Ratio</v>
      </c>
      <c r="B2200">
        <v>129</v>
      </c>
      <c r="C2200" s="9" t="s">
        <v>26</v>
      </c>
      <c r="D2200" s="8">
        <v>1.2</v>
      </c>
    </row>
    <row r="2201" spans="1:4" x14ac:dyDescent="0.35">
      <c r="A2201" t="str">
        <f t="shared" si="34"/>
        <v>129Alpha</v>
      </c>
      <c r="B2201">
        <v>129</v>
      </c>
      <c r="C2201" s="9" t="s">
        <v>23</v>
      </c>
      <c r="D2201" s="8">
        <v>-0.10299999999999999</v>
      </c>
    </row>
    <row r="2202" spans="1:4" x14ac:dyDescent="0.35">
      <c r="A2202" t="str">
        <f t="shared" si="34"/>
        <v>129Beta</v>
      </c>
      <c r="B2202">
        <v>129</v>
      </c>
      <c r="C2202" s="9" t="s">
        <v>24</v>
      </c>
      <c r="D2202" s="8">
        <v>-1.1559999999999999</v>
      </c>
    </row>
    <row r="2203" spans="1:4" x14ac:dyDescent="0.35">
      <c r="A2203" t="str">
        <f t="shared" si="34"/>
        <v>129Annual Standard Deviation</v>
      </c>
      <c r="B2203">
        <v>129</v>
      </c>
      <c r="C2203" s="9" t="s">
        <v>35</v>
      </c>
      <c r="D2203" s="8">
        <v>0.28599999999999998</v>
      </c>
    </row>
    <row r="2204" spans="1:4" x14ac:dyDescent="0.35">
      <c r="A2204" t="str">
        <f t="shared" si="34"/>
        <v>129Annual Variance</v>
      </c>
      <c r="B2204">
        <v>129</v>
      </c>
      <c r="C2204" s="9" t="s">
        <v>36</v>
      </c>
      <c r="D2204" s="8">
        <v>8.2000000000000003E-2</v>
      </c>
    </row>
    <row r="2205" spans="1:4" x14ac:dyDescent="0.35">
      <c r="A2205" t="str">
        <f t="shared" si="34"/>
        <v>129Information Ratio</v>
      </c>
      <c r="B2205">
        <v>129</v>
      </c>
      <c r="C2205" s="9" t="s">
        <v>37</v>
      </c>
      <c r="D2205" s="8">
        <v>-0.77400000000000002</v>
      </c>
    </row>
    <row r="2206" spans="1:4" x14ac:dyDescent="0.35">
      <c r="A2206" t="str">
        <f t="shared" si="34"/>
        <v>129Tracking Error</v>
      </c>
      <c r="B2206">
        <v>129</v>
      </c>
      <c r="C2206" s="9" t="s">
        <v>38</v>
      </c>
      <c r="D2206" s="8">
        <v>0.31</v>
      </c>
    </row>
    <row r="2207" spans="1:4" x14ac:dyDescent="0.35">
      <c r="A2207" t="str">
        <f t="shared" si="34"/>
        <v>129Treynor Ratio</v>
      </c>
      <c r="B2207">
        <v>129</v>
      </c>
      <c r="C2207" s="9" t="s">
        <v>39</v>
      </c>
      <c r="D2207" s="8">
        <v>0.153</v>
      </c>
    </row>
    <row r="2208" spans="1:4" x14ac:dyDescent="0.35">
      <c r="A2208" t="str">
        <f t="shared" si="34"/>
        <v>129Total Fees</v>
      </c>
      <c r="B2208">
        <v>129</v>
      </c>
      <c r="C2208" s="9" t="s">
        <v>40</v>
      </c>
      <c r="D2208" s="8">
        <v>0</v>
      </c>
    </row>
    <row r="2209" spans="1:4" x14ac:dyDescent="0.35">
      <c r="A2209" t="str">
        <f t="shared" si="34"/>
        <v>129Estimated Strategy Capacity</v>
      </c>
      <c r="B2209">
        <v>129</v>
      </c>
      <c r="C2209" s="9" t="s">
        <v>41</v>
      </c>
      <c r="D2209" s="8">
        <v>18000000</v>
      </c>
    </row>
    <row r="2210" spans="1:4" x14ac:dyDescent="0.35">
      <c r="A2210" t="str">
        <f t="shared" si="34"/>
        <v>128PSR</v>
      </c>
      <c r="B2210">
        <v>128</v>
      </c>
      <c r="C2210" s="9" t="s">
        <v>27</v>
      </c>
      <c r="D2210" s="8">
        <v>4.3709999999999999E-2</v>
      </c>
    </row>
    <row r="2211" spans="1:4" x14ac:dyDescent="0.35">
      <c r="A2211" t="str">
        <f t="shared" si="34"/>
        <v>128Sharpe Ratio</v>
      </c>
      <c r="B2211">
        <v>128</v>
      </c>
      <c r="C2211" s="9" t="s">
        <v>1</v>
      </c>
      <c r="D2211" s="8">
        <v>-0.753</v>
      </c>
    </row>
    <row r="2212" spans="1:4" x14ac:dyDescent="0.35">
      <c r="A2212" t="str">
        <f t="shared" si="34"/>
        <v>128Total Trades</v>
      </c>
      <c r="B2212">
        <v>128</v>
      </c>
      <c r="C2212" s="9" t="s">
        <v>28</v>
      </c>
      <c r="D2212" s="8">
        <v>467</v>
      </c>
    </row>
    <row r="2213" spans="1:4" x14ac:dyDescent="0.35">
      <c r="A2213" t="str">
        <f t="shared" si="34"/>
        <v>128Average Win</v>
      </c>
      <c r="B2213">
        <v>128</v>
      </c>
      <c r="C2213" s="9" t="s">
        <v>25</v>
      </c>
      <c r="D2213" s="8">
        <v>9.5999999999999992E-3</v>
      </c>
    </row>
    <row r="2214" spans="1:4" x14ac:dyDescent="0.35">
      <c r="A2214" t="str">
        <f t="shared" si="34"/>
        <v>128Average Loss</v>
      </c>
      <c r="B2214">
        <v>128</v>
      </c>
      <c r="C2214" s="9" t="s">
        <v>29</v>
      </c>
      <c r="D2214" s="8">
        <v>-8.6E-3</v>
      </c>
    </row>
    <row r="2215" spans="1:4" x14ac:dyDescent="0.35">
      <c r="A2215" t="str">
        <f t="shared" si="34"/>
        <v>128Compounding Annual Return</v>
      </c>
      <c r="B2215">
        <v>128</v>
      </c>
      <c r="C2215" s="9" t="s">
        <v>30</v>
      </c>
      <c r="D2215" s="8">
        <v>-6.0199999999999997E-2</v>
      </c>
    </row>
    <row r="2216" spans="1:4" x14ac:dyDescent="0.35">
      <c r="A2216" t="str">
        <f t="shared" si="34"/>
        <v>128Drawdown</v>
      </c>
      <c r="B2216">
        <v>128</v>
      </c>
      <c r="C2216" s="9" t="s">
        <v>8</v>
      </c>
      <c r="D2216" s="8">
        <v>5.8999999999999997E-2</v>
      </c>
    </row>
    <row r="2217" spans="1:4" x14ac:dyDescent="0.35">
      <c r="A2217" t="str">
        <f t="shared" si="34"/>
        <v>128Expectancy</v>
      </c>
      <c r="B2217">
        <v>128</v>
      </c>
      <c r="C2217" s="9" t="s">
        <v>31</v>
      </c>
      <c r="D2217" s="8">
        <v>-0.29399999999999998</v>
      </c>
    </row>
    <row r="2218" spans="1:4" x14ac:dyDescent="0.35">
      <c r="A2218" t="str">
        <f t="shared" si="34"/>
        <v>128Net Profit</v>
      </c>
      <c r="B2218">
        <v>128</v>
      </c>
      <c r="C2218" s="9" t="s">
        <v>32</v>
      </c>
      <c r="D2218" s="8">
        <v>-3.934E-2</v>
      </c>
    </row>
    <row r="2219" spans="1:4" x14ac:dyDescent="0.35">
      <c r="A2219" t="str">
        <f t="shared" si="34"/>
        <v>128Loss Rate</v>
      </c>
      <c r="B2219">
        <v>128</v>
      </c>
      <c r="C2219" s="9" t="s">
        <v>33</v>
      </c>
      <c r="D2219" s="8">
        <v>0.67</v>
      </c>
    </row>
    <row r="2220" spans="1:4" x14ac:dyDescent="0.35">
      <c r="A2220" t="str">
        <f t="shared" si="34"/>
        <v>128Win Rate</v>
      </c>
      <c r="B2220">
        <v>128</v>
      </c>
      <c r="C2220" s="9" t="s">
        <v>34</v>
      </c>
      <c r="D2220" s="8">
        <v>0.33</v>
      </c>
    </row>
    <row r="2221" spans="1:4" x14ac:dyDescent="0.35">
      <c r="A2221" t="str">
        <f t="shared" si="34"/>
        <v>128Profit-Loss Ratio</v>
      </c>
      <c r="B2221">
        <v>128</v>
      </c>
      <c r="C2221" s="9" t="s">
        <v>26</v>
      </c>
      <c r="D2221" s="8">
        <v>1.1200000000000001</v>
      </c>
    </row>
    <row r="2222" spans="1:4" x14ac:dyDescent="0.35">
      <c r="A2222" t="str">
        <f t="shared" si="34"/>
        <v>128Alpha</v>
      </c>
      <c r="B2222">
        <v>128</v>
      </c>
      <c r="C2222" s="9" t="s">
        <v>23</v>
      </c>
      <c r="D2222" s="8">
        <v>-2.7E-2</v>
      </c>
    </row>
    <row r="2223" spans="1:4" x14ac:dyDescent="0.35">
      <c r="A2223" t="str">
        <f t="shared" si="34"/>
        <v>128Beta</v>
      </c>
      <c r="B2223">
        <v>128</v>
      </c>
      <c r="C2223" s="9" t="s">
        <v>24</v>
      </c>
      <c r="D2223" s="8">
        <v>-0.218</v>
      </c>
    </row>
    <row r="2224" spans="1:4" x14ac:dyDescent="0.35">
      <c r="A2224" t="str">
        <f t="shared" si="34"/>
        <v>128Annual Standard Deviation</v>
      </c>
      <c r="B2224">
        <v>128</v>
      </c>
      <c r="C2224" s="9" t="s">
        <v>35</v>
      </c>
      <c r="D2224" s="8">
        <v>5.3999999999999999E-2</v>
      </c>
    </row>
    <row r="2225" spans="1:4" x14ac:dyDescent="0.35">
      <c r="A2225" t="str">
        <f t="shared" si="34"/>
        <v>128Annual Variance</v>
      </c>
      <c r="B2225">
        <v>128</v>
      </c>
      <c r="C2225" s="9" t="s">
        <v>36</v>
      </c>
      <c r="D2225" s="8">
        <v>3.0000000000000001E-3</v>
      </c>
    </row>
    <row r="2226" spans="1:4" x14ac:dyDescent="0.35">
      <c r="A2226" t="str">
        <f t="shared" si="34"/>
        <v>128Information Ratio</v>
      </c>
      <c r="B2226">
        <v>128</v>
      </c>
      <c r="C2226" s="9" t="s">
        <v>37</v>
      </c>
      <c r="D2226" s="8">
        <v>-1.0820000000000001</v>
      </c>
    </row>
    <row r="2227" spans="1:4" x14ac:dyDescent="0.35">
      <c r="A2227" t="str">
        <f t="shared" si="34"/>
        <v>128Tracking Error</v>
      </c>
      <c r="B2227">
        <v>128</v>
      </c>
      <c r="C2227" s="9" t="s">
        <v>38</v>
      </c>
      <c r="D2227" s="8">
        <v>9.7000000000000003E-2</v>
      </c>
    </row>
    <row r="2228" spans="1:4" x14ac:dyDescent="0.35">
      <c r="A2228" t="str">
        <f t="shared" si="34"/>
        <v>128Treynor Ratio</v>
      </c>
      <c r="B2228">
        <v>128</v>
      </c>
      <c r="C2228" s="9" t="s">
        <v>39</v>
      </c>
      <c r="D2228" s="8">
        <v>0.187</v>
      </c>
    </row>
    <row r="2229" spans="1:4" x14ac:dyDescent="0.35">
      <c r="A2229" t="str">
        <f t="shared" si="34"/>
        <v>128Total Fees</v>
      </c>
      <c r="B2229">
        <v>128</v>
      </c>
      <c r="C2229" s="9" t="s">
        <v>40</v>
      </c>
      <c r="D2229" s="8">
        <v>0</v>
      </c>
    </row>
    <row r="2230" spans="1:4" x14ac:dyDescent="0.35">
      <c r="A2230" t="str">
        <f t="shared" si="34"/>
        <v>128Estimated Strategy Capacity</v>
      </c>
      <c r="B2230">
        <v>128</v>
      </c>
      <c r="C2230" s="9" t="s">
        <v>41</v>
      </c>
      <c r="D2230" s="8">
        <v>100000000</v>
      </c>
    </row>
    <row r="2231" spans="1:4" x14ac:dyDescent="0.35">
      <c r="A2231" t="str">
        <f t="shared" si="34"/>
        <v>127PSR</v>
      </c>
      <c r="B2231">
        <v>127</v>
      </c>
      <c r="C2231" s="9" t="s">
        <v>27</v>
      </c>
      <c r="D2231" s="8">
        <v>4.1869999999999997E-2</v>
      </c>
    </row>
    <row r="2232" spans="1:4" x14ac:dyDescent="0.35">
      <c r="A2232" t="str">
        <f t="shared" si="34"/>
        <v>127Sharpe Ratio</v>
      </c>
      <c r="B2232">
        <v>127</v>
      </c>
      <c r="C2232" s="9" t="s">
        <v>1</v>
      </c>
      <c r="D2232" s="8">
        <v>-0.78600000000000003</v>
      </c>
    </row>
    <row r="2233" spans="1:4" x14ac:dyDescent="0.35">
      <c r="A2233" t="str">
        <f t="shared" si="34"/>
        <v>127Total Trades</v>
      </c>
      <c r="B2233">
        <v>127</v>
      </c>
      <c r="C2233" s="9" t="s">
        <v>28</v>
      </c>
      <c r="D2233" s="8">
        <v>467</v>
      </c>
    </row>
    <row r="2234" spans="1:4" x14ac:dyDescent="0.35">
      <c r="A2234" t="str">
        <f t="shared" si="34"/>
        <v>127Average Win</v>
      </c>
      <c r="B2234">
        <v>127</v>
      </c>
      <c r="C2234" s="9" t="s">
        <v>25</v>
      </c>
      <c r="D2234" s="8">
        <v>8.9999999999999998E-4</v>
      </c>
    </row>
    <row r="2235" spans="1:4" x14ac:dyDescent="0.35">
      <c r="A2235" t="str">
        <f t="shared" si="34"/>
        <v>127Average Loss</v>
      </c>
      <c r="B2235">
        <v>127</v>
      </c>
      <c r="C2235" s="9" t="s">
        <v>29</v>
      </c>
      <c r="D2235" s="8">
        <v>-8.0000000000000004E-4</v>
      </c>
    </row>
    <row r="2236" spans="1:4" x14ac:dyDescent="0.35">
      <c r="A2236" t="str">
        <f t="shared" si="34"/>
        <v>127Compounding Annual Return</v>
      </c>
      <c r="B2236">
        <v>127</v>
      </c>
      <c r="C2236" s="9" t="s">
        <v>30</v>
      </c>
      <c r="D2236" s="8">
        <v>-6.0800000000000003E-3</v>
      </c>
    </row>
    <row r="2237" spans="1:4" x14ac:dyDescent="0.35">
      <c r="A2237" t="str">
        <f t="shared" si="34"/>
        <v>127Drawdown</v>
      </c>
      <c r="B2237">
        <v>127</v>
      </c>
      <c r="C2237" s="9" t="s">
        <v>8</v>
      </c>
      <c r="D2237" s="8">
        <v>6.0000000000000001E-3</v>
      </c>
    </row>
    <row r="2238" spans="1:4" x14ac:dyDescent="0.35">
      <c r="A2238" t="str">
        <f t="shared" si="34"/>
        <v>127Expectancy</v>
      </c>
      <c r="B2238">
        <v>127</v>
      </c>
      <c r="C2238" s="9" t="s">
        <v>31</v>
      </c>
      <c r="D2238" s="8">
        <v>-0.29899999999999999</v>
      </c>
    </row>
    <row r="2239" spans="1:4" x14ac:dyDescent="0.35">
      <c r="A2239" t="str">
        <f t="shared" si="34"/>
        <v>127Net Profit</v>
      </c>
      <c r="B2239">
        <v>127</v>
      </c>
      <c r="C2239" s="9" t="s">
        <v>32</v>
      </c>
      <c r="D2239" s="8">
        <v>-3.9300000000000003E-3</v>
      </c>
    </row>
    <row r="2240" spans="1:4" x14ac:dyDescent="0.35">
      <c r="A2240" t="str">
        <f t="shared" si="34"/>
        <v>127Loss Rate</v>
      </c>
      <c r="B2240">
        <v>127</v>
      </c>
      <c r="C2240" s="9" t="s">
        <v>33</v>
      </c>
      <c r="D2240" s="8">
        <v>0.67</v>
      </c>
    </row>
    <row r="2241" spans="1:4" x14ac:dyDescent="0.35">
      <c r="A2241" t="str">
        <f t="shared" si="34"/>
        <v>127Win Rate</v>
      </c>
      <c r="B2241">
        <v>127</v>
      </c>
      <c r="C2241" s="9" t="s">
        <v>34</v>
      </c>
      <c r="D2241" s="8">
        <v>0.33</v>
      </c>
    </row>
    <row r="2242" spans="1:4" x14ac:dyDescent="0.35">
      <c r="A2242" t="str">
        <f t="shared" si="34"/>
        <v>127Profit-Loss Ratio</v>
      </c>
      <c r="B2242">
        <v>127</v>
      </c>
      <c r="C2242" s="9" t="s">
        <v>26</v>
      </c>
      <c r="D2242" s="8">
        <v>1.1000000000000001</v>
      </c>
    </row>
    <row r="2243" spans="1:4" x14ac:dyDescent="0.35">
      <c r="A2243" t="str">
        <f t="shared" ref="A2243:A2306" si="35">B2243&amp;C2243</f>
        <v>127Alpha</v>
      </c>
      <c r="B2243">
        <v>127</v>
      </c>
      <c r="C2243" s="9" t="s">
        <v>23</v>
      </c>
      <c r="D2243" s="8">
        <v>-3.0000000000000001E-3</v>
      </c>
    </row>
    <row r="2244" spans="1:4" x14ac:dyDescent="0.35">
      <c r="A2244" t="str">
        <f t="shared" si="35"/>
        <v>127Beta</v>
      </c>
      <c r="B2244">
        <v>127</v>
      </c>
      <c r="C2244" s="9" t="s">
        <v>24</v>
      </c>
      <c r="D2244" s="8">
        <v>-2.1999999999999999E-2</v>
      </c>
    </row>
    <row r="2245" spans="1:4" x14ac:dyDescent="0.35">
      <c r="A2245" t="str">
        <f t="shared" si="35"/>
        <v>127Annual Standard Deviation</v>
      </c>
      <c r="B2245">
        <v>127</v>
      </c>
      <c r="C2245" s="9" t="s">
        <v>35</v>
      </c>
      <c r="D2245" s="8">
        <v>5.0000000000000001E-3</v>
      </c>
    </row>
    <row r="2246" spans="1:4" x14ac:dyDescent="0.35">
      <c r="A2246" t="str">
        <f t="shared" si="35"/>
        <v>127Annual Variance</v>
      </c>
      <c r="B2246">
        <v>127</v>
      </c>
      <c r="C2246" s="9" t="s">
        <v>36</v>
      </c>
      <c r="D2246" s="8">
        <v>0</v>
      </c>
    </row>
    <row r="2247" spans="1:4" x14ac:dyDescent="0.35">
      <c r="A2247" t="str">
        <f t="shared" si="35"/>
        <v>127Information Ratio</v>
      </c>
      <c r="B2247">
        <v>127</v>
      </c>
      <c r="C2247" s="9" t="s">
        <v>37</v>
      </c>
      <c r="D2247" s="8">
        <v>-0.99299999999999999</v>
      </c>
    </row>
    <row r="2248" spans="1:4" x14ac:dyDescent="0.35">
      <c r="A2248" t="str">
        <f t="shared" si="35"/>
        <v>127Tracking Error</v>
      </c>
      <c r="B2248">
        <v>127</v>
      </c>
      <c r="C2248" s="9" t="s">
        <v>38</v>
      </c>
      <c r="D2248" s="8">
        <v>6.8000000000000005E-2</v>
      </c>
    </row>
    <row r="2249" spans="1:4" x14ac:dyDescent="0.35">
      <c r="A2249" t="str">
        <f t="shared" si="35"/>
        <v>127Treynor Ratio</v>
      </c>
      <c r="B2249">
        <v>127</v>
      </c>
      <c r="C2249" s="9" t="s">
        <v>39</v>
      </c>
      <c r="D2249" s="8">
        <v>0.19500000000000001</v>
      </c>
    </row>
    <row r="2250" spans="1:4" x14ac:dyDescent="0.35">
      <c r="A2250" t="str">
        <f t="shared" si="35"/>
        <v>127Total Fees</v>
      </c>
      <c r="B2250">
        <v>127</v>
      </c>
      <c r="C2250" s="9" t="s">
        <v>40</v>
      </c>
      <c r="D2250" s="8">
        <v>0</v>
      </c>
    </row>
    <row r="2251" spans="1:4" x14ac:dyDescent="0.35">
      <c r="A2251" t="str">
        <f t="shared" si="35"/>
        <v>127Estimated Strategy Capacity</v>
      </c>
      <c r="B2251">
        <v>127</v>
      </c>
      <c r="C2251" s="9" t="s">
        <v>41</v>
      </c>
      <c r="D2251" s="8">
        <v>1100000000</v>
      </c>
    </row>
    <row r="2252" spans="1:4" x14ac:dyDescent="0.35">
      <c r="A2252" t="str">
        <f t="shared" si="35"/>
        <v>126PSR</v>
      </c>
      <c r="B2252">
        <v>126</v>
      </c>
      <c r="C2252" s="9" t="s">
        <v>27</v>
      </c>
      <c r="D2252" s="8">
        <v>1.6219999999999998E-2</v>
      </c>
    </row>
    <row r="2253" spans="1:4" x14ac:dyDescent="0.35">
      <c r="A2253" t="str">
        <f t="shared" si="35"/>
        <v>126Sharpe Ratio</v>
      </c>
      <c r="B2253">
        <v>126</v>
      </c>
      <c r="C2253" s="9" t="s">
        <v>1</v>
      </c>
      <c r="D2253" s="8">
        <v>-0.71599999999999997</v>
      </c>
    </row>
    <row r="2254" spans="1:4" x14ac:dyDescent="0.35">
      <c r="A2254" t="str">
        <f t="shared" si="35"/>
        <v>126Total Trades</v>
      </c>
      <c r="B2254">
        <v>126</v>
      </c>
      <c r="C2254" s="9" t="s">
        <v>28</v>
      </c>
      <c r="D2254" s="8">
        <v>327</v>
      </c>
    </row>
    <row r="2255" spans="1:4" x14ac:dyDescent="0.35">
      <c r="A2255" t="str">
        <f t="shared" si="35"/>
        <v>126Average Win</v>
      </c>
      <c r="B2255">
        <v>126</v>
      </c>
      <c r="C2255" s="9" t="s">
        <v>25</v>
      </c>
      <c r="D2255" s="8">
        <v>8.2900000000000001E-2</v>
      </c>
    </row>
    <row r="2256" spans="1:4" x14ac:dyDescent="0.35">
      <c r="A2256" t="str">
        <f t="shared" si="35"/>
        <v>126Average Loss</v>
      </c>
      <c r="B2256">
        <v>126</v>
      </c>
      <c r="C2256" s="9" t="s">
        <v>29</v>
      </c>
      <c r="D2256" s="8">
        <v>-9.4500000000000001E-2</v>
      </c>
    </row>
    <row r="2257" spans="1:4" x14ac:dyDescent="0.35">
      <c r="A2257" t="str">
        <f t="shared" si="35"/>
        <v>126Compounding Annual Return</v>
      </c>
      <c r="B2257">
        <v>126</v>
      </c>
      <c r="C2257" s="9" t="s">
        <v>30</v>
      </c>
      <c r="D2257" s="8">
        <v>-0.88102000000000003</v>
      </c>
    </row>
    <row r="2258" spans="1:4" x14ac:dyDescent="0.35">
      <c r="A2258" t="str">
        <f t="shared" si="35"/>
        <v>126Drawdown</v>
      </c>
      <c r="B2258">
        <v>126</v>
      </c>
      <c r="C2258" s="9" t="s">
        <v>8</v>
      </c>
      <c r="D2258" s="8">
        <v>0.78400000000000003</v>
      </c>
    </row>
    <row r="2259" spans="1:4" x14ac:dyDescent="0.35">
      <c r="A2259" t="str">
        <f t="shared" si="35"/>
        <v>126Expectancy</v>
      </c>
      <c r="B2259">
        <v>126</v>
      </c>
      <c r="C2259" s="9" t="s">
        <v>31</v>
      </c>
      <c r="D2259" s="8">
        <v>-0.68700000000000006</v>
      </c>
    </row>
    <row r="2260" spans="1:4" x14ac:dyDescent="0.35">
      <c r="A2260" t="str">
        <f t="shared" si="35"/>
        <v>126Net Profit</v>
      </c>
      <c r="B2260">
        <v>126</v>
      </c>
      <c r="C2260" s="9" t="s">
        <v>32</v>
      </c>
      <c r="D2260" s="8">
        <v>-0.74746000000000001</v>
      </c>
    </row>
    <row r="2261" spans="1:4" x14ac:dyDescent="0.35">
      <c r="A2261" t="str">
        <f t="shared" si="35"/>
        <v>126Loss Rate</v>
      </c>
      <c r="B2261">
        <v>126</v>
      </c>
      <c r="C2261" s="9" t="s">
        <v>33</v>
      </c>
      <c r="D2261" s="8">
        <v>0.83</v>
      </c>
    </row>
    <row r="2262" spans="1:4" x14ac:dyDescent="0.35">
      <c r="A2262" t="str">
        <f t="shared" si="35"/>
        <v>126Win Rate</v>
      </c>
      <c r="B2262">
        <v>126</v>
      </c>
      <c r="C2262" s="9" t="s">
        <v>34</v>
      </c>
      <c r="D2262" s="8">
        <v>0.17</v>
      </c>
    </row>
    <row r="2263" spans="1:4" x14ac:dyDescent="0.35">
      <c r="A2263" t="str">
        <f t="shared" si="35"/>
        <v>126Profit-Loss Ratio</v>
      </c>
      <c r="B2263">
        <v>126</v>
      </c>
      <c r="C2263" s="9" t="s">
        <v>26</v>
      </c>
      <c r="D2263" s="8">
        <v>0.88</v>
      </c>
    </row>
    <row r="2264" spans="1:4" x14ac:dyDescent="0.35">
      <c r="A2264" t="str">
        <f t="shared" si="35"/>
        <v>126Alpha</v>
      </c>
      <c r="B2264">
        <v>126</v>
      </c>
      <c r="C2264" s="9" t="s">
        <v>23</v>
      </c>
      <c r="D2264" s="8">
        <v>-0.42899999999999999</v>
      </c>
    </row>
    <row r="2265" spans="1:4" x14ac:dyDescent="0.35">
      <c r="A2265" t="str">
        <f t="shared" si="35"/>
        <v>126Beta</v>
      </c>
      <c r="B2265">
        <v>126</v>
      </c>
      <c r="C2265" s="9" t="s">
        <v>24</v>
      </c>
      <c r="D2265" s="8">
        <v>-3.3980000000000001</v>
      </c>
    </row>
    <row r="2266" spans="1:4" x14ac:dyDescent="0.35">
      <c r="A2266" t="str">
        <f t="shared" si="35"/>
        <v>126Annual Standard Deviation</v>
      </c>
      <c r="B2266">
        <v>126</v>
      </c>
      <c r="C2266" s="9" t="s">
        <v>35</v>
      </c>
      <c r="D2266" s="8">
        <v>0.90200000000000002</v>
      </c>
    </row>
    <row r="2267" spans="1:4" x14ac:dyDescent="0.35">
      <c r="A2267" t="str">
        <f t="shared" si="35"/>
        <v>126Annual Variance</v>
      </c>
      <c r="B2267">
        <v>126</v>
      </c>
      <c r="C2267" s="9" t="s">
        <v>36</v>
      </c>
      <c r="D2267" s="8">
        <v>0.81399999999999995</v>
      </c>
    </row>
    <row r="2268" spans="1:4" x14ac:dyDescent="0.35">
      <c r="A2268" t="str">
        <f t="shared" si="35"/>
        <v>126Information Ratio</v>
      </c>
      <c r="B2268">
        <v>126</v>
      </c>
      <c r="C2268" s="9" t="s">
        <v>37</v>
      </c>
      <c r="D2268" s="8">
        <v>-0.77</v>
      </c>
    </row>
    <row r="2269" spans="1:4" x14ac:dyDescent="0.35">
      <c r="A2269" t="str">
        <f t="shared" si="35"/>
        <v>126Tracking Error</v>
      </c>
      <c r="B2269">
        <v>126</v>
      </c>
      <c r="C2269" s="9" t="s">
        <v>38</v>
      </c>
      <c r="D2269" s="8">
        <v>0.92100000000000004</v>
      </c>
    </row>
    <row r="2270" spans="1:4" x14ac:dyDescent="0.35">
      <c r="A2270" t="str">
        <f t="shared" si="35"/>
        <v>126Treynor Ratio</v>
      </c>
      <c r="B2270">
        <v>126</v>
      </c>
      <c r="C2270" s="9" t="s">
        <v>39</v>
      </c>
      <c r="D2270" s="8">
        <v>0.19</v>
      </c>
    </row>
    <row r="2271" spans="1:4" x14ac:dyDescent="0.35">
      <c r="A2271" t="str">
        <f t="shared" si="35"/>
        <v>126Total Fees</v>
      </c>
      <c r="B2271">
        <v>126</v>
      </c>
      <c r="C2271" s="9" t="s">
        <v>40</v>
      </c>
      <c r="D2271" s="8">
        <v>0</v>
      </c>
    </row>
    <row r="2272" spans="1:4" x14ac:dyDescent="0.35">
      <c r="A2272" t="str">
        <f t="shared" si="35"/>
        <v>126Estimated Strategy Capacity</v>
      </c>
      <c r="B2272">
        <v>126</v>
      </c>
      <c r="C2272" s="9" t="s">
        <v>41</v>
      </c>
      <c r="D2272" s="8">
        <v>3100000</v>
      </c>
    </row>
    <row r="2273" spans="1:4" x14ac:dyDescent="0.35">
      <c r="A2273" t="str">
        <f t="shared" si="35"/>
        <v>125PSR</v>
      </c>
      <c r="B2273">
        <v>125</v>
      </c>
      <c r="C2273" s="9" t="s">
        <v>27</v>
      </c>
      <c r="D2273" s="8">
        <v>4.1000000000000003E-3</v>
      </c>
    </row>
    <row r="2274" spans="1:4" x14ac:dyDescent="0.35">
      <c r="A2274" t="str">
        <f t="shared" si="35"/>
        <v>125Sharpe Ratio</v>
      </c>
      <c r="B2274">
        <v>125</v>
      </c>
      <c r="C2274" s="9" t="s">
        <v>1</v>
      </c>
      <c r="D2274" s="8">
        <v>-1.3759999999999999</v>
      </c>
    </row>
    <row r="2275" spans="1:4" x14ac:dyDescent="0.35">
      <c r="A2275" t="str">
        <f t="shared" si="35"/>
        <v>125Total Trades</v>
      </c>
      <c r="B2275">
        <v>125</v>
      </c>
      <c r="C2275" s="9" t="s">
        <v>28</v>
      </c>
      <c r="D2275" s="8">
        <v>330</v>
      </c>
    </row>
    <row r="2276" spans="1:4" x14ac:dyDescent="0.35">
      <c r="A2276" t="str">
        <f t="shared" si="35"/>
        <v>125Average Win</v>
      </c>
      <c r="B2276">
        <v>125</v>
      </c>
      <c r="C2276" s="9" t="s">
        <v>25</v>
      </c>
      <c r="D2276" s="8">
        <v>1.12E-2</v>
      </c>
    </row>
    <row r="2277" spans="1:4" x14ac:dyDescent="0.35">
      <c r="A2277" t="str">
        <f t="shared" si="35"/>
        <v>125Average Loss</v>
      </c>
      <c r="B2277">
        <v>125</v>
      </c>
      <c r="C2277" s="9" t="s">
        <v>29</v>
      </c>
      <c r="D2277" s="8">
        <v>-2.35E-2</v>
      </c>
    </row>
    <row r="2278" spans="1:4" x14ac:dyDescent="0.35">
      <c r="A2278" t="str">
        <f t="shared" si="35"/>
        <v>125Compounding Annual Return</v>
      </c>
      <c r="B2278">
        <v>125</v>
      </c>
      <c r="C2278" s="9" t="s">
        <v>30</v>
      </c>
      <c r="D2278" s="8">
        <v>-0.21981000000000001</v>
      </c>
    </row>
    <row r="2279" spans="1:4" x14ac:dyDescent="0.35">
      <c r="A2279" t="str">
        <f t="shared" si="35"/>
        <v>125Drawdown</v>
      </c>
      <c r="B2279">
        <v>125</v>
      </c>
      <c r="C2279" s="9" t="s">
        <v>8</v>
      </c>
      <c r="D2279" s="8">
        <v>0.16600000000000001</v>
      </c>
    </row>
    <row r="2280" spans="1:4" x14ac:dyDescent="0.35">
      <c r="A2280" t="str">
        <f t="shared" si="35"/>
        <v>125Expectancy</v>
      </c>
      <c r="B2280">
        <v>125</v>
      </c>
      <c r="C2280" s="9" t="s">
        <v>31</v>
      </c>
      <c r="D2280" s="8">
        <v>-0.59799999999999998</v>
      </c>
    </row>
    <row r="2281" spans="1:4" x14ac:dyDescent="0.35">
      <c r="A2281" t="str">
        <f t="shared" si="35"/>
        <v>125Net Profit</v>
      </c>
      <c r="B2281">
        <v>125</v>
      </c>
      <c r="C2281" s="9" t="s">
        <v>32</v>
      </c>
      <c r="D2281" s="8">
        <v>-0.14824999999999999</v>
      </c>
    </row>
    <row r="2282" spans="1:4" x14ac:dyDescent="0.35">
      <c r="A2282" t="str">
        <f t="shared" si="35"/>
        <v>125Loss Rate</v>
      </c>
      <c r="B2282">
        <v>125</v>
      </c>
      <c r="C2282" s="9" t="s">
        <v>33</v>
      </c>
      <c r="D2282" s="8">
        <v>0.73</v>
      </c>
    </row>
    <row r="2283" spans="1:4" x14ac:dyDescent="0.35">
      <c r="A2283" t="str">
        <f t="shared" si="35"/>
        <v>125Win Rate</v>
      </c>
      <c r="B2283">
        <v>125</v>
      </c>
      <c r="C2283" s="9" t="s">
        <v>34</v>
      </c>
      <c r="D2283" s="8">
        <v>0.27</v>
      </c>
    </row>
    <row r="2284" spans="1:4" x14ac:dyDescent="0.35">
      <c r="A2284" t="str">
        <f t="shared" si="35"/>
        <v>125Profit-Loss Ratio</v>
      </c>
      <c r="B2284">
        <v>125</v>
      </c>
      <c r="C2284" s="9" t="s">
        <v>26</v>
      </c>
      <c r="D2284" s="8">
        <v>0.47</v>
      </c>
    </row>
    <row r="2285" spans="1:4" x14ac:dyDescent="0.35">
      <c r="A2285" t="str">
        <f t="shared" si="35"/>
        <v>125Alpha</v>
      </c>
      <c r="B2285">
        <v>125</v>
      </c>
      <c r="C2285" s="9" t="s">
        <v>23</v>
      </c>
      <c r="D2285" s="8">
        <v>-0.13300000000000001</v>
      </c>
    </row>
    <row r="2286" spans="1:4" x14ac:dyDescent="0.35">
      <c r="A2286" t="str">
        <f t="shared" si="35"/>
        <v>125Beta</v>
      </c>
      <c r="B2286">
        <v>125</v>
      </c>
      <c r="C2286" s="9" t="s">
        <v>24</v>
      </c>
      <c r="D2286" s="8">
        <v>-0.313</v>
      </c>
    </row>
    <row r="2287" spans="1:4" x14ac:dyDescent="0.35">
      <c r="A2287" t="str">
        <f t="shared" si="35"/>
        <v>125Annual Standard Deviation</v>
      </c>
      <c r="B2287">
        <v>125</v>
      </c>
      <c r="C2287" s="9" t="s">
        <v>35</v>
      </c>
      <c r="D2287" s="8">
        <v>0.111</v>
      </c>
    </row>
    <row r="2288" spans="1:4" x14ac:dyDescent="0.35">
      <c r="A2288" t="str">
        <f t="shared" si="35"/>
        <v>125Annual Variance</v>
      </c>
      <c r="B2288">
        <v>125</v>
      </c>
      <c r="C2288" s="9" t="s">
        <v>36</v>
      </c>
      <c r="D2288" s="8">
        <v>1.2E-2</v>
      </c>
    </row>
    <row r="2289" spans="1:4" x14ac:dyDescent="0.35">
      <c r="A2289" t="str">
        <f t="shared" si="35"/>
        <v>125Information Ratio</v>
      </c>
      <c r="B2289">
        <v>125</v>
      </c>
      <c r="C2289" s="9" t="s">
        <v>37</v>
      </c>
      <c r="D2289" s="8">
        <v>-1.548</v>
      </c>
    </row>
    <row r="2290" spans="1:4" x14ac:dyDescent="0.35">
      <c r="A2290" t="str">
        <f t="shared" si="35"/>
        <v>125Tracking Error</v>
      </c>
      <c r="B2290">
        <v>125</v>
      </c>
      <c r="C2290" s="9" t="s">
        <v>38</v>
      </c>
      <c r="D2290" s="8">
        <v>0.14000000000000001</v>
      </c>
    </row>
    <row r="2291" spans="1:4" x14ac:dyDescent="0.35">
      <c r="A2291" t="str">
        <f t="shared" si="35"/>
        <v>125Treynor Ratio</v>
      </c>
      <c r="B2291">
        <v>125</v>
      </c>
      <c r="C2291" s="9" t="s">
        <v>39</v>
      </c>
      <c r="D2291" s="8">
        <v>0.48899999999999999</v>
      </c>
    </row>
    <row r="2292" spans="1:4" x14ac:dyDescent="0.35">
      <c r="A2292" t="str">
        <f t="shared" si="35"/>
        <v>125Total Fees</v>
      </c>
      <c r="B2292">
        <v>125</v>
      </c>
      <c r="C2292" s="9" t="s">
        <v>40</v>
      </c>
      <c r="D2292" s="8">
        <v>0</v>
      </c>
    </row>
    <row r="2293" spans="1:4" x14ac:dyDescent="0.35">
      <c r="A2293" t="str">
        <f t="shared" si="35"/>
        <v>125Estimated Strategy Capacity</v>
      </c>
      <c r="B2293">
        <v>125</v>
      </c>
      <c r="C2293" s="9" t="s">
        <v>41</v>
      </c>
      <c r="D2293" s="8">
        <v>7900000</v>
      </c>
    </row>
    <row r="2294" spans="1:4" x14ac:dyDescent="0.35">
      <c r="A2294" t="str">
        <f t="shared" si="35"/>
        <v>124PSR</v>
      </c>
      <c r="B2294">
        <v>124</v>
      </c>
      <c r="C2294" s="9" t="s">
        <v>27</v>
      </c>
      <c r="D2294" s="8">
        <v>3.0300000000000001E-3</v>
      </c>
    </row>
    <row r="2295" spans="1:4" x14ac:dyDescent="0.35">
      <c r="A2295" t="str">
        <f t="shared" si="35"/>
        <v>124Sharpe Ratio</v>
      </c>
      <c r="B2295">
        <v>124</v>
      </c>
      <c r="C2295" s="9" t="s">
        <v>1</v>
      </c>
      <c r="D2295" s="8">
        <v>-1.524</v>
      </c>
    </row>
    <row r="2296" spans="1:4" x14ac:dyDescent="0.35">
      <c r="A2296" t="str">
        <f t="shared" si="35"/>
        <v>124Total Trades</v>
      </c>
      <c r="B2296">
        <v>124</v>
      </c>
      <c r="C2296" s="9" t="s">
        <v>28</v>
      </c>
      <c r="D2296" s="8">
        <v>330</v>
      </c>
    </row>
    <row r="2297" spans="1:4" x14ac:dyDescent="0.35">
      <c r="A2297" t="str">
        <f t="shared" si="35"/>
        <v>124Average Win</v>
      </c>
      <c r="B2297">
        <v>124</v>
      </c>
      <c r="C2297" s="9" t="s">
        <v>25</v>
      </c>
      <c r="D2297" s="8">
        <v>1E-3</v>
      </c>
    </row>
    <row r="2298" spans="1:4" x14ac:dyDescent="0.35">
      <c r="A2298" t="str">
        <f t="shared" si="35"/>
        <v>124Average Loss</v>
      </c>
      <c r="B2298">
        <v>124</v>
      </c>
      <c r="C2298" s="9" t="s">
        <v>29</v>
      </c>
      <c r="D2298" s="8">
        <v>-2.2000000000000001E-3</v>
      </c>
    </row>
    <row r="2299" spans="1:4" x14ac:dyDescent="0.35">
      <c r="A2299" t="str">
        <f t="shared" si="35"/>
        <v>124Compounding Annual Return</v>
      </c>
      <c r="B2299">
        <v>124</v>
      </c>
      <c r="C2299" s="9" t="s">
        <v>30</v>
      </c>
      <c r="D2299" s="8">
        <v>-2.2839999999999999E-2</v>
      </c>
    </row>
    <row r="2300" spans="1:4" x14ac:dyDescent="0.35">
      <c r="A2300" t="str">
        <f t="shared" si="35"/>
        <v>124Drawdown</v>
      </c>
      <c r="B2300">
        <v>124</v>
      </c>
      <c r="C2300" s="9" t="s">
        <v>8</v>
      </c>
      <c r="D2300" s="8">
        <v>1.7000000000000001E-2</v>
      </c>
    </row>
    <row r="2301" spans="1:4" x14ac:dyDescent="0.35">
      <c r="A2301" t="str">
        <f t="shared" si="35"/>
        <v>124Expectancy</v>
      </c>
      <c r="B2301">
        <v>124</v>
      </c>
      <c r="C2301" s="9" t="s">
        <v>31</v>
      </c>
      <c r="D2301" s="8">
        <v>-0.60299999999999998</v>
      </c>
    </row>
    <row r="2302" spans="1:4" x14ac:dyDescent="0.35">
      <c r="A2302" t="str">
        <f t="shared" si="35"/>
        <v>124Net Profit</v>
      </c>
      <c r="B2302">
        <v>124</v>
      </c>
      <c r="C2302" s="9" t="s">
        <v>32</v>
      </c>
      <c r="D2302" s="8">
        <v>-1.4829999999999999E-2</v>
      </c>
    </row>
    <row r="2303" spans="1:4" x14ac:dyDescent="0.35">
      <c r="A2303" t="str">
        <f t="shared" si="35"/>
        <v>124Loss Rate</v>
      </c>
      <c r="B2303">
        <v>124</v>
      </c>
      <c r="C2303" s="9" t="s">
        <v>33</v>
      </c>
      <c r="D2303" s="8">
        <v>0.73</v>
      </c>
    </row>
    <row r="2304" spans="1:4" x14ac:dyDescent="0.35">
      <c r="A2304" t="str">
        <f t="shared" si="35"/>
        <v>124Win Rate</v>
      </c>
      <c r="B2304">
        <v>124</v>
      </c>
      <c r="C2304" s="9" t="s">
        <v>34</v>
      </c>
      <c r="D2304" s="8">
        <v>0.27</v>
      </c>
    </row>
    <row r="2305" spans="1:4" x14ac:dyDescent="0.35">
      <c r="A2305" t="str">
        <f t="shared" si="35"/>
        <v>124Profit-Loss Ratio</v>
      </c>
      <c r="B2305">
        <v>124</v>
      </c>
      <c r="C2305" s="9" t="s">
        <v>26</v>
      </c>
      <c r="D2305" s="8">
        <v>0.46</v>
      </c>
    </row>
    <row r="2306" spans="1:4" x14ac:dyDescent="0.35">
      <c r="A2306" t="str">
        <f t="shared" si="35"/>
        <v>124Alpha</v>
      </c>
      <c r="B2306">
        <v>124</v>
      </c>
      <c r="C2306" s="9" t="s">
        <v>23</v>
      </c>
      <c r="D2306" s="8">
        <v>-1.4E-2</v>
      </c>
    </row>
    <row r="2307" spans="1:4" x14ac:dyDescent="0.35">
      <c r="A2307" t="str">
        <f t="shared" ref="A2307:A2370" si="36">B2307&amp;C2307</f>
        <v>124Beta</v>
      </c>
      <c r="B2307">
        <v>124</v>
      </c>
      <c r="C2307" s="9" t="s">
        <v>24</v>
      </c>
      <c r="D2307" s="8">
        <v>-2.8000000000000001E-2</v>
      </c>
    </row>
    <row r="2308" spans="1:4" x14ac:dyDescent="0.35">
      <c r="A2308" t="str">
        <f t="shared" si="36"/>
        <v>124Annual Standard Deviation</v>
      </c>
      <c r="B2308">
        <v>124</v>
      </c>
      <c r="C2308" s="9" t="s">
        <v>35</v>
      </c>
      <c r="D2308" s="8">
        <v>0.01</v>
      </c>
    </row>
    <row r="2309" spans="1:4" x14ac:dyDescent="0.35">
      <c r="A2309" t="str">
        <f t="shared" si="36"/>
        <v>124Annual Variance</v>
      </c>
      <c r="B2309">
        <v>124</v>
      </c>
      <c r="C2309" s="9" t="s">
        <v>36</v>
      </c>
      <c r="D2309" s="8">
        <v>0</v>
      </c>
    </row>
    <row r="2310" spans="1:4" x14ac:dyDescent="0.35">
      <c r="A2310" t="str">
        <f t="shared" si="36"/>
        <v>124Information Ratio</v>
      </c>
      <c r="B2310">
        <v>124</v>
      </c>
      <c r="C2310" s="9" t="s">
        <v>37</v>
      </c>
      <c r="D2310" s="8">
        <v>-1.147</v>
      </c>
    </row>
    <row r="2311" spans="1:4" x14ac:dyDescent="0.35">
      <c r="A2311" t="str">
        <f t="shared" si="36"/>
        <v>124Tracking Error</v>
      </c>
      <c r="B2311">
        <v>124</v>
      </c>
      <c r="C2311" s="9" t="s">
        <v>38</v>
      </c>
      <c r="D2311" s="8">
        <v>6.9000000000000006E-2</v>
      </c>
    </row>
    <row r="2312" spans="1:4" x14ac:dyDescent="0.35">
      <c r="A2312" t="str">
        <f t="shared" si="36"/>
        <v>124Treynor Ratio</v>
      </c>
      <c r="B2312">
        <v>124</v>
      </c>
      <c r="C2312" s="9" t="s">
        <v>39</v>
      </c>
      <c r="D2312" s="8">
        <v>0.56499999999999995</v>
      </c>
    </row>
    <row r="2313" spans="1:4" x14ac:dyDescent="0.35">
      <c r="A2313" t="str">
        <f t="shared" si="36"/>
        <v>124Total Fees</v>
      </c>
      <c r="B2313">
        <v>124</v>
      </c>
      <c r="C2313" s="9" t="s">
        <v>40</v>
      </c>
      <c r="D2313" s="8">
        <v>0</v>
      </c>
    </row>
    <row r="2314" spans="1:4" x14ac:dyDescent="0.35">
      <c r="A2314" t="str">
        <f t="shared" si="36"/>
        <v>124Estimated Strategy Capacity</v>
      </c>
      <c r="B2314">
        <v>124</v>
      </c>
      <c r="C2314" s="9" t="s">
        <v>41</v>
      </c>
      <c r="D2314" s="8">
        <v>57000000</v>
      </c>
    </row>
    <row r="2315" spans="1:4" x14ac:dyDescent="0.35">
      <c r="A2315" t="str">
        <f t="shared" si="36"/>
        <v>123PSR</v>
      </c>
      <c r="B2315">
        <v>123</v>
      </c>
      <c r="C2315" s="9" t="s">
        <v>27</v>
      </c>
      <c r="D2315" s="8">
        <v>8.7029999999999996E-2</v>
      </c>
    </row>
    <row r="2316" spans="1:4" x14ac:dyDescent="0.35">
      <c r="A2316" t="str">
        <f t="shared" si="36"/>
        <v>123Sharpe Ratio</v>
      </c>
      <c r="B2316">
        <v>123</v>
      </c>
      <c r="C2316" s="9" t="s">
        <v>1</v>
      </c>
      <c r="D2316" s="8">
        <v>-0.34</v>
      </c>
    </row>
    <row r="2317" spans="1:4" x14ac:dyDescent="0.35">
      <c r="A2317" t="str">
        <f t="shared" si="36"/>
        <v>123Total Trades</v>
      </c>
      <c r="B2317">
        <v>123</v>
      </c>
      <c r="C2317" s="9" t="s">
        <v>28</v>
      </c>
      <c r="D2317" s="8">
        <v>456</v>
      </c>
    </row>
    <row r="2318" spans="1:4" x14ac:dyDescent="0.35">
      <c r="A2318" t="str">
        <f t="shared" si="36"/>
        <v>123Average Win</v>
      </c>
      <c r="B2318">
        <v>123</v>
      </c>
      <c r="C2318" s="9" t="s">
        <v>25</v>
      </c>
      <c r="D2318" s="8">
        <v>0.122</v>
      </c>
    </row>
    <row r="2319" spans="1:4" x14ac:dyDescent="0.35">
      <c r="A2319" t="str">
        <f t="shared" si="36"/>
        <v>123Average Loss</v>
      </c>
      <c r="B2319">
        <v>123</v>
      </c>
      <c r="C2319" s="9" t="s">
        <v>29</v>
      </c>
      <c r="D2319" s="8">
        <v>-7.3400000000000007E-2</v>
      </c>
    </row>
    <row r="2320" spans="1:4" x14ac:dyDescent="0.35">
      <c r="A2320" t="str">
        <f t="shared" si="36"/>
        <v>123Compounding Annual Return</v>
      </c>
      <c r="B2320">
        <v>123</v>
      </c>
      <c r="C2320" s="9" t="s">
        <v>30</v>
      </c>
      <c r="D2320" s="8">
        <v>-0.60485</v>
      </c>
    </row>
    <row r="2321" spans="1:4" x14ac:dyDescent="0.35">
      <c r="A2321" t="str">
        <f t="shared" si="36"/>
        <v>123Drawdown</v>
      </c>
      <c r="B2321">
        <v>123</v>
      </c>
      <c r="C2321" s="9" t="s">
        <v>8</v>
      </c>
      <c r="D2321" s="8">
        <v>0.72599999999999998</v>
      </c>
    </row>
    <row r="2322" spans="1:4" x14ac:dyDescent="0.35">
      <c r="A2322" t="str">
        <f t="shared" si="36"/>
        <v>123Expectancy</v>
      </c>
      <c r="B2322">
        <v>123</v>
      </c>
      <c r="C2322" s="9" t="s">
        <v>31</v>
      </c>
      <c r="D2322" s="8">
        <v>-0.27400000000000002</v>
      </c>
    </row>
    <row r="2323" spans="1:4" x14ac:dyDescent="0.35">
      <c r="A2323" t="str">
        <f t="shared" si="36"/>
        <v>123Net Profit</v>
      </c>
      <c r="B2323">
        <v>123</v>
      </c>
      <c r="C2323" s="9" t="s">
        <v>32</v>
      </c>
      <c r="D2323" s="8">
        <v>-0.45130999999999999</v>
      </c>
    </row>
    <row r="2324" spans="1:4" x14ac:dyDescent="0.35">
      <c r="A2324" t="str">
        <f t="shared" si="36"/>
        <v>123Loss Rate</v>
      </c>
      <c r="B2324">
        <v>123</v>
      </c>
      <c r="C2324" s="9" t="s">
        <v>33</v>
      </c>
      <c r="D2324" s="8">
        <v>0.73</v>
      </c>
    </row>
    <row r="2325" spans="1:4" x14ac:dyDescent="0.35">
      <c r="A2325" t="str">
        <f t="shared" si="36"/>
        <v>123Win Rate</v>
      </c>
      <c r="B2325">
        <v>123</v>
      </c>
      <c r="C2325" s="9" t="s">
        <v>34</v>
      </c>
      <c r="D2325" s="8">
        <v>0.27</v>
      </c>
    </row>
    <row r="2326" spans="1:4" x14ac:dyDescent="0.35">
      <c r="A2326" t="str">
        <f t="shared" si="36"/>
        <v>123Profit-Loss Ratio</v>
      </c>
      <c r="B2326">
        <v>123</v>
      </c>
      <c r="C2326" s="9" t="s">
        <v>26</v>
      </c>
      <c r="D2326" s="8">
        <v>1.66</v>
      </c>
    </row>
    <row r="2327" spans="1:4" x14ac:dyDescent="0.35">
      <c r="A2327" t="str">
        <f t="shared" si="36"/>
        <v>123Alpha</v>
      </c>
      <c r="B2327">
        <v>123</v>
      </c>
      <c r="C2327" s="9" t="s">
        <v>23</v>
      </c>
      <c r="D2327" s="8">
        <v>-2.3E-2</v>
      </c>
    </row>
    <row r="2328" spans="1:4" x14ac:dyDescent="0.35">
      <c r="A2328" t="str">
        <f t="shared" si="36"/>
        <v>123Beta</v>
      </c>
      <c r="B2328">
        <v>123</v>
      </c>
      <c r="C2328" s="9" t="s">
        <v>24</v>
      </c>
      <c r="D2328" s="8">
        <v>-3.8479999999999999</v>
      </c>
    </row>
    <row r="2329" spans="1:4" x14ac:dyDescent="0.35">
      <c r="A2329" t="str">
        <f t="shared" si="36"/>
        <v>123Annual Standard Deviation</v>
      </c>
      <c r="B2329">
        <v>123</v>
      </c>
      <c r="C2329" s="9" t="s">
        <v>35</v>
      </c>
      <c r="D2329" s="8">
        <v>0.78800000000000003</v>
      </c>
    </row>
    <row r="2330" spans="1:4" x14ac:dyDescent="0.35">
      <c r="A2330" t="str">
        <f t="shared" si="36"/>
        <v>123Annual Variance</v>
      </c>
      <c r="B2330">
        <v>123</v>
      </c>
      <c r="C2330" s="9" t="s">
        <v>36</v>
      </c>
      <c r="D2330" s="8">
        <v>0.621</v>
      </c>
    </row>
    <row r="2331" spans="1:4" x14ac:dyDescent="0.35">
      <c r="A2331" t="str">
        <f t="shared" si="36"/>
        <v>123Information Ratio</v>
      </c>
      <c r="B2331">
        <v>123</v>
      </c>
      <c r="C2331" s="9" t="s">
        <v>37</v>
      </c>
      <c r="D2331" s="8">
        <v>-0.40899999999999997</v>
      </c>
    </row>
    <row r="2332" spans="1:4" x14ac:dyDescent="0.35">
      <c r="A2332" t="str">
        <f t="shared" si="36"/>
        <v>123Tracking Error</v>
      </c>
      <c r="B2332">
        <v>123</v>
      </c>
      <c r="C2332" s="9" t="s">
        <v>38</v>
      </c>
      <c r="D2332" s="8">
        <v>0.81200000000000006</v>
      </c>
    </row>
    <row r="2333" spans="1:4" x14ac:dyDescent="0.35">
      <c r="A2333" t="str">
        <f t="shared" si="36"/>
        <v>123Treynor Ratio</v>
      </c>
      <c r="B2333">
        <v>123</v>
      </c>
      <c r="C2333" s="9" t="s">
        <v>39</v>
      </c>
      <c r="D2333" s="8">
        <v>7.0000000000000007E-2</v>
      </c>
    </row>
    <row r="2334" spans="1:4" x14ac:dyDescent="0.35">
      <c r="A2334" t="str">
        <f t="shared" si="36"/>
        <v>123Total Fees</v>
      </c>
      <c r="B2334">
        <v>123</v>
      </c>
      <c r="C2334" s="9" t="s">
        <v>40</v>
      </c>
      <c r="D2334" s="8">
        <v>0</v>
      </c>
    </row>
    <row r="2335" spans="1:4" x14ac:dyDescent="0.35">
      <c r="A2335" t="str">
        <f t="shared" si="36"/>
        <v>123Estimated Strategy Capacity</v>
      </c>
      <c r="B2335">
        <v>123</v>
      </c>
      <c r="C2335" s="9" t="s">
        <v>41</v>
      </c>
      <c r="D2335" s="8">
        <v>140000000</v>
      </c>
    </row>
    <row r="2336" spans="1:4" x14ac:dyDescent="0.35">
      <c r="A2336" t="str">
        <f t="shared" si="36"/>
        <v>122PSR</v>
      </c>
      <c r="B2336">
        <v>122</v>
      </c>
      <c r="C2336" s="9" t="s">
        <v>27</v>
      </c>
      <c r="D2336" s="8">
        <v>7.9750000000000001E-2</v>
      </c>
    </row>
    <row r="2337" spans="1:4" x14ac:dyDescent="0.35">
      <c r="A2337" t="str">
        <f t="shared" si="36"/>
        <v>122Sharpe Ratio</v>
      </c>
      <c r="B2337">
        <v>122</v>
      </c>
      <c r="C2337" s="9" t="s">
        <v>1</v>
      </c>
      <c r="D2337" s="8">
        <v>-0.42899999999999999</v>
      </c>
    </row>
    <row r="2338" spans="1:4" x14ac:dyDescent="0.35">
      <c r="A2338" t="str">
        <f t="shared" si="36"/>
        <v>122Total Trades</v>
      </c>
      <c r="B2338">
        <v>122</v>
      </c>
      <c r="C2338" s="9" t="s">
        <v>28</v>
      </c>
      <c r="D2338" s="8">
        <v>453</v>
      </c>
    </row>
    <row r="2339" spans="1:4" x14ac:dyDescent="0.35">
      <c r="A2339" t="str">
        <f t="shared" si="36"/>
        <v>122Average Win</v>
      </c>
      <c r="B2339">
        <v>122</v>
      </c>
      <c r="C2339" s="9" t="s">
        <v>25</v>
      </c>
      <c r="D2339" s="8">
        <v>1.7899999999999999E-2</v>
      </c>
    </row>
    <row r="2340" spans="1:4" x14ac:dyDescent="0.35">
      <c r="A2340" t="str">
        <f t="shared" si="36"/>
        <v>122Average Loss</v>
      </c>
      <c r="B2340">
        <v>122</v>
      </c>
      <c r="C2340" s="9" t="s">
        <v>29</v>
      </c>
      <c r="D2340" s="8">
        <v>-1.84E-2</v>
      </c>
    </row>
    <row r="2341" spans="1:4" x14ac:dyDescent="0.35">
      <c r="A2341" t="str">
        <f t="shared" si="36"/>
        <v>122Compounding Annual Return</v>
      </c>
      <c r="B2341">
        <v>122</v>
      </c>
      <c r="C2341" s="9" t="s">
        <v>30</v>
      </c>
      <c r="D2341" s="8">
        <v>-9.3659999999999993E-2</v>
      </c>
    </row>
    <row r="2342" spans="1:4" x14ac:dyDescent="0.35">
      <c r="A2342" t="str">
        <f t="shared" si="36"/>
        <v>122Drawdown</v>
      </c>
      <c r="B2342">
        <v>122</v>
      </c>
      <c r="C2342" s="9" t="s">
        <v>8</v>
      </c>
      <c r="D2342" s="8">
        <v>0.188</v>
      </c>
    </row>
    <row r="2343" spans="1:4" x14ac:dyDescent="0.35">
      <c r="A2343" t="str">
        <f t="shared" si="36"/>
        <v>122Expectancy</v>
      </c>
      <c r="B2343">
        <v>122</v>
      </c>
      <c r="C2343" s="9" t="s">
        <v>31</v>
      </c>
      <c r="D2343" s="8">
        <v>-0.21199999999999999</v>
      </c>
    </row>
    <row r="2344" spans="1:4" x14ac:dyDescent="0.35">
      <c r="A2344" t="str">
        <f t="shared" si="36"/>
        <v>122Net Profit</v>
      </c>
      <c r="B2344">
        <v>122</v>
      </c>
      <c r="C2344" s="9" t="s">
        <v>32</v>
      </c>
      <c r="D2344" s="8">
        <v>-6.1589999999999999E-2</v>
      </c>
    </row>
    <row r="2345" spans="1:4" x14ac:dyDescent="0.35">
      <c r="A2345" t="str">
        <f t="shared" si="36"/>
        <v>122Loss Rate</v>
      </c>
      <c r="B2345">
        <v>122</v>
      </c>
      <c r="C2345" s="9" t="s">
        <v>33</v>
      </c>
      <c r="D2345" s="8">
        <v>0.6</v>
      </c>
    </row>
    <row r="2346" spans="1:4" x14ac:dyDescent="0.35">
      <c r="A2346" t="str">
        <f t="shared" si="36"/>
        <v>122Win Rate</v>
      </c>
      <c r="B2346">
        <v>122</v>
      </c>
      <c r="C2346" s="9" t="s">
        <v>34</v>
      </c>
      <c r="D2346" s="8">
        <v>0.4</v>
      </c>
    </row>
    <row r="2347" spans="1:4" x14ac:dyDescent="0.35">
      <c r="A2347" t="str">
        <f t="shared" si="36"/>
        <v>122Profit-Loss Ratio</v>
      </c>
      <c r="B2347">
        <v>122</v>
      </c>
      <c r="C2347" s="9" t="s">
        <v>26</v>
      </c>
      <c r="D2347" s="8">
        <v>0.97</v>
      </c>
    </row>
    <row r="2348" spans="1:4" x14ac:dyDescent="0.35">
      <c r="A2348" t="str">
        <f t="shared" si="36"/>
        <v>122Alpha</v>
      </c>
      <c r="B2348">
        <v>122</v>
      </c>
      <c r="C2348" s="9" t="s">
        <v>23</v>
      </c>
      <c r="D2348" s="8">
        <v>-1.9E-2</v>
      </c>
    </row>
    <row r="2349" spans="1:4" x14ac:dyDescent="0.35">
      <c r="A2349" t="str">
        <f t="shared" si="36"/>
        <v>122Beta</v>
      </c>
      <c r="B2349">
        <v>122</v>
      </c>
      <c r="C2349" s="9" t="s">
        <v>24</v>
      </c>
      <c r="D2349" s="8">
        <v>-0.61</v>
      </c>
    </row>
    <row r="2350" spans="1:4" x14ac:dyDescent="0.35">
      <c r="A2350" t="str">
        <f t="shared" si="36"/>
        <v>122Annual Standard Deviation</v>
      </c>
      <c r="B2350">
        <v>122</v>
      </c>
      <c r="C2350" s="9" t="s">
        <v>35</v>
      </c>
      <c r="D2350" s="8">
        <v>0.13400000000000001</v>
      </c>
    </row>
    <row r="2351" spans="1:4" x14ac:dyDescent="0.35">
      <c r="A2351" t="str">
        <f t="shared" si="36"/>
        <v>122Annual Variance</v>
      </c>
      <c r="B2351">
        <v>122</v>
      </c>
      <c r="C2351" s="9" t="s">
        <v>36</v>
      </c>
      <c r="D2351" s="8">
        <v>1.7999999999999999E-2</v>
      </c>
    </row>
    <row r="2352" spans="1:4" x14ac:dyDescent="0.35">
      <c r="A2352" t="str">
        <f t="shared" si="36"/>
        <v>122Information Ratio</v>
      </c>
      <c r="B2352">
        <v>122</v>
      </c>
      <c r="C2352" s="9" t="s">
        <v>37</v>
      </c>
      <c r="D2352" s="8">
        <v>-0.72599999999999998</v>
      </c>
    </row>
    <row r="2353" spans="1:4" x14ac:dyDescent="0.35">
      <c r="A2353" t="str">
        <f t="shared" si="36"/>
        <v>122Tracking Error</v>
      </c>
      <c r="B2353">
        <v>122</v>
      </c>
      <c r="C2353" s="9" t="s">
        <v>38</v>
      </c>
      <c r="D2353" s="8">
        <v>0.16700000000000001</v>
      </c>
    </row>
    <row r="2354" spans="1:4" x14ac:dyDescent="0.35">
      <c r="A2354" t="str">
        <f t="shared" si="36"/>
        <v>122Treynor Ratio</v>
      </c>
      <c r="B2354">
        <v>122</v>
      </c>
      <c r="C2354" s="9" t="s">
        <v>39</v>
      </c>
      <c r="D2354" s="8">
        <v>9.4E-2</v>
      </c>
    </row>
    <row r="2355" spans="1:4" x14ac:dyDescent="0.35">
      <c r="A2355" t="str">
        <f t="shared" si="36"/>
        <v>122Total Fees</v>
      </c>
      <c r="B2355">
        <v>122</v>
      </c>
      <c r="C2355" s="9" t="s">
        <v>40</v>
      </c>
      <c r="D2355" s="8">
        <v>0</v>
      </c>
    </row>
    <row r="2356" spans="1:4" x14ac:dyDescent="0.35">
      <c r="A2356" t="str">
        <f t="shared" si="36"/>
        <v>122Estimated Strategy Capacity</v>
      </c>
      <c r="B2356">
        <v>122</v>
      </c>
      <c r="C2356" s="9" t="s">
        <v>41</v>
      </c>
      <c r="D2356" s="8">
        <v>1300000000</v>
      </c>
    </row>
    <row r="2357" spans="1:4" x14ac:dyDescent="0.35">
      <c r="A2357" t="str">
        <f t="shared" si="36"/>
        <v>121PSR</v>
      </c>
      <c r="B2357">
        <v>121</v>
      </c>
      <c r="C2357" s="9" t="s">
        <v>27</v>
      </c>
      <c r="D2357" s="8">
        <v>6.8339999999999998E-2</v>
      </c>
    </row>
    <row r="2358" spans="1:4" x14ac:dyDescent="0.35">
      <c r="A2358" t="str">
        <f t="shared" si="36"/>
        <v>121Sharpe Ratio</v>
      </c>
      <c r="B2358">
        <v>121</v>
      </c>
      <c r="C2358" s="9" t="s">
        <v>1</v>
      </c>
      <c r="D2358" s="8">
        <v>-0.52</v>
      </c>
    </row>
    <row r="2359" spans="1:4" x14ac:dyDescent="0.35">
      <c r="A2359" t="str">
        <f t="shared" si="36"/>
        <v>121Total Trades</v>
      </c>
      <c r="B2359">
        <v>121</v>
      </c>
      <c r="C2359" s="9" t="s">
        <v>28</v>
      </c>
      <c r="D2359" s="8">
        <v>453</v>
      </c>
    </row>
    <row r="2360" spans="1:4" x14ac:dyDescent="0.35">
      <c r="A2360" t="str">
        <f t="shared" si="36"/>
        <v>121Average Win</v>
      </c>
      <c r="B2360">
        <v>121</v>
      </c>
      <c r="C2360" s="9" t="s">
        <v>25</v>
      </c>
      <c r="D2360" s="8">
        <v>1.6999999999999999E-3</v>
      </c>
    </row>
    <row r="2361" spans="1:4" x14ac:dyDescent="0.35">
      <c r="A2361" t="str">
        <f t="shared" si="36"/>
        <v>121Average Loss</v>
      </c>
      <c r="B2361">
        <v>121</v>
      </c>
      <c r="C2361" s="9" t="s">
        <v>29</v>
      </c>
      <c r="D2361" s="8">
        <v>-1.8E-3</v>
      </c>
    </row>
    <row r="2362" spans="1:4" x14ac:dyDescent="0.35">
      <c r="A2362" t="str">
        <f t="shared" si="36"/>
        <v>121Compounding Annual Return</v>
      </c>
      <c r="B2362">
        <v>121</v>
      </c>
      <c r="C2362" s="9" t="s">
        <v>30</v>
      </c>
      <c r="D2362" s="8">
        <v>-9.5099999999999994E-3</v>
      </c>
    </row>
    <row r="2363" spans="1:4" x14ac:dyDescent="0.35">
      <c r="A2363" t="str">
        <f t="shared" si="36"/>
        <v>121Drawdown</v>
      </c>
      <c r="B2363">
        <v>121</v>
      </c>
      <c r="C2363" s="9" t="s">
        <v>8</v>
      </c>
      <c r="D2363" s="8">
        <v>1.9E-2</v>
      </c>
    </row>
    <row r="2364" spans="1:4" x14ac:dyDescent="0.35">
      <c r="A2364" t="str">
        <f t="shared" si="36"/>
        <v>121Expectancy</v>
      </c>
      <c r="B2364">
        <v>121</v>
      </c>
      <c r="C2364" s="9" t="s">
        <v>31</v>
      </c>
      <c r="D2364" s="8">
        <v>-0.224</v>
      </c>
    </row>
    <row r="2365" spans="1:4" x14ac:dyDescent="0.35">
      <c r="A2365" t="str">
        <f t="shared" si="36"/>
        <v>121Net Profit</v>
      </c>
      <c r="B2365">
        <v>121</v>
      </c>
      <c r="C2365" s="9" t="s">
        <v>32</v>
      </c>
      <c r="D2365" s="8">
        <v>-6.1599999999999997E-3</v>
      </c>
    </row>
    <row r="2366" spans="1:4" x14ac:dyDescent="0.35">
      <c r="A2366" t="str">
        <f t="shared" si="36"/>
        <v>121Loss Rate</v>
      </c>
      <c r="B2366">
        <v>121</v>
      </c>
      <c r="C2366" s="9" t="s">
        <v>33</v>
      </c>
      <c r="D2366" s="8">
        <v>0.6</v>
      </c>
    </row>
    <row r="2367" spans="1:4" x14ac:dyDescent="0.35">
      <c r="A2367" t="str">
        <f t="shared" si="36"/>
        <v>121Win Rate</v>
      </c>
      <c r="B2367">
        <v>121</v>
      </c>
      <c r="C2367" s="9" t="s">
        <v>34</v>
      </c>
      <c r="D2367" s="8">
        <v>0.4</v>
      </c>
    </row>
    <row r="2368" spans="1:4" x14ac:dyDescent="0.35">
      <c r="A2368" t="str">
        <f t="shared" si="36"/>
        <v>121Profit-Loss Ratio</v>
      </c>
      <c r="B2368">
        <v>121</v>
      </c>
      <c r="C2368" s="9" t="s">
        <v>26</v>
      </c>
      <c r="D2368" s="8">
        <v>0.94</v>
      </c>
    </row>
    <row r="2369" spans="1:4" x14ac:dyDescent="0.35">
      <c r="A2369" t="str">
        <f t="shared" si="36"/>
        <v>121Alpha</v>
      </c>
      <c r="B2369">
        <v>121</v>
      </c>
      <c r="C2369" s="9" t="s">
        <v>23</v>
      </c>
      <c r="D2369" s="8">
        <v>-3.0000000000000001E-3</v>
      </c>
    </row>
    <row r="2370" spans="1:4" x14ac:dyDescent="0.35">
      <c r="A2370" t="str">
        <f t="shared" si="36"/>
        <v>121Beta</v>
      </c>
      <c r="B2370">
        <v>121</v>
      </c>
      <c r="C2370" s="9" t="s">
        <v>24</v>
      </c>
      <c r="D2370" s="8">
        <v>-5.7000000000000002E-2</v>
      </c>
    </row>
    <row r="2371" spans="1:4" x14ac:dyDescent="0.35">
      <c r="A2371" t="str">
        <f t="shared" ref="A2371:A2434" si="37">B2371&amp;C2371</f>
        <v>121Annual Standard Deviation</v>
      </c>
      <c r="B2371">
        <v>121</v>
      </c>
      <c r="C2371" s="9" t="s">
        <v>35</v>
      </c>
      <c r="D2371" s="8">
        <v>1.2999999999999999E-2</v>
      </c>
    </row>
    <row r="2372" spans="1:4" x14ac:dyDescent="0.35">
      <c r="A2372" t="str">
        <f t="shared" si="37"/>
        <v>121Annual Variance</v>
      </c>
      <c r="B2372">
        <v>121</v>
      </c>
      <c r="C2372" s="9" t="s">
        <v>36</v>
      </c>
      <c r="D2372" s="8">
        <v>0</v>
      </c>
    </row>
    <row r="2373" spans="1:4" x14ac:dyDescent="0.35">
      <c r="A2373" t="str">
        <f t="shared" si="37"/>
        <v>121Information Ratio</v>
      </c>
      <c r="B2373">
        <v>121</v>
      </c>
      <c r="C2373" s="9" t="s">
        <v>37</v>
      </c>
      <c r="D2373" s="8">
        <v>-0.98099999999999998</v>
      </c>
    </row>
    <row r="2374" spans="1:4" x14ac:dyDescent="0.35">
      <c r="A2374" t="str">
        <f t="shared" si="37"/>
        <v>121Tracking Error</v>
      </c>
      <c r="B2374">
        <v>121</v>
      </c>
      <c r="C2374" s="9" t="s">
        <v>38</v>
      </c>
      <c r="D2374" s="8">
        <v>7.1999999999999995E-2</v>
      </c>
    </row>
    <row r="2375" spans="1:4" x14ac:dyDescent="0.35">
      <c r="A2375" t="str">
        <f t="shared" si="37"/>
        <v>121Treynor Ratio</v>
      </c>
      <c r="B2375">
        <v>121</v>
      </c>
      <c r="C2375" s="9" t="s">
        <v>39</v>
      </c>
      <c r="D2375" s="8">
        <v>0.114</v>
      </c>
    </row>
    <row r="2376" spans="1:4" x14ac:dyDescent="0.35">
      <c r="A2376" t="str">
        <f t="shared" si="37"/>
        <v>121Total Fees</v>
      </c>
      <c r="B2376">
        <v>121</v>
      </c>
      <c r="C2376" s="9" t="s">
        <v>40</v>
      </c>
      <c r="D2376" s="8">
        <v>0</v>
      </c>
    </row>
    <row r="2377" spans="1:4" x14ac:dyDescent="0.35">
      <c r="A2377" t="str">
        <f t="shared" si="37"/>
        <v>121Estimated Strategy Capacity</v>
      </c>
      <c r="B2377">
        <v>121</v>
      </c>
      <c r="C2377" s="9" t="s">
        <v>41</v>
      </c>
      <c r="D2377" s="8">
        <v>13000000000</v>
      </c>
    </row>
    <row r="2378" spans="1:4" x14ac:dyDescent="0.35">
      <c r="A2378" t="str">
        <f t="shared" si="37"/>
        <v>120PSR</v>
      </c>
      <c r="B2378">
        <v>120</v>
      </c>
      <c r="C2378" s="9" t="s">
        <v>27</v>
      </c>
      <c r="D2378" s="8">
        <v>1.243E-2</v>
      </c>
    </row>
    <row r="2379" spans="1:4" x14ac:dyDescent="0.35">
      <c r="A2379" t="str">
        <f t="shared" si="37"/>
        <v>120Sharpe Ratio</v>
      </c>
      <c r="B2379">
        <v>120</v>
      </c>
      <c r="C2379" s="9" t="s">
        <v>1</v>
      </c>
      <c r="D2379" s="8">
        <v>-0.83599999999999997</v>
      </c>
    </row>
    <row r="2380" spans="1:4" x14ac:dyDescent="0.35">
      <c r="A2380" t="str">
        <f t="shared" si="37"/>
        <v>120Total Trades</v>
      </c>
      <c r="B2380">
        <v>120</v>
      </c>
      <c r="C2380" s="9" t="s">
        <v>28</v>
      </c>
      <c r="D2380" s="8">
        <v>777</v>
      </c>
    </row>
    <row r="2381" spans="1:4" x14ac:dyDescent="0.35">
      <c r="A2381" t="str">
        <f t="shared" si="37"/>
        <v>120Average Win</v>
      </c>
      <c r="B2381">
        <v>120</v>
      </c>
      <c r="C2381" s="9" t="s">
        <v>25</v>
      </c>
      <c r="D2381" s="8">
        <v>0.05</v>
      </c>
    </row>
    <row r="2382" spans="1:4" x14ac:dyDescent="0.35">
      <c r="A2382" t="str">
        <f t="shared" si="37"/>
        <v>120Average Loss</v>
      </c>
      <c r="B2382">
        <v>120</v>
      </c>
      <c r="C2382" s="9" t="s">
        <v>29</v>
      </c>
      <c r="D2382" s="8">
        <v>-6.4100000000000004E-2</v>
      </c>
    </row>
    <row r="2383" spans="1:4" x14ac:dyDescent="0.35">
      <c r="A2383" t="str">
        <f t="shared" si="37"/>
        <v>120Compounding Annual Return</v>
      </c>
      <c r="B2383">
        <v>120</v>
      </c>
      <c r="C2383" s="9" t="s">
        <v>30</v>
      </c>
      <c r="D2383" s="8">
        <v>-0.76720999999999995</v>
      </c>
    </row>
    <row r="2384" spans="1:4" x14ac:dyDescent="0.35">
      <c r="A2384" t="str">
        <f t="shared" si="37"/>
        <v>120Drawdown</v>
      </c>
      <c r="B2384">
        <v>120</v>
      </c>
      <c r="C2384" s="9" t="s">
        <v>8</v>
      </c>
      <c r="D2384" s="8">
        <v>0.65100000000000002</v>
      </c>
    </row>
    <row r="2385" spans="1:4" x14ac:dyDescent="0.35">
      <c r="A2385" t="str">
        <f t="shared" si="37"/>
        <v>120Expectancy</v>
      </c>
      <c r="B2385">
        <v>120</v>
      </c>
      <c r="C2385" s="9" t="s">
        <v>31</v>
      </c>
      <c r="D2385" s="8">
        <v>-0.47199999999999998</v>
      </c>
    </row>
    <row r="2386" spans="1:4" x14ac:dyDescent="0.35">
      <c r="A2386" t="str">
        <f t="shared" si="37"/>
        <v>120Net Profit</v>
      </c>
      <c r="B2386">
        <v>120</v>
      </c>
      <c r="C2386" s="9" t="s">
        <v>32</v>
      </c>
      <c r="D2386" s="8">
        <v>-0.61026999999999998</v>
      </c>
    </row>
    <row r="2387" spans="1:4" x14ac:dyDescent="0.35">
      <c r="A2387" t="str">
        <f t="shared" si="37"/>
        <v>120Loss Rate</v>
      </c>
      <c r="B2387">
        <v>120</v>
      </c>
      <c r="C2387" s="9" t="s">
        <v>33</v>
      </c>
      <c r="D2387" s="8">
        <v>0.7</v>
      </c>
    </row>
    <row r="2388" spans="1:4" x14ac:dyDescent="0.35">
      <c r="A2388" t="str">
        <f t="shared" si="37"/>
        <v>120Win Rate</v>
      </c>
      <c r="B2388">
        <v>120</v>
      </c>
      <c r="C2388" s="9" t="s">
        <v>34</v>
      </c>
      <c r="D2388" s="8">
        <v>0.3</v>
      </c>
    </row>
    <row r="2389" spans="1:4" x14ac:dyDescent="0.35">
      <c r="A2389" t="str">
        <f t="shared" si="37"/>
        <v>120Profit-Loss Ratio</v>
      </c>
      <c r="B2389">
        <v>120</v>
      </c>
      <c r="C2389" s="9" t="s">
        <v>26</v>
      </c>
      <c r="D2389" s="8">
        <v>0.78</v>
      </c>
    </row>
    <row r="2390" spans="1:4" x14ac:dyDescent="0.35">
      <c r="A2390" t="str">
        <f t="shared" si="37"/>
        <v>120Alpha</v>
      </c>
      <c r="B2390">
        <v>120</v>
      </c>
      <c r="C2390" s="9" t="s">
        <v>23</v>
      </c>
      <c r="D2390" s="8">
        <v>-0.36599999999999999</v>
      </c>
    </row>
    <row r="2391" spans="1:4" x14ac:dyDescent="0.35">
      <c r="A2391" t="str">
        <f t="shared" si="37"/>
        <v>120Beta</v>
      </c>
      <c r="B2391">
        <v>120</v>
      </c>
      <c r="C2391" s="9" t="s">
        <v>24</v>
      </c>
      <c r="D2391" s="8">
        <v>-2.7879999999999998</v>
      </c>
    </row>
    <row r="2392" spans="1:4" x14ac:dyDescent="0.35">
      <c r="A2392" t="str">
        <f t="shared" si="37"/>
        <v>120Annual Standard Deviation</v>
      </c>
      <c r="B2392">
        <v>120</v>
      </c>
      <c r="C2392" s="9" t="s">
        <v>35</v>
      </c>
      <c r="D2392" s="8">
        <v>0.65100000000000002</v>
      </c>
    </row>
    <row r="2393" spans="1:4" x14ac:dyDescent="0.35">
      <c r="A2393" t="str">
        <f t="shared" si="37"/>
        <v>120Annual Variance</v>
      </c>
      <c r="B2393">
        <v>120</v>
      </c>
      <c r="C2393" s="9" t="s">
        <v>36</v>
      </c>
      <c r="D2393" s="8">
        <v>0.42299999999999999</v>
      </c>
    </row>
    <row r="2394" spans="1:4" x14ac:dyDescent="0.35">
      <c r="A2394" t="str">
        <f t="shared" si="37"/>
        <v>120Information Ratio</v>
      </c>
      <c r="B2394">
        <v>120</v>
      </c>
      <c r="C2394" s="9" t="s">
        <v>37</v>
      </c>
      <c r="D2394" s="8">
        <v>-0.90300000000000002</v>
      </c>
    </row>
    <row r="2395" spans="1:4" x14ac:dyDescent="0.35">
      <c r="A2395" t="str">
        <f t="shared" si="37"/>
        <v>120Tracking Error</v>
      </c>
      <c r="B2395">
        <v>120</v>
      </c>
      <c r="C2395" s="9" t="s">
        <v>38</v>
      </c>
      <c r="D2395" s="8">
        <v>0.67300000000000004</v>
      </c>
    </row>
    <row r="2396" spans="1:4" x14ac:dyDescent="0.35">
      <c r="A2396" t="str">
        <f t="shared" si="37"/>
        <v>120Treynor Ratio</v>
      </c>
      <c r="B2396">
        <v>120</v>
      </c>
      <c r="C2396" s="9" t="s">
        <v>39</v>
      </c>
      <c r="D2396" s="8">
        <v>0.19500000000000001</v>
      </c>
    </row>
    <row r="2397" spans="1:4" x14ac:dyDescent="0.35">
      <c r="A2397" t="str">
        <f t="shared" si="37"/>
        <v>120Total Fees</v>
      </c>
      <c r="B2397">
        <v>120</v>
      </c>
      <c r="C2397" s="9" t="s">
        <v>40</v>
      </c>
      <c r="D2397" s="8">
        <v>0</v>
      </c>
    </row>
    <row r="2398" spans="1:4" x14ac:dyDescent="0.35">
      <c r="A2398" t="str">
        <f t="shared" si="37"/>
        <v>120Estimated Strategy Capacity</v>
      </c>
      <c r="B2398">
        <v>120</v>
      </c>
      <c r="C2398" s="9" t="s">
        <v>41</v>
      </c>
      <c r="D2398" s="8">
        <v>370000000</v>
      </c>
    </row>
    <row r="2399" spans="1:4" x14ac:dyDescent="0.35">
      <c r="A2399" t="str">
        <f t="shared" si="37"/>
        <v>119PSR</v>
      </c>
      <c r="B2399">
        <v>119</v>
      </c>
      <c r="C2399" s="9" t="s">
        <v>27</v>
      </c>
      <c r="D2399" s="8">
        <v>5.5199999999999997E-3</v>
      </c>
    </row>
    <row r="2400" spans="1:4" x14ac:dyDescent="0.35">
      <c r="A2400" t="str">
        <f t="shared" si="37"/>
        <v>119Sharpe Ratio</v>
      </c>
      <c r="B2400">
        <v>119</v>
      </c>
      <c r="C2400" s="9" t="s">
        <v>1</v>
      </c>
      <c r="D2400" s="8">
        <v>-1.37</v>
      </c>
    </row>
    <row r="2401" spans="1:4" x14ac:dyDescent="0.35">
      <c r="A2401" t="str">
        <f t="shared" si="37"/>
        <v>119Total Trades</v>
      </c>
      <c r="B2401">
        <v>119</v>
      </c>
      <c r="C2401" s="9" t="s">
        <v>28</v>
      </c>
      <c r="D2401" s="8">
        <v>781</v>
      </c>
    </row>
    <row r="2402" spans="1:4" x14ac:dyDescent="0.35">
      <c r="A2402" t="str">
        <f t="shared" si="37"/>
        <v>119Average Win</v>
      </c>
      <c r="B2402">
        <v>119</v>
      </c>
      <c r="C2402" s="9" t="s">
        <v>25</v>
      </c>
      <c r="D2402" s="8">
        <v>8.8999999999999999E-3</v>
      </c>
    </row>
    <row r="2403" spans="1:4" x14ac:dyDescent="0.35">
      <c r="A2403" t="str">
        <f t="shared" si="37"/>
        <v>119Average Loss</v>
      </c>
      <c r="B2403">
        <v>119</v>
      </c>
      <c r="C2403" s="9" t="s">
        <v>29</v>
      </c>
      <c r="D2403" s="8">
        <v>-1.12E-2</v>
      </c>
    </row>
    <row r="2404" spans="1:4" x14ac:dyDescent="0.35">
      <c r="A2404" t="str">
        <f t="shared" si="37"/>
        <v>119Compounding Annual Return</v>
      </c>
      <c r="B2404">
        <v>119</v>
      </c>
      <c r="C2404" s="9" t="s">
        <v>30</v>
      </c>
      <c r="D2404" s="8">
        <v>-0.19083</v>
      </c>
    </row>
    <row r="2405" spans="1:4" x14ac:dyDescent="0.35">
      <c r="A2405" t="str">
        <f t="shared" si="37"/>
        <v>119Drawdown</v>
      </c>
      <c r="B2405">
        <v>119</v>
      </c>
      <c r="C2405" s="9" t="s">
        <v>8</v>
      </c>
      <c r="D2405" s="8">
        <v>0.14699999999999999</v>
      </c>
    </row>
    <row r="2406" spans="1:4" x14ac:dyDescent="0.35">
      <c r="A2406" t="str">
        <f t="shared" si="37"/>
        <v>119Expectancy</v>
      </c>
      <c r="B2406">
        <v>119</v>
      </c>
      <c r="C2406" s="9" t="s">
        <v>31</v>
      </c>
      <c r="D2406" s="8">
        <v>-0.44900000000000001</v>
      </c>
    </row>
    <row r="2407" spans="1:4" x14ac:dyDescent="0.35">
      <c r="A2407" t="str">
        <f t="shared" si="37"/>
        <v>119Net Profit</v>
      </c>
      <c r="B2407">
        <v>119</v>
      </c>
      <c r="C2407" s="9" t="s">
        <v>32</v>
      </c>
      <c r="D2407" s="8">
        <v>-0.12792999999999999</v>
      </c>
    </row>
    <row r="2408" spans="1:4" x14ac:dyDescent="0.35">
      <c r="A2408" t="str">
        <f t="shared" si="37"/>
        <v>119Loss Rate</v>
      </c>
      <c r="B2408">
        <v>119</v>
      </c>
      <c r="C2408" s="9" t="s">
        <v>33</v>
      </c>
      <c r="D2408" s="8">
        <v>0.69</v>
      </c>
    </row>
    <row r="2409" spans="1:4" x14ac:dyDescent="0.35">
      <c r="A2409" t="str">
        <f t="shared" si="37"/>
        <v>119Win Rate</v>
      </c>
      <c r="B2409">
        <v>119</v>
      </c>
      <c r="C2409" s="9" t="s">
        <v>34</v>
      </c>
      <c r="D2409" s="8">
        <v>0.31</v>
      </c>
    </row>
    <row r="2410" spans="1:4" x14ac:dyDescent="0.35">
      <c r="A2410" t="str">
        <f t="shared" si="37"/>
        <v>119Profit-Loss Ratio</v>
      </c>
      <c r="B2410">
        <v>119</v>
      </c>
      <c r="C2410" s="9" t="s">
        <v>26</v>
      </c>
      <c r="D2410" s="8">
        <v>0.79</v>
      </c>
    </row>
    <row r="2411" spans="1:4" x14ac:dyDescent="0.35">
      <c r="A2411" t="str">
        <f t="shared" si="37"/>
        <v>119Alpha</v>
      </c>
      <c r="B2411">
        <v>119</v>
      </c>
      <c r="C2411" s="9" t="s">
        <v>23</v>
      </c>
      <c r="D2411" s="8">
        <v>-0.107</v>
      </c>
    </row>
    <row r="2412" spans="1:4" x14ac:dyDescent="0.35">
      <c r="A2412" t="str">
        <f t="shared" si="37"/>
        <v>119Beta</v>
      </c>
      <c r="B2412">
        <v>119</v>
      </c>
      <c r="C2412" s="9" t="s">
        <v>24</v>
      </c>
      <c r="D2412" s="8">
        <v>-0.40699999999999997</v>
      </c>
    </row>
    <row r="2413" spans="1:4" x14ac:dyDescent="0.35">
      <c r="A2413" t="str">
        <f t="shared" si="37"/>
        <v>119Annual Standard Deviation</v>
      </c>
      <c r="B2413">
        <v>119</v>
      </c>
      <c r="C2413" s="9" t="s">
        <v>35</v>
      </c>
      <c r="D2413" s="8">
        <v>9.7000000000000003E-2</v>
      </c>
    </row>
    <row r="2414" spans="1:4" x14ac:dyDescent="0.35">
      <c r="A2414" t="str">
        <f t="shared" si="37"/>
        <v>119Annual Variance</v>
      </c>
      <c r="B2414">
        <v>119</v>
      </c>
      <c r="C2414" s="9" t="s">
        <v>36</v>
      </c>
      <c r="D2414" s="8">
        <v>8.9999999999999993E-3</v>
      </c>
    </row>
    <row r="2415" spans="1:4" x14ac:dyDescent="0.35">
      <c r="A2415" t="str">
        <f t="shared" si="37"/>
        <v>119Information Ratio</v>
      </c>
      <c r="B2415">
        <v>119</v>
      </c>
      <c r="C2415" s="9" t="s">
        <v>37</v>
      </c>
      <c r="D2415" s="8">
        <v>-1.4850000000000001</v>
      </c>
    </row>
    <row r="2416" spans="1:4" x14ac:dyDescent="0.35">
      <c r="A2416" t="str">
        <f t="shared" si="37"/>
        <v>119Tracking Error</v>
      </c>
      <c r="B2416">
        <v>119</v>
      </c>
      <c r="C2416" s="9" t="s">
        <v>38</v>
      </c>
      <c r="D2416" s="8">
        <v>0.13200000000000001</v>
      </c>
    </row>
    <row r="2417" spans="1:4" x14ac:dyDescent="0.35">
      <c r="A2417" t="str">
        <f t="shared" si="37"/>
        <v>119Treynor Ratio</v>
      </c>
      <c r="B2417">
        <v>119</v>
      </c>
      <c r="C2417" s="9" t="s">
        <v>39</v>
      </c>
      <c r="D2417" s="8">
        <v>0.32500000000000001</v>
      </c>
    </row>
    <row r="2418" spans="1:4" x14ac:dyDescent="0.35">
      <c r="A2418" t="str">
        <f t="shared" si="37"/>
        <v>119Total Fees</v>
      </c>
      <c r="B2418">
        <v>119</v>
      </c>
      <c r="C2418" s="9" t="s">
        <v>40</v>
      </c>
      <c r="D2418" s="8">
        <v>0</v>
      </c>
    </row>
    <row r="2419" spans="1:4" x14ac:dyDescent="0.35">
      <c r="A2419" t="str">
        <f t="shared" si="37"/>
        <v>119Estimated Strategy Capacity</v>
      </c>
      <c r="B2419">
        <v>119</v>
      </c>
      <c r="C2419" s="9" t="s">
        <v>41</v>
      </c>
      <c r="D2419" s="8">
        <v>3800000000</v>
      </c>
    </row>
    <row r="2420" spans="1:4" x14ac:dyDescent="0.35">
      <c r="A2420" t="str">
        <f t="shared" si="37"/>
        <v>118PSR</v>
      </c>
      <c r="B2420">
        <v>118</v>
      </c>
      <c r="C2420" s="9" t="s">
        <v>27</v>
      </c>
      <c r="D2420" s="8">
        <v>5.1599999999999997E-3</v>
      </c>
    </row>
    <row r="2421" spans="1:4" x14ac:dyDescent="0.35">
      <c r="A2421" t="str">
        <f t="shared" si="37"/>
        <v>118Sharpe Ratio</v>
      </c>
      <c r="B2421">
        <v>118</v>
      </c>
      <c r="C2421" s="9" t="s">
        <v>1</v>
      </c>
      <c r="D2421" s="8">
        <v>-1.4870000000000001</v>
      </c>
    </row>
    <row r="2422" spans="1:4" x14ac:dyDescent="0.35">
      <c r="A2422" t="str">
        <f t="shared" si="37"/>
        <v>118Total Trades</v>
      </c>
      <c r="B2422">
        <v>118</v>
      </c>
      <c r="C2422" s="9" t="s">
        <v>28</v>
      </c>
      <c r="D2422" s="8">
        <v>781</v>
      </c>
    </row>
    <row r="2423" spans="1:4" x14ac:dyDescent="0.35">
      <c r="A2423" t="str">
        <f t="shared" si="37"/>
        <v>118Average Win</v>
      </c>
      <c r="B2423">
        <v>118</v>
      </c>
      <c r="C2423" s="9" t="s">
        <v>25</v>
      </c>
      <c r="D2423" s="8">
        <v>8.9999999999999998E-4</v>
      </c>
    </row>
    <row r="2424" spans="1:4" x14ac:dyDescent="0.35">
      <c r="A2424" t="str">
        <f t="shared" si="37"/>
        <v>118Average Loss</v>
      </c>
      <c r="B2424">
        <v>118</v>
      </c>
      <c r="C2424" s="9" t="s">
        <v>29</v>
      </c>
      <c r="D2424" s="8">
        <v>-1.1000000000000001E-3</v>
      </c>
    </row>
    <row r="2425" spans="1:4" x14ac:dyDescent="0.35">
      <c r="A2425" t="str">
        <f t="shared" si="37"/>
        <v>118Compounding Annual Return</v>
      </c>
      <c r="B2425">
        <v>118</v>
      </c>
      <c r="C2425" s="9" t="s">
        <v>30</v>
      </c>
      <c r="D2425" s="8">
        <v>-1.9720000000000001E-2</v>
      </c>
    </row>
    <row r="2426" spans="1:4" x14ac:dyDescent="0.35">
      <c r="A2426" t="str">
        <f t="shared" si="37"/>
        <v>118Drawdown</v>
      </c>
      <c r="B2426">
        <v>118</v>
      </c>
      <c r="C2426" s="9" t="s">
        <v>8</v>
      </c>
      <c r="D2426" s="8">
        <v>1.4999999999999999E-2</v>
      </c>
    </row>
    <row r="2427" spans="1:4" x14ac:dyDescent="0.35">
      <c r="A2427" t="str">
        <f t="shared" si="37"/>
        <v>118Expectancy</v>
      </c>
      <c r="B2427">
        <v>118</v>
      </c>
      <c r="C2427" s="9" t="s">
        <v>31</v>
      </c>
      <c r="D2427" s="8">
        <v>-0.44500000000000001</v>
      </c>
    </row>
    <row r="2428" spans="1:4" x14ac:dyDescent="0.35">
      <c r="A2428" t="str">
        <f t="shared" si="37"/>
        <v>118Net Profit</v>
      </c>
      <c r="B2428">
        <v>118</v>
      </c>
      <c r="C2428" s="9" t="s">
        <v>32</v>
      </c>
      <c r="D2428" s="8">
        <v>-1.2789999999999999E-2</v>
      </c>
    </row>
    <row r="2429" spans="1:4" x14ac:dyDescent="0.35">
      <c r="A2429" t="str">
        <f t="shared" si="37"/>
        <v>118Loss Rate</v>
      </c>
      <c r="B2429">
        <v>118</v>
      </c>
      <c r="C2429" s="9" t="s">
        <v>33</v>
      </c>
      <c r="D2429" s="8">
        <v>0.69</v>
      </c>
    </row>
    <row r="2430" spans="1:4" x14ac:dyDescent="0.35">
      <c r="A2430" t="str">
        <f t="shared" si="37"/>
        <v>118Win Rate</v>
      </c>
      <c r="B2430">
        <v>118</v>
      </c>
      <c r="C2430" s="9" t="s">
        <v>34</v>
      </c>
      <c r="D2430" s="8">
        <v>0.31</v>
      </c>
    </row>
    <row r="2431" spans="1:4" x14ac:dyDescent="0.35">
      <c r="A2431" t="str">
        <f t="shared" si="37"/>
        <v>118Profit-Loss Ratio</v>
      </c>
      <c r="B2431">
        <v>118</v>
      </c>
      <c r="C2431" s="9" t="s">
        <v>26</v>
      </c>
      <c r="D2431" s="8">
        <v>0.8</v>
      </c>
    </row>
    <row r="2432" spans="1:4" x14ac:dyDescent="0.35">
      <c r="A2432" t="str">
        <f t="shared" si="37"/>
        <v>118Alpha</v>
      </c>
      <c r="B2432">
        <v>118</v>
      </c>
      <c r="C2432" s="9" t="s">
        <v>23</v>
      </c>
      <c r="D2432" s="8">
        <v>-1.0999999999999999E-2</v>
      </c>
    </row>
    <row r="2433" spans="1:4" x14ac:dyDescent="0.35">
      <c r="A2433" t="str">
        <f t="shared" si="37"/>
        <v>118Beta</v>
      </c>
      <c r="B2433">
        <v>118</v>
      </c>
      <c r="C2433" s="9" t="s">
        <v>24</v>
      </c>
      <c r="D2433" s="8">
        <v>-3.7999999999999999E-2</v>
      </c>
    </row>
    <row r="2434" spans="1:4" x14ac:dyDescent="0.35">
      <c r="A2434" t="str">
        <f t="shared" si="37"/>
        <v>118Annual Standard Deviation</v>
      </c>
      <c r="B2434">
        <v>118</v>
      </c>
      <c r="C2434" s="9" t="s">
        <v>35</v>
      </c>
      <c r="D2434" s="8">
        <v>8.9999999999999993E-3</v>
      </c>
    </row>
    <row r="2435" spans="1:4" x14ac:dyDescent="0.35">
      <c r="A2435" t="str">
        <f t="shared" ref="A2435:A2498" si="38">B2435&amp;C2435</f>
        <v>118Annual Variance</v>
      </c>
      <c r="B2435">
        <v>118</v>
      </c>
      <c r="C2435" s="9" t="s">
        <v>36</v>
      </c>
      <c r="D2435" s="8">
        <v>0</v>
      </c>
    </row>
    <row r="2436" spans="1:4" x14ac:dyDescent="0.35">
      <c r="A2436" t="str">
        <f t="shared" si="38"/>
        <v>118Information Ratio</v>
      </c>
      <c r="B2436">
        <v>118</v>
      </c>
      <c r="C2436" s="9" t="s">
        <v>37</v>
      </c>
      <c r="D2436" s="8">
        <v>-1.107</v>
      </c>
    </row>
    <row r="2437" spans="1:4" x14ac:dyDescent="0.35">
      <c r="A2437" t="str">
        <f t="shared" si="38"/>
        <v>118Tracking Error</v>
      </c>
      <c r="B2437">
        <v>118</v>
      </c>
      <c r="C2437" s="9" t="s">
        <v>38</v>
      </c>
      <c r="D2437" s="8">
        <v>7.0000000000000007E-2</v>
      </c>
    </row>
    <row r="2438" spans="1:4" x14ac:dyDescent="0.35">
      <c r="A2438" t="str">
        <f t="shared" si="38"/>
        <v>118Treynor Ratio</v>
      </c>
      <c r="B2438">
        <v>118</v>
      </c>
      <c r="C2438" s="9" t="s">
        <v>39</v>
      </c>
      <c r="D2438" s="8">
        <v>0.35499999999999998</v>
      </c>
    </row>
    <row r="2439" spans="1:4" x14ac:dyDescent="0.35">
      <c r="A2439" t="str">
        <f t="shared" si="38"/>
        <v>118Total Fees</v>
      </c>
      <c r="B2439">
        <v>118</v>
      </c>
      <c r="C2439" s="9" t="s">
        <v>40</v>
      </c>
      <c r="D2439" s="8">
        <v>0</v>
      </c>
    </row>
    <row r="2440" spans="1:4" x14ac:dyDescent="0.35">
      <c r="A2440" t="str">
        <f t="shared" si="38"/>
        <v>118Estimated Strategy Capacity</v>
      </c>
      <c r="B2440">
        <v>118</v>
      </c>
      <c r="C2440" s="9" t="s">
        <v>41</v>
      </c>
      <c r="D2440" s="8">
        <v>43000000000</v>
      </c>
    </row>
    <row r="2441" spans="1:4" x14ac:dyDescent="0.35">
      <c r="A2441" t="str">
        <f t="shared" si="38"/>
        <v>108PSR</v>
      </c>
      <c r="B2441">
        <v>108</v>
      </c>
      <c r="C2441" s="2" t="s">
        <v>27</v>
      </c>
      <c r="D2441" s="6">
        <v>0.47092000000000001</v>
      </c>
    </row>
    <row r="2442" spans="1:4" x14ac:dyDescent="0.35">
      <c r="A2442" t="str">
        <f t="shared" si="38"/>
        <v>108Sharpe Ratio</v>
      </c>
      <c r="B2442">
        <v>108</v>
      </c>
      <c r="C2442" t="s">
        <v>1</v>
      </c>
      <c r="D2442" s="6">
        <v>1.4159999999999999</v>
      </c>
    </row>
    <row r="2443" spans="1:4" x14ac:dyDescent="0.35">
      <c r="A2443" t="str">
        <f t="shared" si="38"/>
        <v>108Total Trades</v>
      </c>
      <c r="B2443">
        <v>108</v>
      </c>
      <c r="C2443" t="s">
        <v>28</v>
      </c>
      <c r="D2443" s="6">
        <v>283</v>
      </c>
    </row>
    <row r="2444" spans="1:4" x14ac:dyDescent="0.35">
      <c r="A2444" t="str">
        <f t="shared" si="38"/>
        <v>108Average Win</v>
      </c>
      <c r="B2444">
        <v>108</v>
      </c>
      <c r="C2444" s="2" t="s">
        <v>25</v>
      </c>
      <c r="D2444" s="6">
        <v>0.1166</v>
      </c>
    </row>
    <row r="2445" spans="1:4" x14ac:dyDescent="0.35">
      <c r="A2445" t="str">
        <f t="shared" si="38"/>
        <v>108Average Loss</v>
      </c>
      <c r="B2445">
        <v>108</v>
      </c>
      <c r="C2445" s="2" t="s">
        <v>29</v>
      </c>
      <c r="D2445" s="6">
        <v>-7.51E-2</v>
      </c>
    </row>
    <row r="2446" spans="1:4" x14ac:dyDescent="0.35">
      <c r="A2446" t="str">
        <f t="shared" si="38"/>
        <v>108Compounding Annual Return</v>
      </c>
      <c r="B2446">
        <v>108</v>
      </c>
      <c r="C2446" s="2" t="s">
        <v>30</v>
      </c>
      <c r="D2446" s="6">
        <v>0.86343000000000003</v>
      </c>
    </row>
    <row r="2447" spans="1:4" x14ac:dyDescent="0.35">
      <c r="A2447" t="str">
        <f t="shared" si="38"/>
        <v>108Drawdown</v>
      </c>
      <c r="B2447">
        <v>108</v>
      </c>
      <c r="C2447" s="2" t="s">
        <v>8</v>
      </c>
      <c r="D2447" s="6">
        <v>0.49099999999999999</v>
      </c>
    </row>
    <row r="2448" spans="1:4" x14ac:dyDescent="0.35">
      <c r="A2448" t="str">
        <f t="shared" si="38"/>
        <v>108Expectancy</v>
      </c>
      <c r="B2448">
        <v>108</v>
      </c>
      <c r="C2448" t="s">
        <v>31</v>
      </c>
      <c r="D2448" s="6">
        <v>0.70099999999999996</v>
      </c>
    </row>
    <row r="2449" spans="1:4" x14ac:dyDescent="0.35">
      <c r="A2449" t="str">
        <f t="shared" si="38"/>
        <v>108Net Profit</v>
      </c>
      <c r="B2449">
        <v>108</v>
      </c>
      <c r="C2449" s="2" t="s">
        <v>32</v>
      </c>
      <c r="D2449" s="6">
        <v>0.49281000000000003</v>
      </c>
    </row>
    <row r="2450" spans="1:4" x14ac:dyDescent="0.35">
      <c r="A2450" t="str">
        <f t="shared" si="38"/>
        <v>108Loss Rate</v>
      </c>
      <c r="B2450">
        <v>108</v>
      </c>
      <c r="C2450" s="3" t="s">
        <v>33</v>
      </c>
      <c r="D2450" s="6">
        <v>0.33</v>
      </c>
    </row>
    <row r="2451" spans="1:4" x14ac:dyDescent="0.35">
      <c r="A2451" t="str">
        <f t="shared" si="38"/>
        <v>108Win Rate</v>
      </c>
      <c r="B2451">
        <v>108</v>
      </c>
      <c r="C2451" s="3" t="s">
        <v>34</v>
      </c>
      <c r="D2451" s="6">
        <v>0.67</v>
      </c>
    </row>
    <row r="2452" spans="1:4" x14ac:dyDescent="0.35">
      <c r="A2452" t="str">
        <f t="shared" si="38"/>
        <v>108Profit-Loss Ratio</v>
      </c>
      <c r="B2452">
        <v>108</v>
      </c>
      <c r="C2452" t="s">
        <v>26</v>
      </c>
      <c r="D2452" s="6">
        <v>1.55</v>
      </c>
    </row>
    <row r="2453" spans="1:4" x14ac:dyDescent="0.35">
      <c r="A2453" t="str">
        <f t="shared" si="38"/>
        <v>108Alpha</v>
      </c>
      <c r="B2453">
        <v>108</v>
      </c>
      <c r="C2453" t="s">
        <v>23</v>
      </c>
      <c r="D2453" s="6">
        <v>0.92400000000000004</v>
      </c>
    </row>
    <row r="2454" spans="1:4" x14ac:dyDescent="0.35">
      <c r="A2454" t="str">
        <f t="shared" si="38"/>
        <v>108Beta</v>
      </c>
      <c r="B2454">
        <v>108</v>
      </c>
      <c r="C2454" t="s">
        <v>24</v>
      </c>
      <c r="D2454" s="6">
        <v>4.7430000000000003</v>
      </c>
    </row>
    <row r="2455" spans="1:4" x14ac:dyDescent="0.35">
      <c r="A2455" t="str">
        <f t="shared" si="38"/>
        <v>108Annual Standard Deviation</v>
      </c>
      <c r="B2455">
        <v>108</v>
      </c>
      <c r="C2455" t="s">
        <v>35</v>
      </c>
      <c r="D2455" s="6">
        <v>0.86699999999999999</v>
      </c>
    </row>
    <row r="2456" spans="1:4" x14ac:dyDescent="0.35">
      <c r="A2456" t="str">
        <f t="shared" si="38"/>
        <v>108Annual Variance</v>
      </c>
      <c r="B2456">
        <v>108</v>
      </c>
      <c r="C2456" t="s">
        <v>36</v>
      </c>
      <c r="D2456" s="6">
        <v>0.751</v>
      </c>
    </row>
    <row r="2457" spans="1:4" x14ac:dyDescent="0.35">
      <c r="A2457" t="str">
        <f t="shared" si="38"/>
        <v>108Information Ratio</v>
      </c>
      <c r="B2457">
        <v>108</v>
      </c>
      <c r="C2457" t="s">
        <v>37</v>
      </c>
      <c r="D2457" s="6">
        <v>1.3779999999999999</v>
      </c>
    </row>
    <row r="2458" spans="1:4" x14ac:dyDescent="0.35">
      <c r="A2458" t="str">
        <f t="shared" si="38"/>
        <v>108Tracking Error</v>
      </c>
      <c r="B2458">
        <v>108</v>
      </c>
      <c r="C2458" t="s">
        <v>38</v>
      </c>
      <c r="D2458" s="6">
        <v>0.84499999999999997</v>
      </c>
    </row>
    <row r="2459" spans="1:4" x14ac:dyDescent="0.35">
      <c r="A2459" t="str">
        <f t="shared" si="38"/>
        <v>108Treynor Ratio</v>
      </c>
      <c r="B2459">
        <v>108</v>
      </c>
      <c r="C2459" t="s">
        <v>39</v>
      </c>
      <c r="D2459" s="6">
        <v>0.25900000000000001</v>
      </c>
    </row>
    <row r="2460" spans="1:4" x14ac:dyDescent="0.35">
      <c r="A2460" t="str">
        <f t="shared" si="38"/>
        <v>108Total Fees</v>
      </c>
      <c r="B2460">
        <v>108</v>
      </c>
      <c r="C2460" s="4" t="s">
        <v>40</v>
      </c>
      <c r="D2460" s="6">
        <v>0</v>
      </c>
    </row>
    <row r="2461" spans="1:4" x14ac:dyDescent="0.35">
      <c r="A2461" t="str">
        <f t="shared" si="38"/>
        <v>108Estimated Strategy Capacity</v>
      </c>
      <c r="B2461">
        <v>108</v>
      </c>
      <c r="C2461" s="4" t="s">
        <v>41</v>
      </c>
      <c r="D2461" s="6">
        <v>12000000</v>
      </c>
    </row>
    <row r="2462" spans="1:4" x14ac:dyDescent="0.35">
      <c r="A2462" t="str">
        <f t="shared" si="38"/>
        <v>107PSR</v>
      </c>
      <c r="B2462">
        <v>107</v>
      </c>
      <c r="C2462" s="9" t="s">
        <v>27</v>
      </c>
      <c r="D2462" s="8">
        <v>0.36147000000000001</v>
      </c>
    </row>
    <row r="2463" spans="1:4" x14ac:dyDescent="0.35">
      <c r="A2463" t="str">
        <f t="shared" si="38"/>
        <v>107Sharpe Ratio</v>
      </c>
      <c r="B2463">
        <v>107</v>
      </c>
      <c r="C2463" s="9" t="s">
        <v>1</v>
      </c>
      <c r="D2463" s="8">
        <v>0.67</v>
      </c>
    </row>
    <row r="2464" spans="1:4" x14ac:dyDescent="0.35">
      <c r="A2464" t="str">
        <f t="shared" si="38"/>
        <v>107Total Trades</v>
      </c>
      <c r="B2464">
        <v>107</v>
      </c>
      <c r="C2464" s="9" t="s">
        <v>28</v>
      </c>
      <c r="D2464" s="8">
        <v>283</v>
      </c>
    </row>
    <row r="2465" spans="1:4" x14ac:dyDescent="0.35">
      <c r="A2465" t="str">
        <f t="shared" si="38"/>
        <v>107Average Win</v>
      </c>
      <c r="B2465">
        <v>107</v>
      </c>
      <c r="C2465" s="9" t="s">
        <v>25</v>
      </c>
      <c r="D2465" s="8">
        <v>2.46E-2</v>
      </c>
    </row>
    <row r="2466" spans="1:4" x14ac:dyDescent="0.35">
      <c r="A2466" t="str">
        <f t="shared" si="38"/>
        <v>107Average Loss</v>
      </c>
      <c r="B2466">
        <v>107</v>
      </c>
      <c r="C2466" s="9" t="s">
        <v>29</v>
      </c>
      <c r="D2466" s="8">
        <v>-1.66E-2</v>
      </c>
    </row>
    <row r="2467" spans="1:4" x14ac:dyDescent="0.35">
      <c r="A2467" t="str">
        <f t="shared" si="38"/>
        <v>107Compounding Annual Return</v>
      </c>
      <c r="B2467">
        <v>107</v>
      </c>
      <c r="C2467" s="9" t="s">
        <v>30</v>
      </c>
      <c r="D2467" s="8">
        <v>0.15651999999999999</v>
      </c>
    </row>
    <row r="2468" spans="1:4" x14ac:dyDescent="0.35">
      <c r="A2468" t="str">
        <f t="shared" si="38"/>
        <v>107Drawdown</v>
      </c>
      <c r="B2468">
        <v>107</v>
      </c>
      <c r="C2468" s="9" t="s">
        <v>8</v>
      </c>
      <c r="D2468" s="8">
        <v>0.13100000000000001</v>
      </c>
    </row>
    <row r="2469" spans="1:4" x14ac:dyDescent="0.35">
      <c r="A2469" t="str">
        <f t="shared" si="38"/>
        <v>107Expectancy</v>
      </c>
      <c r="B2469">
        <v>107</v>
      </c>
      <c r="C2469" s="9" t="s">
        <v>31</v>
      </c>
      <c r="D2469" s="8">
        <v>0.65600000000000003</v>
      </c>
    </row>
    <row r="2470" spans="1:4" x14ac:dyDescent="0.35">
      <c r="A2470" t="str">
        <f t="shared" si="38"/>
        <v>107Net Profit</v>
      </c>
      <c r="B2470">
        <v>107</v>
      </c>
      <c r="C2470" s="9" t="s">
        <v>32</v>
      </c>
      <c r="D2470" s="8">
        <v>9.8559999999999995E-2</v>
      </c>
    </row>
    <row r="2471" spans="1:4" x14ac:dyDescent="0.35">
      <c r="A2471" t="str">
        <f t="shared" si="38"/>
        <v>107Loss Rate</v>
      </c>
      <c r="B2471">
        <v>107</v>
      </c>
      <c r="C2471" s="9" t="s">
        <v>33</v>
      </c>
      <c r="D2471" s="8">
        <v>0.33</v>
      </c>
    </row>
    <row r="2472" spans="1:4" x14ac:dyDescent="0.35">
      <c r="A2472" t="str">
        <f t="shared" si="38"/>
        <v>107Win Rate</v>
      </c>
      <c r="B2472">
        <v>107</v>
      </c>
      <c r="C2472" s="9" t="s">
        <v>34</v>
      </c>
      <c r="D2472" s="8">
        <v>0.67</v>
      </c>
    </row>
    <row r="2473" spans="1:4" x14ac:dyDescent="0.35">
      <c r="A2473" t="str">
        <f t="shared" si="38"/>
        <v>107Profit-Loss Ratio</v>
      </c>
      <c r="B2473">
        <v>107</v>
      </c>
      <c r="C2473" s="9" t="s">
        <v>26</v>
      </c>
      <c r="D2473" s="8">
        <v>1.48</v>
      </c>
    </row>
    <row r="2474" spans="1:4" x14ac:dyDescent="0.35">
      <c r="A2474" t="str">
        <f t="shared" si="38"/>
        <v>107Alpha</v>
      </c>
      <c r="B2474">
        <v>107</v>
      </c>
      <c r="C2474" s="9" t="s">
        <v>23</v>
      </c>
      <c r="D2474" s="8">
        <v>5.8000000000000003E-2</v>
      </c>
    </row>
    <row r="2475" spans="1:4" x14ac:dyDescent="0.35">
      <c r="A2475" t="str">
        <f t="shared" si="38"/>
        <v>107Beta</v>
      </c>
      <c r="B2475">
        <v>107</v>
      </c>
      <c r="C2475" s="9" t="s">
        <v>24</v>
      </c>
      <c r="D2475" s="8">
        <v>1.0669999999999999</v>
      </c>
    </row>
    <row r="2476" spans="1:4" x14ac:dyDescent="0.35">
      <c r="A2476" t="str">
        <f t="shared" si="38"/>
        <v>107Annual Standard Deviation</v>
      </c>
      <c r="B2476">
        <v>107</v>
      </c>
      <c r="C2476" s="9" t="s">
        <v>35</v>
      </c>
      <c r="D2476" s="8">
        <v>0.188</v>
      </c>
    </row>
    <row r="2477" spans="1:4" x14ac:dyDescent="0.35">
      <c r="A2477" t="str">
        <f t="shared" si="38"/>
        <v>107Annual Variance</v>
      </c>
      <c r="B2477">
        <v>107</v>
      </c>
      <c r="C2477" s="9" t="s">
        <v>36</v>
      </c>
      <c r="D2477" s="8">
        <v>3.5000000000000003E-2</v>
      </c>
    </row>
    <row r="2478" spans="1:4" x14ac:dyDescent="0.35">
      <c r="A2478" t="str">
        <f t="shared" si="38"/>
        <v>107Information Ratio</v>
      </c>
      <c r="B2478">
        <v>107</v>
      </c>
      <c r="C2478" s="9" t="s">
        <v>37</v>
      </c>
      <c r="D2478" s="8">
        <v>0.35699999999999998</v>
      </c>
    </row>
    <row r="2479" spans="1:4" x14ac:dyDescent="0.35">
      <c r="A2479" t="str">
        <f t="shared" si="38"/>
        <v>107Tracking Error</v>
      </c>
      <c r="B2479">
        <v>107</v>
      </c>
      <c r="C2479" s="9" t="s">
        <v>38</v>
      </c>
      <c r="D2479" s="8">
        <v>0.17399999999999999</v>
      </c>
    </row>
    <row r="2480" spans="1:4" x14ac:dyDescent="0.35">
      <c r="A2480" t="str">
        <f t="shared" si="38"/>
        <v>107Treynor Ratio</v>
      </c>
      <c r="B2480">
        <v>107</v>
      </c>
      <c r="C2480" s="9" t="s">
        <v>39</v>
      </c>
      <c r="D2480" s="8">
        <v>0.11799999999999999</v>
      </c>
    </row>
    <row r="2481" spans="1:4" x14ac:dyDescent="0.35">
      <c r="A2481" t="str">
        <f t="shared" si="38"/>
        <v>107Total Fees</v>
      </c>
      <c r="B2481">
        <v>107</v>
      </c>
      <c r="C2481" s="9" t="s">
        <v>40</v>
      </c>
      <c r="D2481" s="8">
        <v>0</v>
      </c>
    </row>
    <row r="2482" spans="1:4" x14ac:dyDescent="0.35">
      <c r="A2482" t="str">
        <f t="shared" si="38"/>
        <v>107Estimated Strategy Capacity</v>
      </c>
      <c r="B2482">
        <v>107</v>
      </c>
      <c r="C2482" s="9" t="s">
        <v>41</v>
      </c>
      <c r="D2482" s="8">
        <v>43000000</v>
      </c>
    </row>
    <row r="2483" spans="1:4" x14ac:dyDescent="0.35">
      <c r="A2483" t="str">
        <f t="shared" si="38"/>
        <v>106PSR</v>
      </c>
      <c r="B2483">
        <v>106</v>
      </c>
      <c r="C2483" s="9" t="s">
        <v>27</v>
      </c>
      <c r="D2483" s="8">
        <v>0.33343</v>
      </c>
    </row>
    <row r="2484" spans="1:4" x14ac:dyDescent="0.35">
      <c r="A2484" t="str">
        <f t="shared" si="38"/>
        <v>106Sharpe Ratio</v>
      </c>
      <c r="B2484">
        <v>106</v>
      </c>
      <c r="C2484" s="9" t="s">
        <v>1</v>
      </c>
      <c r="D2484" s="8">
        <v>0.55400000000000005</v>
      </c>
    </row>
    <row r="2485" spans="1:4" x14ac:dyDescent="0.35">
      <c r="A2485" t="str">
        <f t="shared" si="38"/>
        <v>106Total Trades</v>
      </c>
      <c r="B2485">
        <v>106</v>
      </c>
      <c r="C2485" s="9" t="s">
        <v>28</v>
      </c>
      <c r="D2485" s="8">
        <v>283</v>
      </c>
    </row>
    <row r="2486" spans="1:4" x14ac:dyDescent="0.35">
      <c r="A2486" t="str">
        <f t="shared" si="38"/>
        <v>106Average Win</v>
      </c>
      <c r="B2486">
        <v>106</v>
      </c>
      <c r="C2486" s="9" t="s">
        <v>25</v>
      </c>
      <c r="D2486" s="8">
        <v>2.5000000000000001E-3</v>
      </c>
    </row>
    <row r="2487" spans="1:4" x14ac:dyDescent="0.35">
      <c r="A2487" t="str">
        <f t="shared" si="38"/>
        <v>106Average Loss</v>
      </c>
      <c r="B2487">
        <v>106</v>
      </c>
      <c r="C2487" s="9" t="s">
        <v>29</v>
      </c>
      <c r="D2487" s="8">
        <v>-1.6999999999999999E-3</v>
      </c>
    </row>
    <row r="2488" spans="1:4" x14ac:dyDescent="0.35">
      <c r="A2488" t="str">
        <f t="shared" si="38"/>
        <v>106Compounding Annual Return</v>
      </c>
      <c r="B2488">
        <v>106</v>
      </c>
      <c r="C2488" s="9" t="s">
        <v>30</v>
      </c>
      <c r="D2488" s="8">
        <v>1.529E-2</v>
      </c>
    </row>
    <row r="2489" spans="1:4" x14ac:dyDescent="0.35">
      <c r="A2489" t="str">
        <f t="shared" si="38"/>
        <v>106Drawdown</v>
      </c>
      <c r="B2489">
        <v>106</v>
      </c>
      <c r="C2489" s="9" t="s">
        <v>8</v>
      </c>
      <c r="D2489" s="8">
        <v>1.4E-2</v>
      </c>
    </row>
    <row r="2490" spans="1:4" x14ac:dyDescent="0.35">
      <c r="A2490" t="str">
        <f t="shared" si="38"/>
        <v>106Expectancy</v>
      </c>
      <c r="B2490">
        <v>106</v>
      </c>
      <c r="C2490" s="9" t="s">
        <v>31</v>
      </c>
      <c r="D2490" s="8">
        <v>0.64700000000000002</v>
      </c>
    </row>
    <row r="2491" spans="1:4" x14ac:dyDescent="0.35">
      <c r="A2491" t="str">
        <f t="shared" si="38"/>
        <v>106Net Profit</v>
      </c>
      <c r="B2491">
        <v>106</v>
      </c>
      <c r="C2491" s="9" t="s">
        <v>32</v>
      </c>
      <c r="D2491" s="8">
        <v>9.8600000000000007E-3</v>
      </c>
    </row>
    <row r="2492" spans="1:4" x14ac:dyDescent="0.35">
      <c r="A2492" t="str">
        <f t="shared" si="38"/>
        <v>106Loss Rate</v>
      </c>
      <c r="B2492">
        <v>106</v>
      </c>
      <c r="C2492" s="9" t="s">
        <v>33</v>
      </c>
      <c r="D2492" s="8">
        <v>0.33</v>
      </c>
    </row>
    <row r="2493" spans="1:4" x14ac:dyDescent="0.35">
      <c r="A2493" t="str">
        <f t="shared" si="38"/>
        <v>106Win Rate</v>
      </c>
      <c r="B2493">
        <v>106</v>
      </c>
      <c r="C2493" s="9" t="s">
        <v>34</v>
      </c>
      <c r="D2493" s="8">
        <v>0.67</v>
      </c>
    </row>
    <row r="2494" spans="1:4" x14ac:dyDescent="0.35">
      <c r="A2494" t="str">
        <f t="shared" si="38"/>
        <v>106Profit-Loss Ratio</v>
      </c>
      <c r="B2494">
        <v>106</v>
      </c>
      <c r="C2494" s="9" t="s">
        <v>26</v>
      </c>
      <c r="D2494" s="8">
        <v>1.47</v>
      </c>
    </row>
    <row r="2495" spans="1:4" x14ac:dyDescent="0.35">
      <c r="A2495" t="str">
        <f t="shared" si="38"/>
        <v>106Alpha</v>
      </c>
      <c r="B2495">
        <v>106</v>
      </c>
      <c r="C2495" s="9" t="s">
        <v>23</v>
      </c>
      <c r="D2495" s="8">
        <v>4.0000000000000001E-3</v>
      </c>
    </row>
    <row r="2496" spans="1:4" x14ac:dyDescent="0.35">
      <c r="A2496" t="str">
        <f t="shared" si="38"/>
        <v>106Beta</v>
      </c>
      <c r="B2496">
        <v>106</v>
      </c>
      <c r="C2496" s="9" t="s">
        <v>24</v>
      </c>
      <c r="D2496" s="8">
        <v>0.111</v>
      </c>
    </row>
    <row r="2497" spans="1:4" x14ac:dyDescent="0.35">
      <c r="A2497" t="str">
        <f t="shared" si="38"/>
        <v>106Annual Standard Deviation</v>
      </c>
      <c r="B2497">
        <v>106</v>
      </c>
      <c r="C2497" s="9" t="s">
        <v>35</v>
      </c>
      <c r="D2497" s="8">
        <v>1.9E-2</v>
      </c>
    </row>
    <row r="2498" spans="1:4" x14ac:dyDescent="0.35">
      <c r="A2498" t="str">
        <f t="shared" si="38"/>
        <v>106Annual Variance</v>
      </c>
      <c r="B2498">
        <v>106</v>
      </c>
      <c r="C2498" s="9" t="s">
        <v>36</v>
      </c>
      <c r="D2498" s="8">
        <v>0</v>
      </c>
    </row>
    <row r="2499" spans="1:4" x14ac:dyDescent="0.35">
      <c r="A2499" t="str">
        <f t="shared" ref="A2499:A2562" si="39">B2499&amp;C2499</f>
        <v>106Information Ratio</v>
      </c>
      <c r="B2499">
        <v>106</v>
      </c>
      <c r="C2499" s="9" t="s">
        <v>37</v>
      </c>
      <c r="D2499" s="8">
        <v>-0.85399999999999998</v>
      </c>
    </row>
    <row r="2500" spans="1:4" x14ac:dyDescent="0.35">
      <c r="A2500" t="str">
        <f t="shared" si="39"/>
        <v>106Tracking Error</v>
      </c>
      <c r="B2500">
        <v>106</v>
      </c>
      <c r="C2500" s="9" t="s">
        <v>38</v>
      </c>
      <c r="D2500" s="8">
        <v>6.2E-2</v>
      </c>
    </row>
    <row r="2501" spans="1:4" x14ac:dyDescent="0.35">
      <c r="A2501" t="str">
        <f t="shared" si="39"/>
        <v>106Treynor Ratio</v>
      </c>
      <c r="B2501">
        <v>106</v>
      </c>
      <c r="C2501" s="9" t="s">
        <v>39</v>
      </c>
      <c r="D2501" s="8">
        <v>9.7000000000000003E-2</v>
      </c>
    </row>
    <row r="2502" spans="1:4" x14ac:dyDescent="0.35">
      <c r="A2502" t="str">
        <f t="shared" si="39"/>
        <v>106Total Fees</v>
      </c>
      <c r="B2502">
        <v>106</v>
      </c>
      <c r="C2502" s="9" t="s">
        <v>40</v>
      </c>
      <c r="D2502" s="8">
        <v>0</v>
      </c>
    </row>
    <row r="2503" spans="1:4" x14ac:dyDescent="0.35">
      <c r="A2503" t="str">
        <f t="shared" si="39"/>
        <v>106Estimated Strategy Capacity</v>
      </c>
      <c r="B2503">
        <v>106</v>
      </c>
      <c r="C2503" s="9" t="s">
        <v>41</v>
      </c>
      <c r="D2503" s="8">
        <v>360000000</v>
      </c>
    </row>
    <row r="2504" spans="1:4" x14ac:dyDescent="0.35">
      <c r="A2504" t="str">
        <f t="shared" si="39"/>
        <v>105PSR</v>
      </c>
      <c r="B2504">
        <v>105</v>
      </c>
      <c r="C2504" t="s">
        <v>27</v>
      </c>
      <c r="D2504" s="6">
        <v>0.47092000000000001</v>
      </c>
    </row>
    <row r="2505" spans="1:4" x14ac:dyDescent="0.35">
      <c r="A2505" t="str">
        <f t="shared" si="39"/>
        <v>105Sharpe Ratio</v>
      </c>
      <c r="B2505">
        <v>105</v>
      </c>
      <c r="C2505" t="s">
        <v>1</v>
      </c>
      <c r="D2505" s="6">
        <v>1.4159999999999999</v>
      </c>
    </row>
    <row r="2506" spans="1:4" x14ac:dyDescent="0.35">
      <c r="A2506" t="str">
        <f t="shared" si="39"/>
        <v>105Total Trades</v>
      </c>
      <c r="B2506">
        <v>105</v>
      </c>
      <c r="C2506" t="s">
        <v>28</v>
      </c>
      <c r="D2506" s="6">
        <v>283</v>
      </c>
    </row>
    <row r="2507" spans="1:4" x14ac:dyDescent="0.35">
      <c r="A2507" t="str">
        <f t="shared" si="39"/>
        <v>105Average Win</v>
      </c>
      <c r="B2507">
        <v>105</v>
      </c>
      <c r="C2507" t="s">
        <v>25</v>
      </c>
      <c r="D2507" s="6">
        <v>0.1166</v>
      </c>
    </row>
    <row r="2508" spans="1:4" x14ac:dyDescent="0.35">
      <c r="A2508" t="str">
        <f t="shared" si="39"/>
        <v>105Average Loss</v>
      </c>
      <c r="B2508">
        <v>105</v>
      </c>
      <c r="C2508" t="s">
        <v>29</v>
      </c>
      <c r="D2508" s="6">
        <v>-7.51E-2</v>
      </c>
    </row>
    <row r="2509" spans="1:4" x14ac:dyDescent="0.35">
      <c r="A2509" t="str">
        <f t="shared" si="39"/>
        <v>105Compounding Annual Return</v>
      </c>
      <c r="B2509">
        <v>105</v>
      </c>
      <c r="C2509" t="s">
        <v>30</v>
      </c>
      <c r="D2509" s="6">
        <v>0.86343000000000003</v>
      </c>
    </row>
    <row r="2510" spans="1:4" x14ac:dyDescent="0.35">
      <c r="A2510" t="str">
        <f t="shared" si="39"/>
        <v>105Drawdown</v>
      </c>
      <c r="B2510">
        <v>105</v>
      </c>
      <c r="C2510" t="s">
        <v>8</v>
      </c>
      <c r="D2510" s="6">
        <v>0.49099999999999999</v>
      </c>
    </row>
    <row r="2511" spans="1:4" x14ac:dyDescent="0.35">
      <c r="A2511" t="str">
        <f t="shared" si="39"/>
        <v>105Expectancy</v>
      </c>
      <c r="B2511">
        <v>105</v>
      </c>
      <c r="C2511" t="s">
        <v>31</v>
      </c>
      <c r="D2511" s="6">
        <v>0.70099999999999996</v>
      </c>
    </row>
    <row r="2512" spans="1:4" x14ac:dyDescent="0.35">
      <c r="A2512" t="str">
        <f t="shared" si="39"/>
        <v>105Net Profit</v>
      </c>
      <c r="B2512">
        <v>105</v>
      </c>
      <c r="C2512" t="s">
        <v>32</v>
      </c>
      <c r="D2512" s="6">
        <v>0.49281000000000003</v>
      </c>
    </row>
    <row r="2513" spans="1:4" x14ac:dyDescent="0.35">
      <c r="A2513" t="str">
        <f t="shared" si="39"/>
        <v>105Loss Rate</v>
      </c>
      <c r="B2513">
        <v>105</v>
      </c>
      <c r="C2513" t="s">
        <v>33</v>
      </c>
      <c r="D2513" s="6">
        <v>0.33</v>
      </c>
    </row>
    <row r="2514" spans="1:4" x14ac:dyDescent="0.35">
      <c r="A2514" t="str">
        <f t="shared" si="39"/>
        <v>105Win Rate</v>
      </c>
      <c r="B2514">
        <v>105</v>
      </c>
      <c r="C2514" t="s">
        <v>34</v>
      </c>
      <c r="D2514" s="6">
        <v>0.67</v>
      </c>
    </row>
    <row r="2515" spans="1:4" x14ac:dyDescent="0.35">
      <c r="A2515" t="str">
        <f t="shared" si="39"/>
        <v>105Profit-Loss Ratio</v>
      </c>
      <c r="B2515">
        <v>105</v>
      </c>
      <c r="C2515" t="s">
        <v>26</v>
      </c>
      <c r="D2515" s="6">
        <v>1.55</v>
      </c>
    </row>
    <row r="2516" spans="1:4" x14ac:dyDescent="0.35">
      <c r="A2516" t="str">
        <f t="shared" si="39"/>
        <v>105Alpha</v>
      </c>
      <c r="B2516">
        <v>105</v>
      </c>
      <c r="C2516" t="s">
        <v>23</v>
      </c>
      <c r="D2516" s="6">
        <v>0.92400000000000004</v>
      </c>
    </row>
    <row r="2517" spans="1:4" x14ac:dyDescent="0.35">
      <c r="A2517" t="str">
        <f t="shared" si="39"/>
        <v>105Beta</v>
      </c>
      <c r="B2517">
        <v>105</v>
      </c>
      <c r="C2517" t="s">
        <v>24</v>
      </c>
      <c r="D2517" s="6">
        <v>4.7430000000000003</v>
      </c>
    </row>
    <row r="2518" spans="1:4" x14ac:dyDescent="0.35">
      <c r="A2518" t="str">
        <f t="shared" si="39"/>
        <v>105Annual Standard Deviation</v>
      </c>
      <c r="B2518">
        <v>105</v>
      </c>
      <c r="C2518" t="s">
        <v>35</v>
      </c>
      <c r="D2518" s="6">
        <v>0.86699999999999999</v>
      </c>
    </row>
    <row r="2519" spans="1:4" x14ac:dyDescent="0.35">
      <c r="A2519" t="str">
        <f t="shared" si="39"/>
        <v>105Annual Variance</v>
      </c>
      <c r="B2519">
        <v>105</v>
      </c>
      <c r="C2519" t="s">
        <v>36</v>
      </c>
      <c r="D2519" s="6">
        <v>0.751</v>
      </c>
    </row>
    <row r="2520" spans="1:4" x14ac:dyDescent="0.35">
      <c r="A2520" t="str">
        <f t="shared" si="39"/>
        <v>105Information Ratio</v>
      </c>
      <c r="B2520">
        <v>105</v>
      </c>
      <c r="C2520" t="s">
        <v>37</v>
      </c>
      <c r="D2520" s="6">
        <v>1.3779999999999999</v>
      </c>
    </row>
    <row r="2521" spans="1:4" x14ac:dyDescent="0.35">
      <c r="A2521" t="str">
        <f t="shared" si="39"/>
        <v>105Tracking Error</v>
      </c>
      <c r="B2521">
        <v>105</v>
      </c>
      <c r="C2521" t="s">
        <v>38</v>
      </c>
      <c r="D2521" s="6">
        <v>0.84499999999999997</v>
      </c>
    </row>
    <row r="2522" spans="1:4" x14ac:dyDescent="0.35">
      <c r="A2522" t="str">
        <f t="shared" si="39"/>
        <v>105Treynor Ratio</v>
      </c>
      <c r="B2522">
        <v>105</v>
      </c>
      <c r="C2522" t="s">
        <v>39</v>
      </c>
      <c r="D2522" s="6">
        <v>0.25900000000000001</v>
      </c>
    </row>
    <row r="2523" spans="1:4" x14ac:dyDescent="0.35">
      <c r="A2523" t="str">
        <f t="shared" si="39"/>
        <v>105Total Fees</v>
      </c>
      <c r="B2523">
        <v>105</v>
      </c>
      <c r="C2523" t="s">
        <v>40</v>
      </c>
      <c r="D2523" s="6">
        <v>0</v>
      </c>
    </row>
    <row r="2524" spans="1:4" x14ac:dyDescent="0.35">
      <c r="A2524" t="str">
        <f t="shared" si="39"/>
        <v>105Estimated Strategy Capacity</v>
      </c>
      <c r="B2524">
        <v>105</v>
      </c>
      <c r="C2524" t="s">
        <v>41</v>
      </c>
      <c r="D2524" s="6">
        <v>12000000</v>
      </c>
    </row>
    <row r="2525" spans="1:4" x14ac:dyDescent="0.35">
      <c r="A2525" t="str">
        <f t="shared" si="39"/>
        <v>104PSR</v>
      </c>
      <c r="B2525">
        <v>104</v>
      </c>
      <c r="C2525" s="9" t="s">
        <v>27</v>
      </c>
      <c r="D2525" s="8">
        <v>0.50126000000000004</v>
      </c>
    </row>
    <row r="2526" spans="1:4" x14ac:dyDescent="0.35">
      <c r="A2526" t="str">
        <f t="shared" si="39"/>
        <v>104Sharpe Ratio</v>
      </c>
      <c r="B2526">
        <v>104</v>
      </c>
      <c r="C2526" s="9" t="s">
        <v>1</v>
      </c>
      <c r="D2526" s="8">
        <v>1.0880000000000001</v>
      </c>
    </row>
    <row r="2527" spans="1:4" x14ac:dyDescent="0.35">
      <c r="A2527" t="str">
        <f t="shared" si="39"/>
        <v>104Total Trades</v>
      </c>
      <c r="B2527">
        <v>104</v>
      </c>
      <c r="C2527" s="9" t="s">
        <v>28</v>
      </c>
      <c r="D2527" s="8">
        <v>413</v>
      </c>
    </row>
    <row r="2528" spans="1:4" x14ac:dyDescent="0.35">
      <c r="A2528" t="str">
        <f t="shared" si="39"/>
        <v>104Average Win</v>
      </c>
      <c r="B2528">
        <v>104</v>
      </c>
      <c r="C2528" s="9" t="s">
        <v>25</v>
      </c>
      <c r="D2528" s="8">
        <v>4.5999999999999999E-2</v>
      </c>
    </row>
    <row r="2529" spans="1:4" x14ac:dyDescent="0.35">
      <c r="A2529" t="str">
        <f t="shared" si="39"/>
        <v>104Average Loss</v>
      </c>
      <c r="B2529">
        <v>104</v>
      </c>
      <c r="C2529" s="9" t="s">
        <v>29</v>
      </c>
      <c r="D2529" s="8">
        <v>-2.69E-2</v>
      </c>
    </row>
    <row r="2530" spans="1:4" x14ac:dyDescent="0.35">
      <c r="A2530" t="str">
        <f t="shared" si="39"/>
        <v>104Compounding Annual Return</v>
      </c>
      <c r="B2530">
        <v>104</v>
      </c>
      <c r="C2530" s="9" t="s">
        <v>30</v>
      </c>
      <c r="D2530" s="8">
        <v>0.23613000000000001</v>
      </c>
    </row>
    <row r="2531" spans="1:4" x14ac:dyDescent="0.35">
      <c r="A2531" t="str">
        <f t="shared" si="39"/>
        <v>104Drawdown</v>
      </c>
      <c r="B2531">
        <v>104</v>
      </c>
      <c r="C2531" s="9" t="s">
        <v>8</v>
      </c>
      <c r="D2531" s="8">
        <v>0.12</v>
      </c>
    </row>
    <row r="2532" spans="1:4" x14ac:dyDescent="0.35">
      <c r="A2532" t="str">
        <f t="shared" si="39"/>
        <v>104Expectancy</v>
      </c>
      <c r="B2532">
        <v>104</v>
      </c>
      <c r="C2532" s="9" t="s">
        <v>31</v>
      </c>
      <c r="D2532" s="8">
        <v>0.46</v>
      </c>
    </row>
    <row r="2533" spans="1:4" x14ac:dyDescent="0.35">
      <c r="A2533" t="str">
        <f t="shared" si="39"/>
        <v>104Net Profit</v>
      </c>
      <c r="B2533">
        <v>104</v>
      </c>
      <c r="C2533" s="9" t="s">
        <v>32</v>
      </c>
      <c r="D2533" s="8">
        <v>0.14687</v>
      </c>
    </row>
    <row r="2534" spans="1:4" x14ac:dyDescent="0.35">
      <c r="A2534" t="str">
        <f t="shared" si="39"/>
        <v>104Loss Rate</v>
      </c>
      <c r="B2534">
        <v>104</v>
      </c>
      <c r="C2534" s="9" t="s">
        <v>33</v>
      </c>
      <c r="D2534" s="8">
        <v>0.46</v>
      </c>
    </row>
    <row r="2535" spans="1:4" x14ac:dyDescent="0.35">
      <c r="A2535" t="str">
        <f t="shared" si="39"/>
        <v>104Win Rate</v>
      </c>
      <c r="B2535">
        <v>104</v>
      </c>
      <c r="C2535" s="9" t="s">
        <v>34</v>
      </c>
      <c r="D2535" s="8">
        <v>0.54</v>
      </c>
    </row>
    <row r="2536" spans="1:4" x14ac:dyDescent="0.35">
      <c r="A2536" t="str">
        <f t="shared" si="39"/>
        <v>104Profit-Loss Ratio</v>
      </c>
      <c r="B2536">
        <v>104</v>
      </c>
      <c r="C2536" s="9" t="s">
        <v>26</v>
      </c>
      <c r="D2536" s="8">
        <v>1.71</v>
      </c>
    </row>
    <row r="2537" spans="1:4" x14ac:dyDescent="0.35">
      <c r="A2537" t="str">
        <f t="shared" si="39"/>
        <v>104Alpha</v>
      </c>
      <c r="B2537">
        <v>104</v>
      </c>
      <c r="C2537" s="9" t="s">
        <v>23</v>
      </c>
      <c r="D2537" s="8">
        <v>0.122</v>
      </c>
    </row>
    <row r="2538" spans="1:4" x14ac:dyDescent="0.35">
      <c r="A2538" t="str">
        <f t="shared" si="39"/>
        <v>104Beta</v>
      </c>
      <c r="B2538">
        <v>104</v>
      </c>
      <c r="C2538" s="9" t="s">
        <v>24</v>
      </c>
      <c r="D2538" s="8">
        <v>0.80100000000000005</v>
      </c>
    </row>
    <row r="2539" spans="1:4" x14ac:dyDescent="0.35">
      <c r="A2539" t="str">
        <f t="shared" si="39"/>
        <v>104Annual Standard Deviation</v>
      </c>
      <c r="B2539">
        <v>104</v>
      </c>
      <c r="C2539" s="9" t="s">
        <v>35</v>
      </c>
      <c r="D2539" s="8">
        <v>0.159</v>
      </c>
    </row>
    <row r="2540" spans="1:4" x14ac:dyDescent="0.35">
      <c r="A2540" t="str">
        <f t="shared" si="39"/>
        <v>104Annual Variance</v>
      </c>
      <c r="B2540">
        <v>104</v>
      </c>
      <c r="C2540" s="9" t="s">
        <v>36</v>
      </c>
      <c r="D2540" s="8">
        <v>2.5000000000000001E-2</v>
      </c>
    </row>
    <row r="2541" spans="1:4" x14ac:dyDescent="0.35">
      <c r="A2541" t="str">
        <f t="shared" si="39"/>
        <v>104Information Ratio</v>
      </c>
      <c r="B2541">
        <v>104</v>
      </c>
      <c r="C2541" s="9" t="s">
        <v>37</v>
      </c>
      <c r="D2541" s="8">
        <v>0.72699999999999998</v>
      </c>
    </row>
    <row r="2542" spans="1:4" x14ac:dyDescent="0.35">
      <c r="A2542" t="str">
        <f t="shared" si="39"/>
        <v>104Tracking Error</v>
      </c>
      <c r="B2542">
        <v>104</v>
      </c>
      <c r="C2542" s="9" t="s">
        <v>38</v>
      </c>
      <c r="D2542" s="8">
        <v>0.151</v>
      </c>
    </row>
    <row r="2543" spans="1:4" x14ac:dyDescent="0.35">
      <c r="A2543" t="str">
        <f t="shared" si="39"/>
        <v>104Treynor Ratio</v>
      </c>
      <c r="B2543">
        <v>104</v>
      </c>
      <c r="C2543" s="9" t="s">
        <v>39</v>
      </c>
      <c r="D2543" s="8">
        <v>0.216</v>
      </c>
    </row>
    <row r="2544" spans="1:4" x14ac:dyDescent="0.35">
      <c r="A2544" t="str">
        <f t="shared" si="39"/>
        <v>104Total Fees</v>
      </c>
      <c r="B2544">
        <v>104</v>
      </c>
      <c r="C2544" s="9" t="s">
        <v>40</v>
      </c>
      <c r="D2544" s="8">
        <v>0</v>
      </c>
    </row>
    <row r="2545" spans="1:4" x14ac:dyDescent="0.35">
      <c r="A2545" t="str">
        <f t="shared" si="39"/>
        <v>104Estimated Strategy Capacity</v>
      </c>
      <c r="B2545">
        <v>104</v>
      </c>
      <c r="C2545" s="9" t="s">
        <v>41</v>
      </c>
      <c r="D2545" s="8">
        <v>6300000</v>
      </c>
    </row>
    <row r="2546" spans="1:4" x14ac:dyDescent="0.35">
      <c r="A2546" t="str">
        <f t="shared" si="39"/>
        <v>103PSR</v>
      </c>
      <c r="B2546">
        <v>103</v>
      </c>
      <c r="C2546" s="9" t="s">
        <v>27</v>
      </c>
      <c r="D2546" s="8">
        <v>0.47492000000000001</v>
      </c>
    </row>
    <row r="2547" spans="1:4" x14ac:dyDescent="0.35">
      <c r="A2547" t="str">
        <f t="shared" si="39"/>
        <v>103Sharpe Ratio</v>
      </c>
      <c r="B2547">
        <v>103</v>
      </c>
      <c r="C2547" s="9" t="s">
        <v>1</v>
      </c>
      <c r="D2547" s="8">
        <v>0.93899999999999995</v>
      </c>
    </row>
    <row r="2548" spans="1:4" x14ac:dyDescent="0.35">
      <c r="A2548" t="str">
        <f t="shared" si="39"/>
        <v>103Total Trades</v>
      </c>
      <c r="B2548">
        <v>103</v>
      </c>
      <c r="C2548" s="9" t="s">
        <v>28</v>
      </c>
      <c r="D2548" s="8">
        <v>413</v>
      </c>
    </row>
    <row r="2549" spans="1:4" x14ac:dyDescent="0.35">
      <c r="A2549" t="str">
        <f t="shared" si="39"/>
        <v>103Average Win</v>
      </c>
      <c r="B2549">
        <v>103</v>
      </c>
      <c r="C2549" s="9" t="s">
        <v>25</v>
      </c>
      <c r="D2549" s="8">
        <v>4.7000000000000002E-3</v>
      </c>
    </row>
    <row r="2550" spans="1:4" x14ac:dyDescent="0.35">
      <c r="A2550" t="str">
        <f t="shared" si="39"/>
        <v>103Average Loss</v>
      </c>
      <c r="B2550">
        <v>103</v>
      </c>
      <c r="C2550" s="9" t="s">
        <v>29</v>
      </c>
      <c r="D2550" s="8">
        <v>-2.8999999999999998E-3</v>
      </c>
    </row>
    <row r="2551" spans="1:4" x14ac:dyDescent="0.35">
      <c r="A2551" t="str">
        <f t="shared" si="39"/>
        <v>103Compounding Annual Return</v>
      </c>
      <c r="B2551">
        <v>103</v>
      </c>
      <c r="C2551" s="9" t="s">
        <v>30</v>
      </c>
      <c r="D2551" s="8">
        <v>2.281E-2</v>
      </c>
    </row>
    <row r="2552" spans="1:4" x14ac:dyDescent="0.35">
      <c r="A2552" t="str">
        <f t="shared" si="39"/>
        <v>103Drawdown</v>
      </c>
      <c r="B2552">
        <v>103</v>
      </c>
      <c r="C2552" s="9" t="s">
        <v>8</v>
      </c>
      <c r="D2552" s="8">
        <v>1.2999999999999999E-2</v>
      </c>
    </row>
    <row r="2553" spans="1:4" x14ac:dyDescent="0.35">
      <c r="A2553" t="str">
        <f t="shared" si="39"/>
        <v>103Expectancy</v>
      </c>
      <c r="B2553">
        <v>103</v>
      </c>
      <c r="C2553" s="9" t="s">
        <v>31</v>
      </c>
      <c r="D2553" s="8">
        <v>0.41899999999999998</v>
      </c>
    </row>
    <row r="2554" spans="1:4" x14ac:dyDescent="0.35">
      <c r="A2554" t="str">
        <f t="shared" si="39"/>
        <v>103Net Profit</v>
      </c>
      <c r="B2554">
        <v>103</v>
      </c>
      <c r="C2554" s="9" t="s">
        <v>32</v>
      </c>
      <c r="D2554" s="8">
        <v>1.469E-2</v>
      </c>
    </row>
    <row r="2555" spans="1:4" x14ac:dyDescent="0.35">
      <c r="A2555" t="str">
        <f t="shared" si="39"/>
        <v>103Loss Rate</v>
      </c>
      <c r="B2555">
        <v>103</v>
      </c>
      <c r="C2555" s="9" t="s">
        <v>33</v>
      </c>
      <c r="D2555" s="8">
        <v>0.46</v>
      </c>
    </row>
    <row r="2556" spans="1:4" x14ac:dyDescent="0.35">
      <c r="A2556" t="str">
        <f t="shared" si="39"/>
        <v>103Win Rate</v>
      </c>
      <c r="B2556">
        <v>103</v>
      </c>
      <c r="C2556" s="9" t="s">
        <v>34</v>
      </c>
      <c r="D2556" s="8">
        <v>0.54</v>
      </c>
    </row>
    <row r="2557" spans="1:4" x14ac:dyDescent="0.35">
      <c r="A2557" t="str">
        <f t="shared" si="39"/>
        <v>103Profit-Loss Ratio</v>
      </c>
      <c r="B2557">
        <v>103</v>
      </c>
      <c r="C2557" s="9" t="s">
        <v>26</v>
      </c>
      <c r="D2557" s="8">
        <v>1.63</v>
      </c>
    </row>
    <row r="2558" spans="1:4" x14ac:dyDescent="0.35">
      <c r="A2558" t="str">
        <f t="shared" si="39"/>
        <v>103Alpha</v>
      </c>
      <c r="B2558">
        <v>103</v>
      </c>
      <c r="C2558" s="9" t="s">
        <v>23</v>
      </c>
      <c r="D2558" s="8">
        <v>0.01</v>
      </c>
    </row>
    <row r="2559" spans="1:4" x14ac:dyDescent="0.35">
      <c r="A2559" t="str">
        <f t="shared" si="39"/>
        <v>103Beta</v>
      </c>
      <c r="B2559">
        <v>103</v>
      </c>
      <c r="C2559" s="9" t="s">
        <v>24</v>
      </c>
      <c r="D2559" s="8">
        <v>8.6999999999999994E-2</v>
      </c>
    </row>
    <row r="2560" spans="1:4" x14ac:dyDescent="0.35">
      <c r="A2560" t="str">
        <f t="shared" si="39"/>
        <v>103Annual Standard Deviation</v>
      </c>
      <c r="B2560">
        <v>103</v>
      </c>
      <c r="C2560" s="9" t="s">
        <v>35</v>
      </c>
      <c r="D2560" s="8">
        <v>1.7000000000000001E-2</v>
      </c>
    </row>
    <row r="2561" spans="1:4" x14ac:dyDescent="0.35">
      <c r="A2561" t="str">
        <f t="shared" si="39"/>
        <v>103Annual Variance</v>
      </c>
      <c r="B2561">
        <v>103</v>
      </c>
      <c r="C2561" s="9" t="s">
        <v>36</v>
      </c>
      <c r="D2561" s="8">
        <v>0</v>
      </c>
    </row>
    <row r="2562" spans="1:4" x14ac:dyDescent="0.35">
      <c r="A2562" t="str">
        <f t="shared" si="39"/>
        <v>103Information Ratio</v>
      </c>
      <c r="B2562">
        <v>103</v>
      </c>
      <c r="C2562" s="9" t="s">
        <v>37</v>
      </c>
      <c r="D2562" s="8">
        <v>-0.75800000000000001</v>
      </c>
    </row>
    <row r="2563" spans="1:4" x14ac:dyDescent="0.35">
      <c r="A2563" t="str">
        <f t="shared" ref="A2563:A2626" si="40">B2563&amp;C2563</f>
        <v>103Tracking Error</v>
      </c>
      <c r="B2563">
        <v>103</v>
      </c>
      <c r="C2563" s="9" t="s">
        <v>38</v>
      </c>
      <c r="D2563" s="8">
        <v>6.3E-2</v>
      </c>
    </row>
    <row r="2564" spans="1:4" x14ac:dyDescent="0.35">
      <c r="A2564" t="str">
        <f t="shared" si="40"/>
        <v>103Treynor Ratio</v>
      </c>
      <c r="B2564">
        <v>103</v>
      </c>
      <c r="C2564" s="9" t="s">
        <v>39</v>
      </c>
      <c r="D2564" s="8">
        <v>0.184</v>
      </c>
    </row>
    <row r="2565" spans="1:4" x14ac:dyDescent="0.35">
      <c r="A2565" t="str">
        <f t="shared" si="40"/>
        <v>103Total Fees</v>
      </c>
      <c r="B2565">
        <v>103</v>
      </c>
      <c r="C2565" s="9" t="s">
        <v>40</v>
      </c>
      <c r="D2565" s="8">
        <v>0</v>
      </c>
    </row>
    <row r="2566" spans="1:4" x14ac:dyDescent="0.35">
      <c r="A2566" t="str">
        <f t="shared" si="40"/>
        <v>103Estimated Strategy Capacity</v>
      </c>
      <c r="B2566">
        <v>103</v>
      </c>
      <c r="C2566" s="9" t="s">
        <v>41</v>
      </c>
      <c r="D2566" s="8">
        <v>31000000</v>
      </c>
    </row>
    <row r="2567" spans="1:4" x14ac:dyDescent="0.35">
      <c r="A2567" t="str">
        <f t="shared" si="40"/>
        <v>102PSR</v>
      </c>
      <c r="B2567">
        <v>102</v>
      </c>
      <c r="C2567" s="9" t="s">
        <v>27</v>
      </c>
      <c r="D2567" s="8">
        <v>0.48737999999999998</v>
      </c>
    </row>
    <row r="2568" spans="1:4" x14ac:dyDescent="0.35">
      <c r="A2568" t="str">
        <f t="shared" si="40"/>
        <v>102Sharpe Ratio</v>
      </c>
      <c r="B2568">
        <v>102</v>
      </c>
      <c r="C2568" s="9" t="s">
        <v>1</v>
      </c>
      <c r="D2568" s="8">
        <v>1.23</v>
      </c>
    </row>
    <row r="2569" spans="1:4" x14ac:dyDescent="0.35">
      <c r="A2569" t="str">
        <f t="shared" si="40"/>
        <v>102Total Trades</v>
      </c>
      <c r="B2569">
        <v>102</v>
      </c>
      <c r="C2569" s="9" t="s">
        <v>28</v>
      </c>
      <c r="D2569" s="8">
        <v>687</v>
      </c>
    </row>
    <row r="2570" spans="1:4" x14ac:dyDescent="0.35">
      <c r="A2570" t="str">
        <f t="shared" si="40"/>
        <v>102Average Win</v>
      </c>
      <c r="B2570">
        <v>102</v>
      </c>
      <c r="C2570" s="9" t="s">
        <v>25</v>
      </c>
      <c r="D2570" s="8">
        <v>0.1163</v>
      </c>
    </row>
    <row r="2571" spans="1:4" x14ac:dyDescent="0.35">
      <c r="A2571" t="str">
        <f t="shared" si="40"/>
        <v>102Average Loss</v>
      </c>
      <c r="B2571">
        <v>102</v>
      </c>
      <c r="C2571" s="9" t="s">
        <v>29</v>
      </c>
      <c r="D2571" s="8">
        <v>-6.5799999999999997E-2</v>
      </c>
    </row>
    <row r="2572" spans="1:4" x14ac:dyDescent="0.35">
      <c r="A2572" t="str">
        <f t="shared" si="40"/>
        <v>102Compounding Annual Return</v>
      </c>
      <c r="B2572">
        <v>102</v>
      </c>
      <c r="C2572" s="9" t="s">
        <v>30</v>
      </c>
      <c r="D2572" s="8">
        <v>0.66122999999999998</v>
      </c>
    </row>
    <row r="2573" spans="1:4" x14ac:dyDescent="0.35">
      <c r="A2573" t="str">
        <f t="shared" si="40"/>
        <v>102Drawdown</v>
      </c>
      <c r="B2573">
        <v>102</v>
      </c>
      <c r="C2573" s="9" t="s">
        <v>8</v>
      </c>
      <c r="D2573" s="8">
        <v>0.27700000000000002</v>
      </c>
    </row>
    <row r="2574" spans="1:4" x14ac:dyDescent="0.35">
      <c r="A2574" t="str">
        <f t="shared" si="40"/>
        <v>102Expectancy</v>
      </c>
      <c r="B2574">
        <v>102</v>
      </c>
      <c r="C2574" s="9" t="s">
        <v>31</v>
      </c>
      <c r="D2574" s="8">
        <v>0.38300000000000001</v>
      </c>
    </row>
    <row r="2575" spans="1:4" x14ac:dyDescent="0.35">
      <c r="A2575" t="str">
        <f t="shared" si="40"/>
        <v>102Net Profit</v>
      </c>
      <c r="B2575">
        <v>102</v>
      </c>
      <c r="C2575" s="9" t="s">
        <v>32</v>
      </c>
      <c r="D2575" s="8">
        <v>0.38834999999999997</v>
      </c>
    </row>
    <row r="2576" spans="1:4" x14ac:dyDescent="0.35">
      <c r="A2576" t="str">
        <f t="shared" si="40"/>
        <v>102Loss Rate</v>
      </c>
      <c r="B2576">
        <v>102</v>
      </c>
      <c r="C2576" s="9" t="s">
        <v>33</v>
      </c>
      <c r="D2576" s="8">
        <v>0.5</v>
      </c>
    </row>
    <row r="2577" spans="1:4" x14ac:dyDescent="0.35">
      <c r="A2577" t="str">
        <f t="shared" si="40"/>
        <v>102Win Rate</v>
      </c>
      <c r="B2577">
        <v>102</v>
      </c>
      <c r="C2577" s="9" t="s">
        <v>34</v>
      </c>
      <c r="D2577" s="8">
        <v>0.5</v>
      </c>
    </row>
    <row r="2578" spans="1:4" x14ac:dyDescent="0.35">
      <c r="A2578" t="str">
        <f t="shared" si="40"/>
        <v>102Profit-Loss Ratio</v>
      </c>
      <c r="B2578">
        <v>102</v>
      </c>
      <c r="C2578" s="9" t="s">
        <v>26</v>
      </c>
      <c r="D2578" s="8">
        <v>1.77</v>
      </c>
    </row>
    <row r="2579" spans="1:4" x14ac:dyDescent="0.35">
      <c r="A2579" t="str">
        <f t="shared" si="40"/>
        <v>102Alpha</v>
      </c>
      <c r="B2579">
        <v>102</v>
      </c>
      <c r="C2579" s="9" t="s">
        <v>23</v>
      </c>
      <c r="D2579" s="8">
        <v>0.40400000000000003</v>
      </c>
    </row>
    <row r="2580" spans="1:4" x14ac:dyDescent="0.35">
      <c r="A2580" t="str">
        <f t="shared" si="40"/>
        <v>102Beta</v>
      </c>
      <c r="B2580">
        <v>102</v>
      </c>
      <c r="C2580" s="9" t="s">
        <v>24</v>
      </c>
      <c r="D2580" s="8">
        <v>2.8980000000000001</v>
      </c>
    </row>
    <row r="2581" spans="1:4" x14ac:dyDescent="0.35">
      <c r="A2581" t="str">
        <f t="shared" si="40"/>
        <v>102Annual Standard Deviation</v>
      </c>
      <c r="B2581">
        <v>102</v>
      </c>
      <c r="C2581" s="9" t="s">
        <v>35</v>
      </c>
      <c r="D2581" s="8">
        <v>0.47799999999999998</v>
      </c>
    </row>
    <row r="2582" spans="1:4" x14ac:dyDescent="0.35">
      <c r="A2582" t="str">
        <f t="shared" si="40"/>
        <v>102Annual Variance</v>
      </c>
      <c r="B2582">
        <v>102</v>
      </c>
      <c r="C2582" s="9" t="s">
        <v>36</v>
      </c>
      <c r="D2582" s="8">
        <v>0.22900000000000001</v>
      </c>
    </row>
    <row r="2583" spans="1:4" x14ac:dyDescent="0.35">
      <c r="A2583" t="str">
        <f t="shared" si="40"/>
        <v>102Information Ratio</v>
      </c>
      <c r="B2583">
        <v>102</v>
      </c>
      <c r="C2583" s="9" t="s">
        <v>37</v>
      </c>
      <c r="D2583" s="8">
        <v>1.1519999999999999</v>
      </c>
    </row>
    <row r="2584" spans="1:4" x14ac:dyDescent="0.35">
      <c r="A2584" t="str">
        <f t="shared" si="40"/>
        <v>102Tracking Error</v>
      </c>
      <c r="B2584">
        <v>102</v>
      </c>
      <c r="C2584" s="9" t="s">
        <v>38</v>
      </c>
      <c r="D2584" s="8">
        <v>0.45500000000000002</v>
      </c>
    </row>
    <row r="2585" spans="1:4" x14ac:dyDescent="0.35">
      <c r="A2585" t="str">
        <f t="shared" si="40"/>
        <v>102Treynor Ratio</v>
      </c>
      <c r="B2585">
        <v>102</v>
      </c>
      <c r="C2585" s="9" t="s">
        <v>39</v>
      </c>
      <c r="D2585" s="8">
        <v>0.20300000000000001</v>
      </c>
    </row>
    <row r="2586" spans="1:4" x14ac:dyDescent="0.35">
      <c r="A2586" t="str">
        <f t="shared" si="40"/>
        <v>102Total Fees</v>
      </c>
      <c r="B2586">
        <v>102</v>
      </c>
      <c r="C2586" s="9" t="s">
        <v>40</v>
      </c>
      <c r="D2586" s="8">
        <v>0</v>
      </c>
    </row>
    <row r="2587" spans="1:4" x14ac:dyDescent="0.35">
      <c r="A2587" t="str">
        <f t="shared" si="40"/>
        <v>102Estimated Strategy Capacity</v>
      </c>
      <c r="B2587">
        <v>102</v>
      </c>
      <c r="C2587" s="9" t="s">
        <v>41</v>
      </c>
      <c r="D2587" s="8">
        <v>5100000</v>
      </c>
    </row>
    <row r="2588" spans="1:4" x14ac:dyDescent="0.35">
      <c r="A2588" t="str">
        <f t="shared" si="40"/>
        <v>101PSR</v>
      </c>
      <c r="B2588">
        <v>101</v>
      </c>
      <c r="C2588" s="9" t="s">
        <v>27</v>
      </c>
      <c r="D2588" s="8">
        <v>0.41305999999999998</v>
      </c>
    </row>
    <row r="2589" spans="1:4" x14ac:dyDescent="0.35">
      <c r="A2589" t="str">
        <f t="shared" si="40"/>
        <v>101Sharpe Ratio</v>
      </c>
      <c r="B2589">
        <v>101</v>
      </c>
      <c r="C2589" s="9" t="s">
        <v>1</v>
      </c>
      <c r="D2589" s="8">
        <v>0.81299999999999994</v>
      </c>
    </row>
    <row r="2590" spans="1:4" x14ac:dyDescent="0.35">
      <c r="A2590" t="str">
        <f t="shared" si="40"/>
        <v>101Total Trades</v>
      </c>
      <c r="B2590">
        <v>101</v>
      </c>
      <c r="C2590" s="9" t="s">
        <v>28</v>
      </c>
      <c r="D2590" s="8">
        <v>687</v>
      </c>
    </row>
    <row r="2591" spans="1:4" x14ac:dyDescent="0.35">
      <c r="A2591" t="str">
        <f t="shared" si="40"/>
        <v>101Average Win</v>
      </c>
      <c r="B2591">
        <v>101</v>
      </c>
      <c r="C2591" s="9" t="s">
        <v>25</v>
      </c>
      <c r="D2591" s="8">
        <v>2.5000000000000001E-2</v>
      </c>
    </row>
    <row r="2592" spans="1:4" x14ac:dyDescent="0.35">
      <c r="A2592" t="str">
        <f t="shared" si="40"/>
        <v>101Average Loss</v>
      </c>
      <c r="B2592">
        <v>101</v>
      </c>
      <c r="C2592" s="9" t="s">
        <v>29</v>
      </c>
      <c r="D2592" s="8">
        <v>-1.5299999999999999E-2</v>
      </c>
    </row>
    <row r="2593" spans="1:4" x14ac:dyDescent="0.35">
      <c r="A2593" t="str">
        <f t="shared" si="40"/>
        <v>101Compounding Annual Return</v>
      </c>
      <c r="B2593">
        <v>101</v>
      </c>
      <c r="C2593" s="9" t="s">
        <v>30</v>
      </c>
      <c r="D2593" s="8">
        <v>0.12267</v>
      </c>
    </row>
    <row r="2594" spans="1:4" x14ac:dyDescent="0.35">
      <c r="A2594" t="str">
        <f t="shared" si="40"/>
        <v>101Drawdown</v>
      </c>
      <c r="B2594">
        <v>101</v>
      </c>
      <c r="C2594" s="9" t="s">
        <v>8</v>
      </c>
      <c r="D2594" s="8">
        <v>6.9000000000000006E-2</v>
      </c>
    </row>
    <row r="2595" spans="1:4" x14ac:dyDescent="0.35">
      <c r="A2595" t="str">
        <f t="shared" si="40"/>
        <v>101Expectancy</v>
      </c>
      <c r="B2595">
        <v>101</v>
      </c>
      <c r="C2595" s="9" t="s">
        <v>31</v>
      </c>
      <c r="D2595" s="8">
        <v>0.31900000000000001</v>
      </c>
    </row>
    <row r="2596" spans="1:4" x14ac:dyDescent="0.35">
      <c r="A2596" t="str">
        <f t="shared" si="40"/>
        <v>101Net Profit</v>
      </c>
      <c r="B2596">
        <v>101</v>
      </c>
      <c r="C2596" s="9" t="s">
        <v>32</v>
      </c>
      <c r="D2596" s="8">
        <v>7.7670000000000003E-2</v>
      </c>
    </row>
    <row r="2597" spans="1:4" x14ac:dyDescent="0.35">
      <c r="A2597" t="str">
        <f t="shared" si="40"/>
        <v>101Loss Rate</v>
      </c>
      <c r="B2597">
        <v>101</v>
      </c>
      <c r="C2597" s="9" t="s">
        <v>33</v>
      </c>
      <c r="D2597" s="8">
        <v>0.5</v>
      </c>
    </row>
    <row r="2598" spans="1:4" x14ac:dyDescent="0.35">
      <c r="A2598" t="str">
        <f t="shared" si="40"/>
        <v>101Win Rate</v>
      </c>
      <c r="B2598">
        <v>101</v>
      </c>
      <c r="C2598" s="9" t="s">
        <v>34</v>
      </c>
      <c r="D2598" s="8">
        <v>0.5</v>
      </c>
    </row>
    <row r="2599" spans="1:4" x14ac:dyDescent="0.35">
      <c r="A2599" t="str">
        <f t="shared" si="40"/>
        <v>101Profit-Loss Ratio</v>
      </c>
      <c r="B2599">
        <v>101</v>
      </c>
      <c r="C2599" s="9" t="s">
        <v>26</v>
      </c>
      <c r="D2599" s="8">
        <v>1.64</v>
      </c>
    </row>
    <row r="2600" spans="1:4" x14ac:dyDescent="0.35">
      <c r="A2600" t="str">
        <f t="shared" si="40"/>
        <v>101Alpha</v>
      </c>
      <c r="B2600">
        <v>101</v>
      </c>
      <c r="C2600" s="9" t="s">
        <v>23</v>
      </c>
      <c r="D2600" s="8">
        <v>4.7E-2</v>
      </c>
    </row>
    <row r="2601" spans="1:4" x14ac:dyDescent="0.35">
      <c r="A2601" t="str">
        <f t="shared" si="40"/>
        <v>101Beta</v>
      </c>
      <c r="B2601">
        <v>101</v>
      </c>
      <c r="C2601" s="9" t="s">
        <v>24</v>
      </c>
      <c r="D2601" s="8">
        <v>0.67300000000000004</v>
      </c>
    </row>
    <row r="2602" spans="1:4" x14ac:dyDescent="0.35">
      <c r="A2602" t="str">
        <f t="shared" si="40"/>
        <v>101Annual Standard Deviation</v>
      </c>
      <c r="B2602">
        <v>101</v>
      </c>
      <c r="C2602" s="9" t="s">
        <v>35</v>
      </c>
      <c r="D2602" s="8">
        <v>0.111</v>
      </c>
    </row>
    <row r="2603" spans="1:4" x14ac:dyDescent="0.35">
      <c r="A2603" t="str">
        <f t="shared" si="40"/>
        <v>101Annual Variance</v>
      </c>
      <c r="B2603">
        <v>101</v>
      </c>
      <c r="C2603" s="9" t="s">
        <v>36</v>
      </c>
      <c r="D2603" s="8">
        <v>1.2E-2</v>
      </c>
    </row>
    <row r="2604" spans="1:4" x14ac:dyDescent="0.35">
      <c r="A2604" t="str">
        <f t="shared" si="40"/>
        <v>101Information Ratio</v>
      </c>
      <c r="B2604">
        <v>101</v>
      </c>
      <c r="C2604" s="9" t="s">
        <v>37</v>
      </c>
      <c r="D2604" s="8">
        <v>0.255</v>
      </c>
    </row>
    <row r="2605" spans="1:4" x14ac:dyDescent="0.35">
      <c r="A2605" t="str">
        <f t="shared" si="40"/>
        <v>101Tracking Error</v>
      </c>
      <c r="B2605">
        <v>101</v>
      </c>
      <c r="C2605" s="9" t="s">
        <v>38</v>
      </c>
      <c r="D2605" s="8">
        <v>0.104</v>
      </c>
    </row>
    <row r="2606" spans="1:4" x14ac:dyDescent="0.35">
      <c r="A2606" t="str">
        <f t="shared" si="40"/>
        <v>101Treynor Ratio</v>
      </c>
      <c r="B2606">
        <v>101</v>
      </c>
      <c r="C2606" s="9" t="s">
        <v>39</v>
      </c>
      <c r="D2606" s="8">
        <v>0.13400000000000001</v>
      </c>
    </row>
    <row r="2607" spans="1:4" x14ac:dyDescent="0.35">
      <c r="A2607" t="str">
        <f t="shared" si="40"/>
        <v>101Total Fees</v>
      </c>
      <c r="B2607">
        <v>101</v>
      </c>
      <c r="C2607" s="9" t="s">
        <v>40</v>
      </c>
      <c r="D2607" s="8">
        <v>0</v>
      </c>
    </row>
    <row r="2608" spans="1:4" x14ac:dyDescent="0.35">
      <c r="A2608" t="str">
        <f t="shared" si="40"/>
        <v>101Estimated Strategy Capacity</v>
      </c>
      <c r="B2608">
        <v>101</v>
      </c>
      <c r="C2608" s="9" t="s">
        <v>41</v>
      </c>
      <c r="D2608" s="8">
        <v>17000000</v>
      </c>
    </row>
    <row r="2609" spans="1:4" x14ac:dyDescent="0.35">
      <c r="A2609" t="str">
        <f t="shared" si="40"/>
        <v>100PSR</v>
      </c>
      <c r="B2609">
        <v>100</v>
      </c>
      <c r="C2609" s="9" t="s">
        <v>27</v>
      </c>
      <c r="D2609" s="8">
        <v>0.33544000000000002</v>
      </c>
    </row>
    <row r="2610" spans="1:4" x14ac:dyDescent="0.35">
      <c r="A2610" t="str">
        <f t="shared" si="40"/>
        <v>100Sharpe Ratio</v>
      </c>
      <c r="B2610">
        <v>100</v>
      </c>
      <c r="C2610" s="9" t="s">
        <v>1</v>
      </c>
      <c r="D2610" s="8">
        <v>0.56899999999999995</v>
      </c>
    </row>
    <row r="2611" spans="1:4" x14ac:dyDescent="0.35">
      <c r="A2611" t="str">
        <f t="shared" si="40"/>
        <v>100Total Trades</v>
      </c>
      <c r="B2611">
        <v>100</v>
      </c>
      <c r="C2611" s="9" t="s">
        <v>28</v>
      </c>
      <c r="D2611" s="8">
        <v>687</v>
      </c>
    </row>
    <row r="2612" spans="1:4" x14ac:dyDescent="0.35">
      <c r="A2612" t="str">
        <f t="shared" si="40"/>
        <v>100Average Win</v>
      </c>
      <c r="B2612">
        <v>100</v>
      </c>
      <c r="C2612" s="9" t="s">
        <v>25</v>
      </c>
      <c r="D2612" s="8">
        <v>2.5000000000000001E-3</v>
      </c>
    </row>
    <row r="2613" spans="1:4" x14ac:dyDescent="0.35">
      <c r="A2613" t="str">
        <f t="shared" si="40"/>
        <v>100Average Loss</v>
      </c>
      <c r="B2613">
        <v>100</v>
      </c>
      <c r="C2613" s="9" t="s">
        <v>29</v>
      </c>
      <c r="D2613" s="8">
        <v>-1.6000000000000001E-3</v>
      </c>
    </row>
    <row r="2614" spans="1:4" x14ac:dyDescent="0.35">
      <c r="A2614" t="str">
        <f t="shared" si="40"/>
        <v>100Compounding Annual Return</v>
      </c>
      <c r="B2614">
        <v>100</v>
      </c>
      <c r="C2614" s="9" t="s">
        <v>30</v>
      </c>
      <c r="D2614" s="8">
        <v>9.5399999999999999E-3</v>
      </c>
    </row>
    <row r="2615" spans="1:4" x14ac:dyDescent="0.35">
      <c r="A2615" t="str">
        <f t="shared" si="40"/>
        <v>100Drawdown</v>
      </c>
      <c r="B2615">
        <v>100</v>
      </c>
      <c r="C2615" s="9" t="s">
        <v>8</v>
      </c>
      <c r="D2615" s="8">
        <v>7.0000000000000001E-3</v>
      </c>
    </row>
    <row r="2616" spans="1:4" x14ac:dyDescent="0.35">
      <c r="A2616" t="str">
        <f t="shared" si="40"/>
        <v>100Expectancy</v>
      </c>
      <c r="B2616">
        <v>100</v>
      </c>
      <c r="C2616" s="9" t="s">
        <v>31</v>
      </c>
      <c r="D2616" s="8">
        <v>0.30399999999999999</v>
      </c>
    </row>
    <row r="2617" spans="1:4" x14ac:dyDescent="0.35">
      <c r="A2617" t="str">
        <f t="shared" si="40"/>
        <v>100Net Profit</v>
      </c>
      <c r="B2617">
        <v>100</v>
      </c>
      <c r="C2617" s="9" t="s">
        <v>32</v>
      </c>
      <c r="D2617" s="8">
        <v>6.1599999999999997E-3</v>
      </c>
    </row>
    <row r="2618" spans="1:4" x14ac:dyDescent="0.35">
      <c r="A2618" t="str">
        <f t="shared" si="40"/>
        <v>100Loss Rate</v>
      </c>
      <c r="B2618">
        <v>100</v>
      </c>
      <c r="C2618" s="9" t="s">
        <v>33</v>
      </c>
      <c r="D2618" s="8">
        <v>0.5</v>
      </c>
    </row>
    <row r="2619" spans="1:4" x14ac:dyDescent="0.35">
      <c r="A2619" t="str">
        <f t="shared" si="40"/>
        <v>100Win Rate</v>
      </c>
      <c r="B2619">
        <v>100</v>
      </c>
      <c r="C2619" s="9" t="s">
        <v>34</v>
      </c>
      <c r="D2619" s="8">
        <v>0.5</v>
      </c>
    </row>
    <row r="2620" spans="1:4" x14ac:dyDescent="0.35">
      <c r="A2620" t="str">
        <f t="shared" si="40"/>
        <v>100Profit-Loss Ratio</v>
      </c>
      <c r="B2620">
        <v>100</v>
      </c>
      <c r="C2620" s="9" t="s">
        <v>26</v>
      </c>
      <c r="D2620" s="8">
        <v>1.61</v>
      </c>
    </row>
    <row r="2621" spans="1:4" x14ac:dyDescent="0.35">
      <c r="A2621" t="str">
        <f t="shared" si="40"/>
        <v>100Alpha</v>
      </c>
      <c r="B2621">
        <v>100</v>
      </c>
      <c r="C2621" s="9" t="s">
        <v>23</v>
      </c>
      <c r="D2621" s="8">
        <v>2E-3</v>
      </c>
    </row>
    <row r="2622" spans="1:4" x14ac:dyDescent="0.35">
      <c r="A2622" t="str">
        <f t="shared" si="40"/>
        <v>100Beta</v>
      </c>
      <c r="B2622">
        <v>100</v>
      </c>
      <c r="C2622" s="9" t="s">
        <v>24</v>
      </c>
      <c r="D2622" s="8">
        <v>7.0000000000000007E-2</v>
      </c>
    </row>
    <row r="2623" spans="1:4" x14ac:dyDescent="0.35">
      <c r="A2623" t="str">
        <f t="shared" si="40"/>
        <v>100Annual Standard Deviation</v>
      </c>
      <c r="B2623">
        <v>100</v>
      </c>
      <c r="C2623" s="9" t="s">
        <v>35</v>
      </c>
      <c r="D2623" s="8">
        <v>1.2E-2</v>
      </c>
    </row>
    <row r="2624" spans="1:4" x14ac:dyDescent="0.35">
      <c r="A2624" t="str">
        <f t="shared" si="40"/>
        <v>100Annual Variance</v>
      </c>
      <c r="B2624">
        <v>100</v>
      </c>
      <c r="C2624" s="9" t="s">
        <v>36</v>
      </c>
      <c r="D2624" s="8">
        <v>0</v>
      </c>
    </row>
    <row r="2625" spans="1:4" x14ac:dyDescent="0.35">
      <c r="A2625" t="str">
        <f t="shared" si="40"/>
        <v>100Information Ratio</v>
      </c>
      <c r="B2625">
        <v>100</v>
      </c>
      <c r="C2625" s="9" t="s">
        <v>37</v>
      </c>
      <c r="D2625" s="8">
        <v>-0.90500000000000003</v>
      </c>
    </row>
    <row r="2626" spans="1:4" x14ac:dyDescent="0.35">
      <c r="A2626" t="str">
        <f t="shared" si="40"/>
        <v>100Tracking Error</v>
      </c>
      <c r="B2626">
        <v>100</v>
      </c>
      <c r="C2626" s="9" t="s">
        <v>38</v>
      </c>
      <c r="D2626" s="8">
        <v>6.3E-2</v>
      </c>
    </row>
    <row r="2627" spans="1:4" x14ac:dyDescent="0.35">
      <c r="A2627" t="str">
        <f t="shared" ref="A2627:A2690" si="41">B2627&amp;C2627</f>
        <v>100Treynor Ratio</v>
      </c>
      <c r="B2627">
        <v>100</v>
      </c>
      <c r="C2627" s="9" t="s">
        <v>39</v>
      </c>
      <c r="D2627" s="8">
        <v>9.5000000000000001E-2</v>
      </c>
    </row>
    <row r="2628" spans="1:4" x14ac:dyDescent="0.35">
      <c r="A2628" t="str">
        <f t="shared" si="41"/>
        <v>100Total Fees</v>
      </c>
      <c r="B2628">
        <v>100</v>
      </c>
      <c r="C2628" s="9" t="s">
        <v>40</v>
      </c>
      <c r="D2628" s="8">
        <v>0</v>
      </c>
    </row>
    <row r="2629" spans="1:4" x14ac:dyDescent="0.35">
      <c r="A2629" t="str">
        <f t="shared" si="41"/>
        <v>100Estimated Strategy Capacity</v>
      </c>
      <c r="B2629">
        <v>100</v>
      </c>
      <c r="C2629" s="9" t="s">
        <v>41</v>
      </c>
      <c r="D2629" s="8">
        <v>150000000</v>
      </c>
    </row>
    <row r="2630" spans="1:4" x14ac:dyDescent="0.35">
      <c r="A2630" t="str">
        <f t="shared" si="41"/>
        <v>99PSR</v>
      </c>
      <c r="B2630">
        <v>99</v>
      </c>
      <c r="C2630" s="9" t="s">
        <v>27</v>
      </c>
      <c r="D2630" s="8">
        <v>0.12551999999999999</v>
      </c>
    </row>
    <row r="2631" spans="1:4" x14ac:dyDescent="0.35">
      <c r="A2631" t="str">
        <f t="shared" si="41"/>
        <v>99Sharpe Ratio</v>
      </c>
      <c r="B2631">
        <v>99</v>
      </c>
      <c r="C2631" s="9" t="s">
        <v>1</v>
      </c>
      <c r="D2631" s="8">
        <v>-0.17499999999999999</v>
      </c>
    </row>
    <row r="2632" spans="1:4" x14ac:dyDescent="0.35">
      <c r="A2632" t="str">
        <f t="shared" si="41"/>
        <v>99Total Trades</v>
      </c>
      <c r="B2632">
        <v>99</v>
      </c>
      <c r="C2632" s="9" t="s">
        <v>28</v>
      </c>
      <c r="D2632" s="8">
        <v>439</v>
      </c>
    </row>
    <row r="2633" spans="1:4" x14ac:dyDescent="0.35">
      <c r="A2633" t="str">
        <f t="shared" si="41"/>
        <v>99Average Win</v>
      </c>
      <c r="B2633">
        <v>99</v>
      </c>
      <c r="C2633" s="9" t="s">
        <v>25</v>
      </c>
      <c r="D2633" s="8">
        <v>0.29949999999999999</v>
      </c>
    </row>
    <row r="2634" spans="1:4" x14ac:dyDescent="0.35">
      <c r="A2634" t="str">
        <f t="shared" si="41"/>
        <v>99Average Loss</v>
      </c>
      <c r="B2634">
        <v>99</v>
      </c>
      <c r="C2634" s="9" t="s">
        <v>29</v>
      </c>
      <c r="D2634" s="8">
        <v>-9.1200000000000003E-2</v>
      </c>
    </row>
    <row r="2635" spans="1:4" x14ac:dyDescent="0.35">
      <c r="A2635" t="str">
        <f t="shared" si="41"/>
        <v>99Compounding Annual Return</v>
      </c>
      <c r="B2635">
        <v>99</v>
      </c>
      <c r="C2635" s="9" t="s">
        <v>30</v>
      </c>
      <c r="D2635" s="8">
        <v>-0.67689999999999995</v>
      </c>
    </row>
    <row r="2636" spans="1:4" x14ac:dyDescent="0.35">
      <c r="A2636" t="str">
        <f t="shared" si="41"/>
        <v>99Drawdown</v>
      </c>
      <c r="B2636">
        <v>99</v>
      </c>
      <c r="C2636" s="9" t="s">
        <v>8</v>
      </c>
      <c r="D2636" s="8">
        <v>0.78700000000000003</v>
      </c>
    </row>
    <row r="2637" spans="1:4" x14ac:dyDescent="0.35">
      <c r="A2637" t="str">
        <f t="shared" si="41"/>
        <v>99Expectancy</v>
      </c>
      <c r="B2637">
        <v>99</v>
      </c>
      <c r="C2637" s="9" t="s">
        <v>31</v>
      </c>
      <c r="D2637" s="8">
        <v>-6.9000000000000006E-2</v>
      </c>
    </row>
    <row r="2638" spans="1:4" x14ac:dyDescent="0.35">
      <c r="A2638" t="str">
        <f t="shared" si="41"/>
        <v>99Net Profit</v>
      </c>
      <c r="B2638">
        <v>99</v>
      </c>
      <c r="C2638" s="9" t="s">
        <v>32</v>
      </c>
      <c r="D2638" s="8">
        <v>-0.51827000000000001</v>
      </c>
    </row>
    <row r="2639" spans="1:4" x14ac:dyDescent="0.35">
      <c r="A2639" t="str">
        <f t="shared" si="41"/>
        <v>99Loss Rate</v>
      </c>
      <c r="B2639">
        <v>99</v>
      </c>
      <c r="C2639" s="9" t="s">
        <v>33</v>
      </c>
      <c r="D2639" s="8">
        <v>0.78</v>
      </c>
    </row>
    <row r="2640" spans="1:4" x14ac:dyDescent="0.35">
      <c r="A2640" t="str">
        <f t="shared" si="41"/>
        <v>99Win Rate</v>
      </c>
      <c r="B2640">
        <v>99</v>
      </c>
      <c r="C2640" s="9" t="s">
        <v>34</v>
      </c>
      <c r="D2640" s="8">
        <v>0.22</v>
      </c>
    </row>
    <row r="2641" spans="1:4" x14ac:dyDescent="0.35">
      <c r="A2641" t="str">
        <f t="shared" si="41"/>
        <v>99Profit-Loss Ratio</v>
      </c>
      <c r="B2641">
        <v>99</v>
      </c>
      <c r="C2641" s="9" t="s">
        <v>26</v>
      </c>
      <c r="D2641" s="8">
        <v>3.28</v>
      </c>
    </row>
    <row r="2642" spans="1:4" x14ac:dyDescent="0.35">
      <c r="A2642" t="str">
        <f t="shared" si="41"/>
        <v>99Alpha</v>
      </c>
      <c r="B2642">
        <v>99</v>
      </c>
      <c r="C2642" s="9" t="s">
        <v>23</v>
      </c>
      <c r="D2642" s="8">
        <v>-0.59099999999999997</v>
      </c>
    </row>
    <row r="2643" spans="1:4" x14ac:dyDescent="0.35">
      <c r="A2643" t="str">
        <f t="shared" si="41"/>
        <v>99Beta</v>
      </c>
      <c r="B2643">
        <v>99</v>
      </c>
      <c r="C2643" s="9" t="s">
        <v>24</v>
      </c>
      <c r="D2643" s="8">
        <v>6.4169999999999998</v>
      </c>
    </row>
    <row r="2644" spans="1:4" x14ac:dyDescent="0.35">
      <c r="A2644" t="str">
        <f t="shared" si="41"/>
        <v>99Annual Standard Deviation</v>
      </c>
      <c r="B2644">
        <v>99</v>
      </c>
      <c r="C2644" s="9" t="s">
        <v>35</v>
      </c>
      <c r="D2644" s="8">
        <v>1.0449999999999999</v>
      </c>
    </row>
    <row r="2645" spans="1:4" x14ac:dyDescent="0.35">
      <c r="A2645" t="str">
        <f t="shared" si="41"/>
        <v>99Annual Variance</v>
      </c>
      <c r="B2645">
        <v>99</v>
      </c>
      <c r="C2645" s="9" t="s">
        <v>36</v>
      </c>
      <c r="D2645" s="8">
        <v>1.0920000000000001</v>
      </c>
    </row>
    <row r="2646" spans="1:4" x14ac:dyDescent="0.35">
      <c r="A2646" t="str">
        <f t="shared" si="41"/>
        <v>99Information Ratio</v>
      </c>
      <c r="B2646">
        <v>99</v>
      </c>
      <c r="C2646" s="9" t="s">
        <v>37</v>
      </c>
      <c r="D2646" s="8">
        <v>-0.24099999999999999</v>
      </c>
    </row>
    <row r="2647" spans="1:4" x14ac:dyDescent="0.35">
      <c r="A2647" t="str">
        <f t="shared" si="41"/>
        <v>99Tracking Error</v>
      </c>
      <c r="B2647">
        <v>99</v>
      </c>
      <c r="C2647" s="9" t="s">
        <v>38</v>
      </c>
      <c r="D2647" s="8">
        <v>1.02</v>
      </c>
    </row>
    <row r="2648" spans="1:4" x14ac:dyDescent="0.35">
      <c r="A2648" t="str">
        <f t="shared" si="41"/>
        <v>99Treynor Ratio</v>
      </c>
      <c r="B2648">
        <v>99</v>
      </c>
      <c r="C2648" s="9" t="s">
        <v>39</v>
      </c>
      <c r="D2648" s="8">
        <v>-2.8000000000000001E-2</v>
      </c>
    </row>
    <row r="2649" spans="1:4" x14ac:dyDescent="0.35">
      <c r="A2649" t="str">
        <f t="shared" si="41"/>
        <v>99Total Fees</v>
      </c>
      <c r="B2649">
        <v>99</v>
      </c>
      <c r="C2649" s="9" t="s">
        <v>40</v>
      </c>
      <c r="D2649" s="8">
        <v>0</v>
      </c>
    </row>
    <row r="2650" spans="1:4" x14ac:dyDescent="0.35">
      <c r="A2650" t="str">
        <f t="shared" si="41"/>
        <v>99Estimated Strategy Capacity</v>
      </c>
      <c r="B2650">
        <v>99</v>
      </c>
      <c r="C2650" s="9" t="s">
        <v>41</v>
      </c>
      <c r="D2650" s="8">
        <v>2100000</v>
      </c>
    </row>
    <row r="2651" spans="1:4" x14ac:dyDescent="0.35">
      <c r="A2651" t="str">
        <f t="shared" si="41"/>
        <v>98PSR</v>
      </c>
      <c r="B2651">
        <v>98</v>
      </c>
      <c r="C2651" s="9" t="s">
        <v>27</v>
      </c>
      <c r="D2651" s="8">
        <v>6.9080000000000003E-2</v>
      </c>
    </row>
    <row r="2652" spans="1:4" x14ac:dyDescent="0.35">
      <c r="A2652" t="str">
        <f t="shared" si="41"/>
        <v>98Sharpe Ratio</v>
      </c>
      <c r="B2652">
        <v>98</v>
      </c>
      <c r="C2652" s="9" t="s">
        <v>1</v>
      </c>
      <c r="D2652" s="8">
        <v>-0.48899999999999999</v>
      </c>
    </row>
    <row r="2653" spans="1:4" x14ac:dyDescent="0.35">
      <c r="A2653" t="str">
        <f t="shared" si="41"/>
        <v>98Total Trades</v>
      </c>
      <c r="B2653">
        <v>98</v>
      </c>
      <c r="C2653" s="9" t="s">
        <v>28</v>
      </c>
      <c r="D2653" s="8">
        <v>472</v>
      </c>
    </row>
    <row r="2654" spans="1:4" x14ac:dyDescent="0.35">
      <c r="A2654" t="str">
        <f t="shared" si="41"/>
        <v>98Average Win</v>
      </c>
      <c r="B2654">
        <v>98</v>
      </c>
      <c r="C2654" s="9" t="s">
        <v>25</v>
      </c>
      <c r="D2654" s="8">
        <v>2.7300000000000001E-2</v>
      </c>
    </row>
    <row r="2655" spans="1:4" x14ac:dyDescent="0.35">
      <c r="A2655" t="str">
        <f t="shared" si="41"/>
        <v>98Average Loss</v>
      </c>
      <c r="B2655">
        <v>98</v>
      </c>
      <c r="C2655" s="9" t="s">
        <v>29</v>
      </c>
      <c r="D2655" s="8">
        <v>-2.7799999999999998E-2</v>
      </c>
    </row>
    <row r="2656" spans="1:4" x14ac:dyDescent="0.35">
      <c r="A2656" t="str">
        <f t="shared" si="41"/>
        <v>98Compounding Annual Return</v>
      </c>
      <c r="B2656">
        <v>98</v>
      </c>
      <c r="C2656" s="9" t="s">
        <v>30</v>
      </c>
      <c r="D2656" s="8">
        <v>-0.15773000000000001</v>
      </c>
    </row>
    <row r="2657" spans="1:4" x14ac:dyDescent="0.35">
      <c r="A2657" t="str">
        <f t="shared" si="41"/>
        <v>98Drawdown</v>
      </c>
      <c r="B2657">
        <v>98</v>
      </c>
      <c r="C2657" s="9" t="s">
        <v>8</v>
      </c>
      <c r="D2657" s="8">
        <v>0.223</v>
      </c>
    </row>
    <row r="2658" spans="1:4" x14ac:dyDescent="0.35">
      <c r="A2658" t="str">
        <f t="shared" si="41"/>
        <v>98Expectancy</v>
      </c>
      <c r="B2658">
        <v>98</v>
      </c>
      <c r="C2658" s="9" t="s">
        <v>31</v>
      </c>
      <c r="D2658" s="8">
        <v>-0.20799999999999999</v>
      </c>
    </row>
    <row r="2659" spans="1:4" x14ac:dyDescent="0.35">
      <c r="A2659" t="str">
        <f t="shared" si="41"/>
        <v>98Net Profit</v>
      </c>
      <c r="B2659">
        <v>98</v>
      </c>
      <c r="C2659" s="9" t="s">
        <v>32</v>
      </c>
      <c r="D2659" s="8">
        <v>-0.10503</v>
      </c>
    </row>
    <row r="2660" spans="1:4" x14ac:dyDescent="0.35">
      <c r="A2660" t="str">
        <f t="shared" si="41"/>
        <v>98Loss Rate</v>
      </c>
      <c r="B2660">
        <v>98</v>
      </c>
      <c r="C2660" s="9" t="s">
        <v>33</v>
      </c>
      <c r="D2660" s="8">
        <v>0.6</v>
      </c>
    </row>
    <row r="2661" spans="1:4" x14ac:dyDescent="0.35">
      <c r="A2661" t="str">
        <f t="shared" si="41"/>
        <v>98Win Rate</v>
      </c>
      <c r="B2661">
        <v>98</v>
      </c>
      <c r="C2661" s="9" t="s">
        <v>34</v>
      </c>
      <c r="D2661" s="8">
        <v>0.4</v>
      </c>
    </row>
    <row r="2662" spans="1:4" x14ac:dyDescent="0.35">
      <c r="A2662" t="str">
        <f t="shared" si="41"/>
        <v>98Profit-Loss Ratio</v>
      </c>
      <c r="B2662">
        <v>98</v>
      </c>
      <c r="C2662" s="9" t="s">
        <v>26</v>
      </c>
      <c r="D2662" s="8">
        <v>0.98</v>
      </c>
    </row>
    <row r="2663" spans="1:4" x14ac:dyDescent="0.35">
      <c r="A2663" t="str">
        <f t="shared" si="41"/>
        <v>98Alpha</v>
      </c>
      <c r="B2663">
        <v>98</v>
      </c>
      <c r="C2663" s="9" t="s">
        <v>23</v>
      </c>
      <c r="D2663" s="8">
        <v>-0.161</v>
      </c>
    </row>
    <row r="2664" spans="1:4" x14ac:dyDescent="0.35">
      <c r="A2664" t="str">
        <f t="shared" si="41"/>
        <v>98Beta</v>
      </c>
      <c r="B2664">
        <v>98</v>
      </c>
      <c r="C2664" s="9" t="s">
        <v>24</v>
      </c>
      <c r="D2664" s="8">
        <v>1.03</v>
      </c>
    </row>
    <row r="2665" spans="1:4" x14ac:dyDescent="0.35">
      <c r="A2665" t="str">
        <f t="shared" si="41"/>
        <v>98Annual Standard Deviation</v>
      </c>
      <c r="B2665">
        <v>98</v>
      </c>
      <c r="C2665" s="9" t="s">
        <v>35</v>
      </c>
      <c r="D2665" s="8">
        <v>0.19400000000000001</v>
      </c>
    </row>
    <row r="2666" spans="1:4" x14ac:dyDescent="0.35">
      <c r="A2666" t="str">
        <f t="shared" si="41"/>
        <v>98Annual Variance</v>
      </c>
      <c r="B2666">
        <v>98</v>
      </c>
      <c r="C2666" s="9" t="s">
        <v>36</v>
      </c>
      <c r="D2666" s="8">
        <v>3.7999999999999999E-2</v>
      </c>
    </row>
    <row r="2667" spans="1:4" x14ac:dyDescent="0.35">
      <c r="A2667" t="str">
        <f t="shared" si="41"/>
        <v>98Information Ratio</v>
      </c>
      <c r="B2667">
        <v>98</v>
      </c>
      <c r="C2667" s="9" t="s">
        <v>37</v>
      </c>
      <c r="D2667" s="8">
        <v>-0.872</v>
      </c>
    </row>
    <row r="2668" spans="1:4" x14ac:dyDescent="0.35">
      <c r="A2668" t="str">
        <f t="shared" si="41"/>
        <v>98Tracking Error</v>
      </c>
      <c r="B2668">
        <v>98</v>
      </c>
      <c r="C2668" s="9" t="s">
        <v>38</v>
      </c>
      <c r="D2668" s="8">
        <v>0.182</v>
      </c>
    </row>
    <row r="2669" spans="1:4" x14ac:dyDescent="0.35">
      <c r="A2669" t="str">
        <f t="shared" si="41"/>
        <v>98Treynor Ratio</v>
      </c>
      <c r="B2669">
        <v>98</v>
      </c>
      <c r="C2669" s="9" t="s">
        <v>39</v>
      </c>
      <c r="D2669" s="8">
        <v>-9.1999999999999998E-2</v>
      </c>
    </row>
    <row r="2670" spans="1:4" x14ac:dyDescent="0.35">
      <c r="A2670" t="str">
        <f t="shared" si="41"/>
        <v>98Total Fees</v>
      </c>
      <c r="B2670">
        <v>98</v>
      </c>
      <c r="C2670" s="9" t="s">
        <v>40</v>
      </c>
      <c r="D2670" s="8">
        <v>0</v>
      </c>
    </row>
    <row r="2671" spans="1:4" x14ac:dyDescent="0.35">
      <c r="A2671" t="str">
        <f t="shared" si="41"/>
        <v>98Estimated Strategy Capacity</v>
      </c>
      <c r="B2671">
        <v>98</v>
      </c>
      <c r="C2671" s="9" t="s">
        <v>41</v>
      </c>
      <c r="D2671" s="8">
        <v>7500000</v>
      </c>
    </row>
    <row r="2672" spans="1:4" x14ac:dyDescent="0.35">
      <c r="A2672" t="str">
        <f t="shared" si="41"/>
        <v>97PSR</v>
      </c>
      <c r="B2672">
        <v>97</v>
      </c>
      <c r="C2672" s="9" t="s">
        <v>27</v>
      </c>
      <c r="D2672" s="8">
        <v>5.1400000000000001E-2</v>
      </c>
    </row>
    <row r="2673" spans="1:4" x14ac:dyDescent="0.35">
      <c r="A2673" t="str">
        <f t="shared" si="41"/>
        <v>97Sharpe Ratio</v>
      </c>
      <c r="B2673">
        <v>97</v>
      </c>
      <c r="C2673" s="9" t="s">
        <v>1</v>
      </c>
      <c r="D2673" s="8">
        <v>-0.629</v>
      </c>
    </row>
    <row r="2674" spans="1:4" x14ac:dyDescent="0.35">
      <c r="A2674" t="str">
        <f t="shared" si="41"/>
        <v>97Total Trades</v>
      </c>
      <c r="B2674">
        <v>97</v>
      </c>
      <c r="C2674" s="9" t="s">
        <v>28</v>
      </c>
      <c r="D2674" s="8">
        <v>472</v>
      </c>
    </row>
    <row r="2675" spans="1:4" x14ac:dyDescent="0.35">
      <c r="A2675" t="str">
        <f t="shared" si="41"/>
        <v>97Average Win</v>
      </c>
      <c r="B2675">
        <v>97</v>
      </c>
      <c r="C2675" s="9" t="s">
        <v>25</v>
      </c>
      <c r="D2675" s="8">
        <v>2.3E-3</v>
      </c>
    </row>
    <row r="2676" spans="1:4" x14ac:dyDescent="0.35">
      <c r="A2676" t="str">
        <f t="shared" si="41"/>
        <v>97Average Loss</v>
      </c>
      <c r="B2676">
        <v>97</v>
      </c>
      <c r="C2676" s="9" t="s">
        <v>29</v>
      </c>
      <c r="D2676" s="8">
        <v>-2.5999999999999999E-3</v>
      </c>
    </row>
    <row r="2677" spans="1:4" x14ac:dyDescent="0.35">
      <c r="A2677" t="str">
        <f t="shared" si="41"/>
        <v>97Compounding Annual Return</v>
      </c>
      <c r="B2677">
        <v>97</v>
      </c>
      <c r="C2677" s="9" t="s">
        <v>30</v>
      </c>
      <c r="D2677" s="8">
        <v>-1.6199999999999999E-2</v>
      </c>
    </row>
    <row r="2678" spans="1:4" x14ac:dyDescent="0.35">
      <c r="A2678" t="str">
        <f t="shared" si="41"/>
        <v>97Drawdown</v>
      </c>
      <c r="B2678">
        <v>97</v>
      </c>
      <c r="C2678" s="9" t="s">
        <v>8</v>
      </c>
      <c r="D2678" s="8">
        <v>2.3E-2</v>
      </c>
    </row>
    <row r="2679" spans="1:4" x14ac:dyDescent="0.35">
      <c r="A2679" t="str">
        <f t="shared" si="41"/>
        <v>97Expectancy</v>
      </c>
      <c r="B2679">
        <v>97</v>
      </c>
      <c r="C2679" s="9" t="s">
        <v>31</v>
      </c>
      <c r="D2679" s="8">
        <v>-0.23599999999999999</v>
      </c>
    </row>
    <row r="2680" spans="1:4" x14ac:dyDescent="0.35">
      <c r="A2680" t="str">
        <f t="shared" si="41"/>
        <v>97Net Profit</v>
      </c>
      <c r="B2680">
        <v>97</v>
      </c>
      <c r="C2680" s="9" t="s">
        <v>32</v>
      </c>
      <c r="D2680" s="8">
        <v>-1.0500000000000001E-2</v>
      </c>
    </row>
    <row r="2681" spans="1:4" x14ac:dyDescent="0.35">
      <c r="A2681" t="str">
        <f t="shared" si="41"/>
        <v>97Loss Rate</v>
      </c>
      <c r="B2681">
        <v>97</v>
      </c>
      <c r="C2681" s="9" t="s">
        <v>33</v>
      </c>
      <c r="D2681" s="8">
        <v>0.6</v>
      </c>
    </row>
    <row r="2682" spans="1:4" x14ac:dyDescent="0.35">
      <c r="A2682" t="str">
        <f t="shared" si="41"/>
        <v>97Win Rate</v>
      </c>
      <c r="B2682">
        <v>97</v>
      </c>
      <c r="C2682" s="9" t="s">
        <v>34</v>
      </c>
      <c r="D2682" s="8">
        <v>0.4</v>
      </c>
    </row>
    <row r="2683" spans="1:4" x14ac:dyDescent="0.35">
      <c r="A2683" t="str">
        <f t="shared" si="41"/>
        <v>97Profit-Loss Ratio</v>
      </c>
      <c r="B2683">
        <v>97</v>
      </c>
      <c r="C2683" s="9" t="s">
        <v>26</v>
      </c>
      <c r="D2683" s="8">
        <v>0.91</v>
      </c>
    </row>
    <row r="2684" spans="1:4" x14ac:dyDescent="0.35">
      <c r="A2684" t="str">
        <f t="shared" si="41"/>
        <v>97Alpha</v>
      </c>
      <c r="B2684">
        <v>97</v>
      </c>
      <c r="C2684" s="9" t="s">
        <v>23</v>
      </c>
      <c r="D2684" s="8">
        <v>-1.7000000000000001E-2</v>
      </c>
    </row>
    <row r="2685" spans="1:4" x14ac:dyDescent="0.35">
      <c r="A2685" t="str">
        <f t="shared" si="41"/>
        <v>97Beta</v>
      </c>
      <c r="B2685">
        <v>97</v>
      </c>
      <c r="C2685" s="9" t="s">
        <v>24</v>
      </c>
      <c r="D2685" s="8">
        <v>9.4E-2</v>
      </c>
    </row>
    <row r="2686" spans="1:4" x14ac:dyDescent="0.35">
      <c r="A2686" t="str">
        <f t="shared" si="41"/>
        <v>97Annual Standard Deviation</v>
      </c>
      <c r="B2686">
        <v>97</v>
      </c>
      <c r="C2686" s="9" t="s">
        <v>35</v>
      </c>
      <c r="D2686" s="8">
        <v>1.7999999999999999E-2</v>
      </c>
    </row>
    <row r="2687" spans="1:4" x14ac:dyDescent="0.35">
      <c r="A2687" t="str">
        <f t="shared" si="41"/>
        <v>97Annual Variance</v>
      </c>
      <c r="B2687">
        <v>97</v>
      </c>
      <c r="C2687" s="9" t="s">
        <v>36</v>
      </c>
      <c r="D2687" s="8">
        <v>0</v>
      </c>
    </row>
    <row r="2688" spans="1:4" x14ac:dyDescent="0.35">
      <c r="A2688" t="str">
        <f t="shared" si="41"/>
        <v>97Information Ratio</v>
      </c>
      <c r="B2688">
        <v>97</v>
      </c>
      <c r="C2688" s="9" t="s">
        <v>37</v>
      </c>
      <c r="D2688" s="8">
        <v>-1.1930000000000001</v>
      </c>
    </row>
    <row r="2689" spans="1:4" x14ac:dyDescent="0.35">
      <c r="A2689" t="str">
        <f t="shared" si="41"/>
        <v>97Tracking Error</v>
      </c>
      <c r="B2689">
        <v>97</v>
      </c>
      <c r="C2689" s="9" t="s">
        <v>38</v>
      </c>
      <c r="D2689" s="8">
        <v>6.3E-2</v>
      </c>
    </row>
    <row r="2690" spans="1:4" x14ac:dyDescent="0.35">
      <c r="A2690" t="str">
        <f t="shared" si="41"/>
        <v>97Treynor Ratio</v>
      </c>
      <c r="B2690">
        <v>97</v>
      </c>
      <c r="C2690" s="9" t="s">
        <v>39</v>
      </c>
      <c r="D2690" s="8">
        <v>-0.11899999999999999</v>
      </c>
    </row>
    <row r="2691" spans="1:4" x14ac:dyDescent="0.35">
      <c r="A2691" t="str">
        <f t="shared" ref="A2691:A2754" si="42">B2691&amp;C2691</f>
        <v>97Total Fees</v>
      </c>
      <c r="B2691">
        <v>97</v>
      </c>
      <c r="C2691" s="9" t="s">
        <v>40</v>
      </c>
      <c r="D2691" s="8">
        <v>0</v>
      </c>
    </row>
    <row r="2692" spans="1:4" x14ac:dyDescent="0.35">
      <c r="A2692" t="str">
        <f t="shared" si="42"/>
        <v>97Estimated Strategy Capacity</v>
      </c>
      <c r="B2692">
        <v>97</v>
      </c>
      <c r="C2692" s="9" t="s">
        <v>41</v>
      </c>
      <c r="D2692" s="8">
        <v>49000000</v>
      </c>
    </row>
    <row r="2693" spans="1:4" x14ac:dyDescent="0.35">
      <c r="A2693" t="str">
        <f t="shared" si="42"/>
        <v>96PSR</v>
      </c>
      <c r="B2693">
        <v>96</v>
      </c>
      <c r="C2693" s="9" t="s">
        <v>27</v>
      </c>
      <c r="D2693" s="8">
        <v>0.31552000000000002</v>
      </c>
    </row>
    <row r="2694" spans="1:4" x14ac:dyDescent="0.35">
      <c r="A2694" t="str">
        <f t="shared" si="42"/>
        <v>96Sharpe Ratio</v>
      </c>
      <c r="B2694">
        <v>96</v>
      </c>
      <c r="C2694" s="9" t="s">
        <v>1</v>
      </c>
      <c r="D2694" s="8">
        <v>0.59899999999999998</v>
      </c>
    </row>
    <row r="2695" spans="1:4" x14ac:dyDescent="0.35">
      <c r="A2695" t="str">
        <f t="shared" si="42"/>
        <v>96Total Trades</v>
      </c>
      <c r="B2695">
        <v>96</v>
      </c>
      <c r="C2695" s="9" t="s">
        <v>28</v>
      </c>
      <c r="D2695" s="8">
        <v>697</v>
      </c>
    </row>
    <row r="2696" spans="1:4" x14ac:dyDescent="0.35">
      <c r="A2696" t="str">
        <f t="shared" si="42"/>
        <v>96Average Win</v>
      </c>
      <c r="B2696">
        <v>96</v>
      </c>
      <c r="C2696" s="9" t="s">
        <v>25</v>
      </c>
      <c r="D2696" s="8">
        <v>0.1084</v>
      </c>
    </row>
    <row r="2697" spans="1:4" x14ac:dyDescent="0.35">
      <c r="A2697" t="str">
        <f t="shared" si="42"/>
        <v>96Average Loss</v>
      </c>
      <c r="B2697">
        <v>96</v>
      </c>
      <c r="C2697" s="9" t="s">
        <v>29</v>
      </c>
      <c r="D2697" s="8">
        <v>-7.6399999999999996E-2</v>
      </c>
    </row>
    <row r="2698" spans="1:4" x14ac:dyDescent="0.35">
      <c r="A2698" t="str">
        <f t="shared" si="42"/>
        <v>96Compounding Annual Return</v>
      </c>
      <c r="B2698">
        <v>96</v>
      </c>
      <c r="C2698" s="9" t="s">
        <v>30</v>
      </c>
      <c r="D2698" s="8">
        <v>0.21239</v>
      </c>
    </row>
    <row r="2699" spans="1:4" x14ac:dyDescent="0.35">
      <c r="A2699" t="str">
        <f t="shared" si="42"/>
        <v>96Drawdown</v>
      </c>
      <c r="B2699">
        <v>96</v>
      </c>
      <c r="C2699" s="9" t="s">
        <v>8</v>
      </c>
      <c r="D2699" s="8">
        <v>0.40899999999999997</v>
      </c>
    </row>
    <row r="2700" spans="1:4" x14ac:dyDescent="0.35">
      <c r="A2700" t="str">
        <f t="shared" si="42"/>
        <v>96Expectancy</v>
      </c>
      <c r="B2700">
        <v>96</v>
      </c>
      <c r="C2700" s="9" t="s">
        <v>31</v>
      </c>
      <c r="D2700" s="8">
        <v>0.157</v>
      </c>
    </row>
    <row r="2701" spans="1:4" x14ac:dyDescent="0.35">
      <c r="A2701" t="str">
        <f t="shared" si="42"/>
        <v>96Net Profit</v>
      </c>
      <c r="B2701">
        <v>96</v>
      </c>
      <c r="C2701" s="9" t="s">
        <v>32</v>
      </c>
      <c r="D2701" s="8">
        <v>0.13259000000000001</v>
      </c>
    </row>
    <row r="2702" spans="1:4" x14ac:dyDescent="0.35">
      <c r="A2702" t="str">
        <f t="shared" si="42"/>
        <v>96Loss Rate</v>
      </c>
      <c r="B2702">
        <v>96</v>
      </c>
      <c r="C2702" s="9" t="s">
        <v>33</v>
      </c>
      <c r="D2702" s="8">
        <v>0.52</v>
      </c>
    </row>
    <row r="2703" spans="1:4" x14ac:dyDescent="0.35">
      <c r="A2703" t="str">
        <f t="shared" si="42"/>
        <v>96Win Rate</v>
      </c>
      <c r="B2703">
        <v>96</v>
      </c>
      <c r="C2703" s="9" t="s">
        <v>34</v>
      </c>
      <c r="D2703" s="8">
        <v>0.48</v>
      </c>
    </row>
    <row r="2704" spans="1:4" x14ac:dyDescent="0.35">
      <c r="A2704" t="str">
        <f t="shared" si="42"/>
        <v>96Profit-Loss Ratio</v>
      </c>
      <c r="B2704">
        <v>96</v>
      </c>
      <c r="C2704" s="9" t="s">
        <v>26</v>
      </c>
      <c r="D2704" s="8">
        <v>1.42</v>
      </c>
    </row>
    <row r="2705" spans="1:4" x14ac:dyDescent="0.35">
      <c r="A2705" t="str">
        <f t="shared" si="42"/>
        <v>96Alpha</v>
      </c>
      <c r="B2705">
        <v>96</v>
      </c>
      <c r="C2705" s="9" t="s">
        <v>23</v>
      </c>
      <c r="D2705" s="8">
        <v>0.13700000000000001</v>
      </c>
    </row>
    <row r="2706" spans="1:4" x14ac:dyDescent="0.35">
      <c r="A2706" t="str">
        <f t="shared" si="42"/>
        <v>96Beta</v>
      </c>
      <c r="B2706">
        <v>96</v>
      </c>
      <c r="C2706" s="9" t="s">
        <v>24</v>
      </c>
      <c r="D2706" s="8">
        <v>3.4239999999999999</v>
      </c>
    </row>
    <row r="2707" spans="1:4" x14ac:dyDescent="0.35">
      <c r="A2707" t="str">
        <f t="shared" si="42"/>
        <v>96Annual Standard Deviation</v>
      </c>
      <c r="B2707">
        <v>96</v>
      </c>
      <c r="C2707" s="9" t="s">
        <v>35</v>
      </c>
      <c r="D2707" s="8">
        <v>0.59299999999999997</v>
      </c>
    </row>
    <row r="2708" spans="1:4" x14ac:dyDescent="0.35">
      <c r="A2708" t="str">
        <f t="shared" si="42"/>
        <v>96Annual Variance</v>
      </c>
      <c r="B2708">
        <v>96</v>
      </c>
      <c r="C2708" s="9" t="s">
        <v>36</v>
      </c>
      <c r="D2708" s="8">
        <v>0.35199999999999998</v>
      </c>
    </row>
    <row r="2709" spans="1:4" x14ac:dyDescent="0.35">
      <c r="A2709" t="str">
        <f t="shared" si="42"/>
        <v>96Information Ratio</v>
      </c>
      <c r="B2709">
        <v>96</v>
      </c>
      <c r="C2709" s="9" t="s">
        <v>37</v>
      </c>
      <c r="D2709" s="8">
        <v>0.51</v>
      </c>
    </row>
    <row r="2710" spans="1:4" x14ac:dyDescent="0.35">
      <c r="A2710" t="str">
        <f t="shared" si="42"/>
        <v>96Tracking Error</v>
      </c>
      <c r="B2710">
        <v>96</v>
      </c>
      <c r="C2710" s="9" t="s">
        <v>38</v>
      </c>
      <c r="D2710" s="8">
        <v>0.57099999999999995</v>
      </c>
    </row>
    <row r="2711" spans="1:4" x14ac:dyDescent="0.35">
      <c r="A2711" t="str">
        <f t="shared" si="42"/>
        <v>96Treynor Ratio</v>
      </c>
      <c r="B2711">
        <v>96</v>
      </c>
      <c r="C2711" s="9" t="s">
        <v>39</v>
      </c>
      <c r="D2711" s="8">
        <v>0.104</v>
      </c>
    </row>
    <row r="2712" spans="1:4" x14ac:dyDescent="0.35">
      <c r="A2712" t="str">
        <f t="shared" si="42"/>
        <v>96Total Fees</v>
      </c>
      <c r="B2712">
        <v>96</v>
      </c>
      <c r="C2712" s="9" t="s">
        <v>40</v>
      </c>
      <c r="D2712" s="8">
        <v>0</v>
      </c>
    </row>
    <row r="2713" spans="1:4" x14ac:dyDescent="0.35">
      <c r="A2713" t="str">
        <f t="shared" si="42"/>
        <v>96Estimated Strategy Capacity</v>
      </c>
      <c r="B2713">
        <v>96</v>
      </c>
      <c r="C2713" s="9" t="s">
        <v>41</v>
      </c>
      <c r="D2713" s="8">
        <v>41000000</v>
      </c>
    </row>
    <row r="2714" spans="1:4" x14ac:dyDescent="0.35">
      <c r="A2714" t="str">
        <f t="shared" si="42"/>
        <v>95PSR</v>
      </c>
      <c r="B2714">
        <v>95</v>
      </c>
      <c r="C2714" s="9" t="s">
        <v>27</v>
      </c>
      <c r="D2714" s="8">
        <v>0.24454000000000001</v>
      </c>
    </row>
    <row r="2715" spans="1:4" x14ac:dyDescent="0.35">
      <c r="A2715" t="str">
        <f t="shared" si="42"/>
        <v>95Sharpe Ratio</v>
      </c>
      <c r="B2715">
        <v>95</v>
      </c>
      <c r="C2715" s="9" t="s">
        <v>1</v>
      </c>
      <c r="D2715" s="8">
        <v>0.29399999999999998</v>
      </c>
    </row>
    <row r="2716" spans="1:4" x14ac:dyDescent="0.35">
      <c r="A2716" t="str">
        <f t="shared" si="42"/>
        <v>95Total Trades</v>
      </c>
      <c r="B2716">
        <v>95</v>
      </c>
      <c r="C2716" s="9" t="s">
        <v>28</v>
      </c>
      <c r="D2716" s="8">
        <v>697</v>
      </c>
    </row>
    <row r="2717" spans="1:4" x14ac:dyDescent="0.35">
      <c r="A2717" t="str">
        <f t="shared" si="42"/>
        <v>95Average Win</v>
      </c>
      <c r="B2717">
        <v>95</v>
      </c>
      <c r="C2717" s="9" t="s">
        <v>25</v>
      </c>
      <c r="D2717" s="8">
        <v>2.0899999999999998E-2</v>
      </c>
    </row>
    <row r="2718" spans="1:4" x14ac:dyDescent="0.35">
      <c r="A2718" t="str">
        <f t="shared" si="42"/>
        <v>95Average Loss</v>
      </c>
      <c r="B2718">
        <v>95</v>
      </c>
      <c r="C2718" s="9" t="s">
        <v>29</v>
      </c>
      <c r="D2718" s="8">
        <v>-1.6500000000000001E-2</v>
      </c>
    </row>
    <row r="2719" spans="1:4" x14ac:dyDescent="0.35">
      <c r="A2719" t="str">
        <f t="shared" si="42"/>
        <v>95Compounding Annual Return</v>
      </c>
      <c r="B2719">
        <v>95</v>
      </c>
      <c r="C2719" s="9" t="s">
        <v>30</v>
      </c>
      <c r="D2719" s="8">
        <v>4.1320000000000003E-2</v>
      </c>
    </row>
    <row r="2720" spans="1:4" x14ac:dyDescent="0.35">
      <c r="A2720" t="str">
        <f t="shared" si="42"/>
        <v>95Drawdown</v>
      </c>
      <c r="B2720">
        <v>95</v>
      </c>
      <c r="C2720" s="9" t="s">
        <v>8</v>
      </c>
      <c r="D2720" s="8">
        <v>0.104</v>
      </c>
    </row>
    <row r="2721" spans="1:4" x14ac:dyDescent="0.35">
      <c r="A2721" t="str">
        <f t="shared" si="42"/>
        <v>95Expectancy</v>
      </c>
      <c r="B2721">
        <v>95</v>
      </c>
      <c r="C2721" s="9" t="s">
        <v>31</v>
      </c>
      <c r="D2721" s="8">
        <v>8.5999999999999993E-2</v>
      </c>
    </row>
    <row r="2722" spans="1:4" x14ac:dyDescent="0.35">
      <c r="A2722" t="str">
        <f t="shared" si="42"/>
        <v>95Net Profit</v>
      </c>
      <c r="B2722">
        <v>95</v>
      </c>
      <c r="C2722" s="9" t="s">
        <v>32</v>
      </c>
      <c r="D2722" s="8">
        <v>2.6519999999999998E-2</v>
      </c>
    </row>
    <row r="2723" spans="1:4" x14ac:dyDescent="0.35">
      <c r="A2723" t="str">
        <f t="shared" si="42"/>
        <v>95Loss Rate</v>
      </c>
      <c r="B2723">
        <v>95</v>
      </c>
      <c r="C2723" s="9" t="s">
        <v>33</v>
      </c>
      <c r="D2723" s="8">
        <v>0.52</v>
      </c>
    </row>
    <row r="2724" spans="1:4" x14ac:dyDescent="0.35">
      <c r="A2724" t="str">
        <f t="shared" si="42"/>
        <v>95Win Rate</v>
      </c>
      <c r="B2724">
        <v>95</v>
      </c>
      <c r="C2724" s="9" t="s">
        <v>34</v>
      </c>
      <c r="D2724" s="8">
        <v>0.48</v>
      </c>
    </row>
    <row r="2725" spans="1:4" x14ac:dyDescent="0.35">
      <c r="A2725" t="str">
        <f t="shared" si="42"/>
        <v>95Profit-Loss Ratio</v>
      </c>
      <c r="B2725">
        <v>95</v>
      </c>
      <c r="C2725" s="9" t="s">
        <v>26</v>
      </c>
      <c r="D2725" s="8">
        <v>1.27</v>
      </c>
    </row>
    <row r="2726" spans="1:4" x14ac:dyDescent="0.35">
      <c r="A2726" t="str">
        <f t="shared" si="42"/>
        <v>95Alpha</v>
      </c>
      <c r="B2726">
        <v>95</v>
      </c>
      <c r="C2726" s="9" t="s">
        <v>23</v>
      </c>
      <c r="D2726" s="8">
        <v>-0.01</v>
      </c>
    </row>
    <row r="2727" spans="1:4" x14ac:dyDescent="0.35">
      <c r="A2727" t="str">
        <f t="shared" si="42"/>
        <v>95Beta</v>
      </c>
      <c r="B2727">
        <v>95</v>
      </c>
      <c r="C2727" s="9" t="s">
        <v>24</v>
      </c>
      <c r="D2727" s="8">
        <v>0.72499999999999998</v>
      </c>
    </row>
    <row r="2728" spans="1:4" x14ac:dyDescent="0.35">
      <c r="A2728" t="str">
        <f t="shared" si="42"/>
        <v>95Annual Standard Deviation</v>
      </c>
      <c r="B2728">
        <v>95</v>
      </c>
      <c r="C2728" s="9" t="s">
        <v>35</v>
      </c>
      <c r="D2728" s="8">
        <v>0.123</v>
      </c>
    </row>
    <row r="2729" spans="1:4" x14ac:dyDescent="0.35">
      <c r="A2729" t="str">
        <f t="shared" si="42"/>
        <v>95Annual Variance</v>
      </c>
      <c r="B2729">
        <v>95</v>
      </c>
      <c r="C2729" s="9" t="s">
        <v>36</v>
      </c>
      <c r="D2729" s="8">
        <v>1.4999999999999999E-2</v>
      </c>
    </row>
    <row r="2730" spans="1:4" x14ac:dyDescent="0.35">
      <c r="A2730" t="str">
        <f t="shared" si="42"/>
        <v>95Information Ratio</v>
      </c>
      <c r="B2730">
        <v>95</v>
      </c>
      <c r="C2730" s="9" t="s">
        <v>37</v>
      </c>
      <c r="D2730" s="8">
        <v>-0.23899999999999999</v>
      </c>
    </row>
    <row r="2731" spans="1:4" x14ac:dyDescent="0.35">
      <c r="A2731" t="str">
        <f t="shared" si="42"/>
        <v>95Tracking Error</v>
      </c>
      <c r="B2731">
        <v>95</v>
      </c>
      <c r="C2731" s="9" t="s">
        <v>38</v>
      </c>
      <c r="D2731" s="8">
        <v>0.115</v>
      </c>
    </row>
    <row r="2732" spans="1:4" x14ac:dyDescent="0.35">
      <c r="A2732" t="str">
        <f t="shared" si="42"/>
        <v>95Treynor Ratio</v>
      </c>
      <c r="B2732">
        <v>95</v>
      </c>
      <c r="C2732" s="9" t="s">
        <v>39</v>
      </c>
      <c r="D2732" s="8">
        <v>0.05</v>
      </c>
    </row>
    <row r="2733" spans="1:4" x14ac:dyDescent="0.35">
      <c r="A2733" t="str">
        <f t="shared" si="42"/>
        <v>95Total Fees</v>
      </c>
      <c r="B2733">
        <v>95</v>
      </c>
      <c r="C2733" s="9" t="s">
        <v>40</v>
      </c>
      <c r="D2733" s="8">
        <v>0</v>
      </c>
    </row>
    <row r="2734" spans="1:4" x14ac:dyDescent="0.35">
      <c r="A2734" t="str">
        <f t="shared" si="42"/>
        <v>95Estimated Strategy Capacity</v>
      </c>
      <c r="B2734">
        <v>95</v>
      </c>
      <c r="C2734" s="9" t="s">
        <v>41</v>
      </c>
      <c r="D2734" s="8">
        <v>180000000</v>
      </c>
    </row>
    <row r="2735" spans="1:4" x14ac:dyDescent="0.35">
      <c r="A2735" t="str">
        <f t="shared" si="42"/>
        <v>94PSR</v>
      </c>
      <c r="B2735">
        <v>94</v>
      </c>
      <c r="C2735" s="9" t="s">
        <v>27</v>
      </c>
      <c r="D2735" s="8">
        <v>0.22853999999999999</v>
      </c>
    </row>
    <row r="2736" spans="1:4" x14ac:dyDescent="0.35">
      <c r="A2736" t="str">
        <f t="shared" si="42"/>
        <v>94Sharpe Ratio</v>
      </c>
      <c r="B2736">
        <v>94</v>
      </c>
      <c r="C2736" s="9" t="s">
        <v>1</v>
      </c>
      <c r="D2736" s="8">
        <v>0.23400000000000001</v>
      </c>
    </row>
    <row r="2737" spans="1:4" x14ac:dyDescent="0.35">
      <c r="A2737" t="str">
        <f t="shared" si="42"/>
        <v>94Total Trades</v>
      </c>
      <c r="B2737">
        <v>94</v>
      </c>
      <c r="C2737" s="9" t="s">
        <v>28</v>
      </c>
      <c r="D2737" s="8">
        <v>697</v>
      </c>
    </row>
    <row r="2738" spans="1:4" x14ac:dyDescent="0.35">
      <c r="A2738" t="str">
        <f t="shared" si="42"/>
        <v>94Average Win</v>
      </c>
      <c r="B2738">
        <v>94</v>
      </c>
      <c r="C2738" s="9" t="s">
        <v>25</v>
      </c>
      <c r="D2738" s="8">
        <v>2.0999999999999999E-3</v>
      </c>
    </row>
    <row r="2739" spans="1:4" x14ac:dyDescent="0.35">
      <c r="A2739" t="str">
        <f t="shared" si="42"/>
        <v>94Average Loss</v>
      </c>
      <c r="B2739">
        <v>94</v>
      </c>
      <c r="C2739" s="9" t="s">
        <v>29</v>
      </c>
      <c r="D2739" s="8">
        <v>-1.6999999999999999E-3</v>
      </c>
    </row>
    <row r="2740" spans="1:4" x14ac:dyDescent="0.35">
      <c r="A2740" t="str">
        <f t="shared" si="42"/>
        <v>94Compounding Annual Return</v>
      </c>
      <c r="B2740">
        <v>94</v>
      </c>
      <c r="C2740" s="9" t="s">
        <v>30</v>
      </c>
      <c r="D2740" s="8">
        <v>4.1000000000000003E-3</v>
      </c>
    </row>
    <row r="2741" spans="1:4" x14ac:dyDescent="0.35">
      <c r="A2741" t="str">
        <f t="shared" si="42"/>
        <v>94Drawdown</v>
      </c>
      <c r="B2741">
        <v>94</v>
      </c>
      <c r="C2741" s="9" t="s">
        <v>8</v>
      </c>
      <c r="D2741" s="8">
        <v>1.0999999999999999E-2</v>
      </c>
    </row>
    <row r="2742" spans="1:4" x14ac:dyDescent="0.35">
      <c r="A2742" t="str">
        <f t="shared" si="42"/>
        <v>94Expectancy</v>
      </c>
      <c r="B2742">
        <v>94</v>
      </c>
      <c r="C2742" s="9" t="s">
        <v>31</v>
      </c>
      <c r="D2742" s="8">
        <v>7.0999999999999994E-2</v>
      </c>
    </row>
    <row r="2743" spans="1:4" x14ac:dyDescent="0.35">
      <c r="A2743" t="str">
        <f t="shared" si="42"/>
        <v>94Net Profit</v>
      </c>
      <c r="B2743">
        <v>94</v>
      </c>
      <c r="C2743" s="9" t="s">
        <v>32</v>
      </c>
      <c r="D2743" s="8">
        <v>2.65E-3</v>
      </c>
    </row>
    <row r="2744" spans="1:4" x14ac:dyDescent="0.35">
      <c r="A2744" t="str">
        <f t="shared" si="42"/>
        <v>94Loss Rate</v>
      </c>
      <c r="B2744">
        <v>94</v>
      </c>
      <c r="C2744" s="9" t="s">
        <v>33</v>
      </c>
      <c r="D2744" s="8">
        <v>0.52</v>
      </c>
    </row>
    <row r="2745" spans="1:4" x14ac:dyDescent="0.35">
      <c r="A2745" t="str">
        <f t="shared" si="42"/>
        <v>94Win Rate</v>
      </c>
      <c r="B2745">
        <v>94</v>
      </c>
      <c r="C2745" s="9" t="s">
        <v>34</v>
      </c>
      <c r="D2745" s="8">
        <v>0.48</v>
      </c>
    </row>
    <row r="2746" spans="1:4" x14ac:dyDescent="0.35">
      <c r="A2746" t="str">
        <f t="shared" si="42"/>
        <v>94Profit-Loss Ratio</v>
      </c>
      <c r="B2746">
        <v>94</v>
      </c>
      <c r="C2746" s="9" t="s">
        <v>26</v>
      </c>
      <c r="D2746" s="8">
        <v>1.24</v>
      </c>
    </row>
    <row r="2747" spans="1:4" x14ac:dyDescent="0.35">
      <c r="A2747" t="str">
        <f t="shared" si="42"/>
        <v>94Alpha</v>
      </c>
      <c r="B2747">
        <v>94</v>
      </c>
      <c r="C2747" s="9" t="s">
        <v>23</v>
      </c>
      <c r="D2747" s="8">
        <v>-2E-3</v>
      </c>
    </row>
    <row r="2748" spans="1:4" x14ac:dyDescent="0.35">
      <c r="A2748" t="str">
        <f t="shared" si="42"/>
        <v>94Beta</v>
      </c>
      <c r="B2748">
        <v>94</v>
      </c>
      <c r="C2748" s="9" t="s">
        <v>24</v>
      </c>
      <c r="D2748" s="8">
        <v>7.3999999999999996E-2</v>
      </c>
    </row>
    <row r="2749" spans="1:4" x14ac:dyDescent="0.35">
      <c r="A2749" t="str">
        <f t="shared" si="42"/>
        <v>94Annual Standard Deviation</v>
      </c>
      <c r="B2749">
        <v>94</v>
      </c>
      <c r="C2749" s="9" t="s">
        <v>35</v>
      </c>
      <c r="D2749" s="8">
        <v>1.2E-2</v>
      </c>
    </row>
    <row r="2750" spans="1:4" x14ac:dyDescent="0.35">
      <c r="A2750" t="str">
        <f t="shared" si="42"/>
        <v>94Annual Variance</v>
      </c>
      <c r="B2750">
        <v>94</v>
      </c>
      <c r="C2750" s="9" t="s">
        <v>36</v>
      </c>
      <c r="D2750" s="8">
        <v>0</v>
      </c>
    </row>
    <row r="2751" spans="1:4" x14ac:dyDescent="0.35">
      <c r="A2751" t="str">
        <f t="shared" si="42"/>
        <v>94Information Ratio</v>
      </c>
      <c r="B2751">
        <v>94</v>
      </c>
      <c r="C2751" s="9" t="s">
        <v>37</v>
      </c>
      <c r="D2751" s="8">
        <v>-0.96599999999999997</v>
      </c>
    </row>
    <row r="2752" spans="1:4" x14ac:dyDescent="0.35">
      <c r="A2752" t="str">
        <f t="shared" si="42"/>
        <v>94Tracking Error</v>
      </c>
      <c r="B2752">
        <v>94</v>
      </c>
      <c r="C2752" s="9" t="s">
        <v>38</v>
      </c>
      <c r="D2752" s="8">
        <v>6.3E-2</v>
      </c>
    </row>
    <row r="2753" spans="1:4" x14ac:dyDescent="0.35">
      <c r="A2753" t="str">
        <f t="shared" si="42"/>
        <v>94Treynor Ratio</v>
      </c>
      <c r="B2753">
        <v>94</v>
      </c>
      <c r="C2753" s="9" t="s">
        <v>39</v>
      </c>
      <c r="D2753" s="8">
        <v>0.04</v>
      </c>
    </row>
    <row r="2754" spans="1:4" x14ac:dyDescent="0.35">
      <c r="A2754" t="str">
        <f t="shared" si="42"/>
        <v>94Total Fees</v>
      </c>
      <c r="B2754">
        <v>94</v>
      </c>
      <c r="C2754" s="9" t="s">
        <v>40</v>
      </c>
      <c r="D2754" s="8">
        <v>0</v>
      </c>
    </row>
    <row r="2755" spans="1:4" x14ac:dyDescent="0.35">
      <c r="A2755" t="str">
        <f t="shared" ref="A2755:A2818" si="43">B2755&amp;C2755</f>
        <v>94Estimated Strategy Capacity</v>
      </c>
      <c r="B2755">
        <v>94</v>
      </c>
      <c r="C2755" s="9" t="s">
        <v>41</v>
      </c>
      <c r="D2755" s="8">
        <v>1700000000</v>
      </c>
    </row>
    <row r="2756" spans="1:4" x14ac:dyDescent="0.35">
      <c r="A2756" t="str">
        <f t="shared" si="43"/>
        <v>93PSR</v>
      </c>
      <c r="B2756">
        <v>93</v>
      </c>
      <c r="C2756" s="9" t="s">
        <v>27</v>
      </c>
      <c r="D2756" s="8">
        <v>0.27012000000000003</v>
      </c>
    </row>
    <row r="2757" spans="1:4" x14ac:dyDescent="0.35">
      <c r="A2757" t="str">
        <f t="shared" si="43"/>
        <v>93Sharpe Ratio</v>
      </c>
      <c r="B2757">
        <v>93</v>
      </c>
      <c r="C2757" s="9" t="s">
        <v>1</v>
      </c>
      <c r="D2757" s="8">
        <v>0.434</v>
      </c>
    </row>
    <row r="2758" spans="1:4" x14ac:dyDescent="0.35">
      <c r="A2758" t="str">
        <f t="shared" si="43"/>
        <v>93Total Trades</v>
      </c>
      <c r="B2758">
        <v>93</v>
      </c>
      <c r="C2758" s="9" t="s">
        <v>28</v>
      </c>
      <c r="D2758" s="8">
        <v>1114</v>
      </c>
    </row>
    <row r="2759" spans="1:4" x14ac:dyDescent="0.35">
      <c r="A2759" t="str">
        <f t="shared" si="43"/>
        <v>93Average Win</v>
      </c>
      <c r="B2759">
        <v>93</v>
      </c>
      <c r="C2759" s="9" t="s">
        <v>25</v>
      </c>
      <c r="D2759" s="8">
        <v>0.11459999999999999</v>
      </c>
    </row>
    <row r="2760" spans="1:4" x14ac:dyDescent="0.35">
      <c r="A2760" t="str">
        <f t="shared" si="43"/>
        <v>93Average Loss</v>
      </c>
      <c r="B2760">
        <v>93</v>
      </c>
      <c r="C2760" s="9" t="s">
        <v>29</v>
      </c>
      <c r="D2760" s="8">
        <v>-7.5200000000000003E-2</v>
      </c>
    </row>
    <row r="2761" spans="1:4" x14ac:dyDescent="0.35">
      <c r="A2761" t="str">
        <f t="shared" si="43"/>
        <v>93Compounding Annual Return</v>
      </c>
      <c r="B2761">
        <v>93</v>
      </c>
      <c r="C2761" s="9" t="s">
        <v>30</v>
      </c>
      <c r="D2761" s="8">
        <v>-0.24571000000000001</v>
      </c>
    </row>
    <row r="2762" spans="1:4" x14ac:dyDescent="0.35">
      <c r="A2762" t="str">
        <f t="shared" si="43"/>
        <v>93Drawdown</v>
      </c>
      <c r="B2762">
        <v>93</v>
      </c>
      <c r="C2762" s="9" t="s">
        <v>8</v>
      </c>
      <c r="D2762" s="8">
        <v>0.70199999999999996</v>
      </c>
    </row>
    <row r="2763" spans="1:4" x14ac:dyDescent="0.35">
      <c r="A2763" t="str">
        <f t="shared" si="43"/>
        <v>93Expectancy</v>
      </c>
      <c r="B2763">
        <v>93</v>
      </c>
      <c r="C2763" s="9" t="s">
        <v>31</v>
      </c>
      <c r="D2763" s="8">
        <v>0.09</v>
      </c>
    </row>
    <row r="2764" spans="1:4" x14ac:dyDescent="0.35">
      <c r="A2764" t="str">
        <f t="shared" si="43"/>
        <v>93Net Profit</v>
      </c>
      <c r="B2764">
        <v>93</v>
      </c>
      <c r="C2764" s="9" t="s">
        <v>32</v>
      </c>
      <c r="D2764" s="8">
        <v>-0.16664000000000001</v>
      </c>
    </row>
    <row r="2765" spans="1:4" x14ac:dyDescent="0.35">
      <c r="A2765" t="str">
        <f t="shared" si="43"/>
        <v>93Loss Rate</v>
      </c>
      <c r="B2765">
        <v>93</v>
      </c>
      <c r="C2765" s="9" t="s">
        <v>33</v>
      </c>
      <c r="D2765" s="8">
        <v>0.56999999999999995</v>
      </c>
    </row>
    <row r="2766" spans="1:4" x14ac:dyDescent="0.35">
      <c r="A2766" t="str">
        <f t="shared" si="43"/>
        <v>93Win Rate</v>
      </c>
      <c r="B2766">
        <v>93</v>
      </c>
      <c r="C2766" s="9" t="s">
        <v>34</v>
      </c>
      <c r="D2766" s="8">
        <v>0.43</v>
      </c>
    </row>
    <row r="2767" spans="1:4" x14ac:dyDescent="0.35">
      <c r="A2767" t="str">
        <f t="shared" si="43"/>
        <v>93Profit-Loss Ratio</v>
      </c>
      <c r="B2767">
        <v>93</v>
      </c>
      <c r="C2767" s="9" t="s">
        <v>26</v>
      </c>
      <c r="D2767" s="8">
        <v>1.52</v>
      </c>
    </row>
    <row r="2768" spans="1:4" x14ac:dyDescent="0.35">
      <c r="A2768" t="str">
        <f t="shared" si="43"/>
        <v>93Alpha</v>
      </c>
      <c r="B2768">
        <v>93</v>
      </c>
      <c r="C2768" s="9" t="s">
        <v>23</v>
      </c>
      <c r="D2768" s="8">
        <v>1.4E-2</v>
      </c>
    </row>
    <row r="2769" spans="1:4" x14ac:dyDescent="0.35">
      <c r="A2769" t="str">
        <f t="shared" si="43"/>
        <v>93Beta</v>
      </c>
      <c r="B2769">
        <v>93</v>
      </c>
      <c r="C2769" s="9" t="s">
        <v>24</v>
      </c>
      <c r="D2769" s="8">
        <v>6.742</v>
      </c>
    </row>
    <row r="2770" spans="1:4" x14ac:dyDescent="0.35">
      <c r="A2770" t="str">
        <f t="shared" si="43"/>
        <v>93Annual Standard Deviation</v>
      </c>
      <c r="B2770">
        <v>93</v>
      </c>
      <c r="C2770" s="9" t="s">
        <v>35</v>
      </c>
      <c r="D2770" s="8">
        <v>1.0209999999999999</v>
      </c>
    </row>
    <row r="2771" spans="1:4" x14ac:dyDescent="0.35">
      <c r="A2771" t="str">
        <f t="shared" si="43"/>
        <v>93Annual Variance</v>
      </c>
      <c r="B2771">
        <v>93</v>
      </c>
      <c r="C2771" s="9" t="s">
        <v>36</v>
      </c>
      <c r="D2771" s="8">
        <v>1.0429999999999999</v>
      </c>
    </row>
    <row r="2772" spans="1:4" x14ac:dyDescent="0.35">
      <c r="A2772" t="str">
        <f t="shared" si="43"/>
        <v>93Information Ratio</v>
      </c>
      <c r="B2772">
        <v>93</v>
      </c>
      <c r="C2772" s="9" t="s">
        <v>37</v>
      </c>
      <c r="D2772" s="8">
        <v>0.38200000000000001</v>
      </c>
    </row>
    <row r="2773" spans="1:4" x14ac:dyDescent="0.35">
      <c r="A2773" t="str">
        <f t="shared" si="43"/>
        <v>93Tracking Error</v>
      </c>
      <c r="B2773">
        <v>93</v>
      </c>
      <c r="C2773" s="9" t="s">
        <v>38</v>
      </c>
      <c r="D2773" s="8">
        <v>0.99299999999999999</v>
      </c>
    </row>
    <row r="2774" spans="1:4" x14ac:dyDescent="0.35">
      <c r="A2774" t="str">
        <f t="shared" si="43"/>
        <v>93Treynor Ratio</v>
      </c>
      <c r="B2774">
        <v>93</v>
      </c>
      <c r="C2774" s="9" t="s">
        <v>39</v>
      </c>
      <c r="D2774" s="8">
        <v>6.6000000000000003E-2</v>
      </c>
    </row>
    <row r="2775" spans="1:4" x14ac:dyDescent="0.35">
      <c r="A2775" t="str">
        <f t="shared" si="43"/>
        <v>93Total Fees</v>
      </c>
      <c r="B2775">
        <v>93</v>
      </c>
      <c r="C2775" s="9" t="s">
        <v>40</v>
      </c>
      <c r="D2775" s="8">
        <v>0</v>
      </c>
    </row>
    <row r="2776" spans="1:4" x14ac:dyDescent="0.35">
      <c r="A2776" t="str">
        <f t="shared" si="43"/>
        <v>93Estimated Strategy Capacity</v>
      </c>
      <c r="B2776">
        <v>93</v>
      </c>
      <c r="C2776" s="9" t="s">
        <v>41</v>
      </c>
      <c r="D2776" s="8">
        <v>1400000</v>
      </c>
    </row>
    <row r="2777" spans="1:4" x14ac:dyDescent="0.35">
      <c r="A2777" t="str">
        <f t="shared" si="43"/>
        <v>92PSR</v>
      </c>
      <c r="B2777">
        <v>92</v>
      </c>
      <c r="C2777" s="9" t="s">
        <v>27</v>
      </c>
      <c r="D2777" s="8">
        <v>0.22938</v>
      </c>
    </row>
    <row r="2778" spans="1:4" x14ac:dyDescent="0.35">
      <c r="A2778" t="str">
        <f t="shared" si="43"/>
        <v>92Sharpe Ratio</v>
      </c>
      <c r="B2778">
        <v>92</v>
      </c>
      <c r="C2778" s="9" t="s">
        <v>1</v>
      </c>
      <c r="D2778" s="8">
        <v>0.22700000000000001</v>
      </c>
    </row>
    <row r="2779" spans="1:4" x14ac:dyDescent="0.35">
      <c r="A2779" t="str">
        <f t="shared" si="43"/>
        <v>92Total Trades</v>
      </c>
      <c r="B2779">
        <v>92</v>
      </c>
      <c r="C2779" s="9" t="s">
        <v>28</v>
      </c>
      <c r="D2779" s="8">
        <v>1133</v>
      </c>
    </row>
    <row r="2780" spans="1:4" x14ac:dyDescent="0.35">
      <c r="A2780" t="str">
        <f t="shared" si="43"/>
        <v>92Average Win</v>
      </c>
      <c r="B2780">
        <v>92</v>
      </c>
      <c r="C2780" s="9" t="s">
        <v>25</v>
      </c>
      <c r="D2780" s="8">
        <v>1.7899999999999999E-2</v>
      </c>
    </row>
    <row r="2781" spans="1:4" x14ac:dyDescent="0.35">
      <c r="A2781" t="str">
        <f t="shared" si="43"/>
        <v>92Average Loss</v>
      </c>
      <c r="B2781">
        <v>92</v>
      </c>
      <c r="C2781" s="9" t="s">
        <v>29</v>
      </c>
      <c r="D2781" s="8">
        <v>-1.6199999999999999E-2</v>
      </c>
    </row>
    <row r="2782" spans="1:4" x14ac:dyDescent="0.35">
      <c r="A2782" t="str">
        <f t="shared" si="43"/>
        <v>92Compounding Annual Return</v>
      </c>
      <c r="B2782">
        <v>92</v>
      </c>
      <c r="C2782" s="9" t="s">
        <v>30</v>
      </c>
      <c r="D2782" s="8">
        <v>3.5279999999999999E-2</v>
      </c>
    </row>
    <row r="2783" spans="1:4" x14ac:dyDescent="0.35">
      <c r="A2783" t="str">
        <f t="shared" si="43"/>
        <v>92Drawdown</v>
      </c>
      <c r="B2783">
        <v>92</v>
      </c>
      <c r="C2783" s="9" t="s">
        <v>8</v>
      </c>
      <c r="D2783" s="8">
        <v>0.193</v>
      </c>
    </row>
    <row r="2784" spans="1:4" x14ac:dyDescent="0.35">
      <c r="A2784" t="str">
        <f t="shared" si="43"/>
        <v>92Expectancy</v>
      </c>
      <c r="B2784">
        <v>92</v>
      </c>
      <c r="C2784" s="9" t="s">
        <v>31</v>
      </c>
      <c r="D2784" s="8">
        <v>0.08</v>
      </c>
    </row>
    <row r="2785" spans="1:4" x14ac:dyDescent="0.35">
      <c r="A2785" t="str">
        <f t="shared" si="43"/>
        <v>92Net Profit</v>
      </c>
      <c r="B2785">
        <v>92</v>
      </c>
      <c r="C2785" s="9" t="s">
        <v>32</v>
      </c>
      <c r="D2785" s="8">
        <v>2.2669999999999999E-2</v>
      </c>
    </row>
    <row r="2786" spans="1:4" x14ac:dyDescent="0.35">
      <c r="A2786" t="str">
        <f t="shared" si="43"/>
        <v>92Loss Rate</v>
      </c>
      <c r="B2786">
        <v>92</v>
      </c>
      <c r="C2786" s="9" t="s">
        <v>33</v>
      </c>
      <c r="D2786" s="8">
        <v>0.49</v>
      </c>
    </row>
    <row r="2787" spans="1:4" x14ac:dyDescent="0.35">
      <c r="A2787" t="str">
        <f t="shared" si="43"/>
        <v>92Win Rate</v>
      </c>
      <c r="B2787">
        <v>92</v>
      </c>
      <c r="C2787" s="9" t="s">
        <v>34</v>
      </c>
      <c r="D2787" s="8">
        <v>0.51</v>
      </c>
    </row>
    <row r="2788" spans="1:4" x14ac:dyDescent="0.35">
      <c r="A2788" t="str">
        <f t="shared" si="43"/>
        <v>92Profit-Loss Ratio</v>
      </c>
      <c r="B2788">
        <v>92</v>
      </c>
      <c r="C2788" s="9" t="s">
        <v>26</v>
      </c>
      <c r="D2788" s="8">
        <v>1.1000000000000001</v>
      </c>
    </row>
    <row r="2789" spans="1:4" x14ac:dyDescent="0.35">
      <c r="A2789" t="str">
        <f t="shared" si="43"/>
        <v>92Alpha</v>
      </c>
      <c r="B2789">
        <v>92</v>
      </c>
      <c r="C2789" s="9" t="s">
        <v>23</v>
      </c>
      <c r="D2789" s="8">
        <v>-3.3000000000000002E-2</v>
      </c>
    </row>
    <row r="2790" spans="1:4" x14ac:dyDescent="0.35">
      <c r="A2790" t="str">
        <f t="shared" si="43"/>
        <v>92Beta</v>
      </c>
      <c r="B2790">
        <v>92</v>
      </c>
      <c r="C2790" s="9" t="s">
        <v>24</v>
      </c>
      <c r="D2790" s="8">
        <v>1.2</v>
      </c>
    </row>
    <row r="2791" spans="1:4" x14ac:dyDescent="0.35">
      <c r="A2791" t="str">
        <f t="shared" si="43"/>
        <v>92Annual Standard Deviation</v>
      </c>
      <c r="B2791">
        <v>92</v>
      </c>
      <c r="C2791" s="9" t="s">
        <v>35</v>
      </c>
      <c r="D2791" s="8">
        <v>0.191</v>
      </c>
    </row>
    <row r="2792" spans="1:4" x14ac:dyDescent="0.35">
      <c r="A2792" t="str">
        <f t="shared" si="43"/>
        <v>92Annual Variance</v>
      </c>
      <c r="B2792">
        <v>92</v>
      </c>
      <c r="C2792" s="9" t="s">
        <v>36</v>
      </c>
      <c r="D2792" s="8">
        <v>3.6999999999999998E-2</v>
      </c>
    </row>
    <row r="2793" spans="1:4" x14ac:dyDescent="0.35">
      <c r="A2793" t="str">
        <f t="shared" si="43"/>
        <v>92Information Ratio</v>
      </c>
      <c r="B2793">
        <v>92</v>
      </c>
      <c r="C2793" s="9" t="s">
        <v>37</v>
      </c>
      <c r="D2793" s="8">
        <v>-0.11600000000000001</v>
      </c>
    </row>
    <row r="2794" spans="1:4" x14ac:dyDescent="0.35">
      <c r="A2794" t="str">
        <f t="shared" si="43"/>
        <v>92Tracking Error</v>
      </c>
      <c r="B2794">
        <v>92</v>
      </c>
      <c r="C2794" s="9" t="s">
        <v>38</v>
      </c>
      <c r="D2794" s="8">
        <v>0.17399999999999999</v>
      </c>
    </row>
    <row r="2795" spans="1:4" x14ac:dyDescent="0.35">
      <c r="A2795" t="str">
        <f t="shared" si="43"/>
        <v>92Treynor Ratio</v>
      </c>
      <c r="B2795">
        <v>92</v>
      </c>
      <c r="C2795" s="9" t="s">
        <v>39</v>
      </c>
      <c r="D2795" s="8">
        <v>3.5999999999999997E-2</v>
      </c>
    </row>
    <row r="2796" spans="1:4" x14ac:dyDescent="0.35">
      <c r="A2796" t="str">
        <f t="shared" si="43"/>
        <v>92Total Fees</v>
      </c>
      <c r="B2796">
        <v>92</v>
      </c>
      <c r="C2796" s="9" t="s">
        <v>40</v>
      </c>
      <c r="D2796" s="8">
        <v>0</v>
      </c>
    </row>
    <row r="2797" spans="1:4" x14ac:dyDescent="0.35">
      <c r="A2797" t="str">
        <f t="shared" si="43"/>
        <v>92Estimated Strategy Capacity</v>
      </c>
      <c r="B2797">
        <v>92</v>
      </c>
      <c r="C2797" s="9" t="s">
        <v>41</v>
      </c>
      <c r="D2797" s="8">
        <v>4100000</v>
      </c>
    </row>
    <row r="2798" spans="1:4" x14ac:dyDescent="0.35">
      <c r="A2798" t="str">
        <f t="shared" si="43"/>
        <v>91PSR</v>
      </c>
      <c r="B2798">
        <v>91</v>
      </c>
      <c r="C2798" s="9" t="s">
        <v>27</v>
      </c>
      <c r="D2798" s="8">
        <v>0.20558000000000001</v>
      </c>
    </row>
    <row r="2799" spans="1:4" x14ac:dyDescent="0.35">
      <c r="A2799" t="str">
        <f t="shared" si="43"/>
        <v>91Sharpe Ratio</v>
      </c>
      <c r="B2799">
        <v>91</v>
      </c>
      <c r="C2799" s="9" t="s">
        <v>1</v>
      </c>
      <c r="D2799" s="8">
        <v>0.13900000000000001</v>
      </c>
    </row>
    <row r="2800" spans="1:4" x14ac:dyDescent="0.35">
      <c r="A2800" t="str">
        <f t="shared" si="43"/>
        <v>91Total Trades</v>
      </c>
      <c r="B2800">
        <v>91</v>
      </c>
      <c r="C2800" s="9" t="s">
        <v>28</v>
      </c>
      <c r="D2800" s="8">
        <v>1133</v>
      </c>
    </row>
    <row r="2801" spans="1:4" x14ac:dyDescent="0.35">
      <c r="A2801" t="str">
        <f t="shared" si="43"/>
        <v>91Average Win</v>
      </c>
      <c r="B2801">
        <v>91</v>
      </c>
      <c r="C2801" s="9" t="s">
        <v>25</v>
      </c>
      <c r="D2801" s="8">
        <v>1.8E-3</v>
      </c>
    </row>
    <row r="2802" spans="1:4" x14ac:dyDescent="0.35">
      <c r="A2802" t="str">
        <f t="shared" si="43"/>
        <v>91Average Loss</v>
      </c>
      <c r="B2802">
        <v>91</v>
      </c>
      <c r="C2802" s="9" t="s">
        <v>29</v>
      </c>
      <c r="D2802" s="8">
        <v>-1.6000000000000001E-3</v>
      </c>
    </row>
    <row r="2803" spans="1:4" x14ac:dyDescent="0.35">
      <c r="A2803" t="str">
        <f t="shared" si="43"/>
        <v>91Compounding Annual Return</v>
      </c>
      <c r="B2803">
        <v>91</v>
      </c>
      <c r="C2803" s="9" t="s">
        <v>30</v>
      </c>
      <c r="D2803" s="8">
        <v>3.5100000000000001E-3</v>
      </c>
    </row>
    <row r="2804" spans="1:4" x14ac:dyDescent="0.35">
      <c r="A2804" t="str">
        <f t="shared" si="43"/>
        <v>91Drawdown</v>
      </c>
      <c r="B2804">
        <v>91</v>
      </c>
      <c r="C2804" s="9" t="s">
        <v>8</v>
      </c>
      <c r="D2804" s="8">
        <v>0.02</v>
      </c>
    </row>
    <row r="2805" spans="1:4" x14ac:dyDescent="0.35">
      <c r="A2805" t="str">
        <f t="shared" si="43"/>
        <v>91Expectancy</v>
      </c>
      <c r="B2805">
        <v>91</v>
      </c>
      <c r="C2805" s="9" t="s">
        <v>31</v>
      </c>
      <c r="D2805" s="8">
        <v>6.5000000000000002E-2</v>
      </c>
    </row>
    <row r="2806" spans="1:4" x14ac:dyDescent="0.35">
      <c r="A2806" t="str">
        <f t="shared" si="43"/>
        <v>91Net Profit</v>
      </c>
      <c r="B2806">
        <v>91</v>
      </c>
      <c r="C2806" s="9" t="s">
        <v>32</v>
      </c>
      <c r="D2806" s="8">
        <v>2.2699999999999999E-3</v>
      </c>
    </row>
    <row r="2807" spans="1:4" x14ac:dyDescent="0.35">
      <c r="A2807" t="str">
        <f t="shared" si="43"/>
        <v>91Loss Rate</v>
      </c>
      <c r="B2807">
        <v>91</v>
      </c>
      <c r="C2807" s="9" t="s">
        <v>33</v>
      </c>
      <c r="D2807" s="8">
        <v>0.49</v>
      </c>
    </row>
    <row r="2808" spans="1:4" x14ac:dyDescent="0.35">
      <c r="A2808" t="str">
        <f t="shared" si="43"/>
        <v>91Win Rate</v>
      </c>
      <c r="B2808">
        <v>91</v>
      </c>
      <c r="C2808" s="9" t="s">
        <v>34</v>
      </c>
      <c r="D2808" s="8">
        <v>0.51</v>
      </c>
    </row>
    <row r="2809" spans="1:4" x14ac:dyDescent="0.35">
      <c r="A2809" t="str">
        <f t="shared" si="43"/>
        <v>91Profit-Loss Ratio</v>
      </c>
      <c r="B2809">
        <v>91</v>
      </c>
      <c r="C2809" s="9" t="s">
        <v>26</v>
      </c>
      <c r="D2809" s="8">
        <v>1.07</v>
      </c>
    </row>
    <row r="2810" spans="1:4" x14ac:dyDescent="0.35">
      <c r="A2810" t="str">
        <f t="shared" si="43"/>
        <v>91Alpha</v>
      </c>
      <c r="B2810">
        <v>91</v>
      </c>
      <c r="C2810" s="9" t="s">
        <v>23</v>
      </c>
      <c r="D2810" s="8">
        <v>-5.0000000000000001E-3</v>
      </c>
    </row>
    <row r="2811" spans="1:4" x14ac:dyDescent="0.35">
      <c r="A2811" t="str">
        <f t="shared" si="43"/>
        <v>91Beta</v>
      </c>
      <c r="B2811">
        <v>91</v>
      </c>
      <c r="C2811" s="9" t="s">
        <v>24</v>
      </c>
      <c r="D2811" s="8">
        <v>0.11899999999999999</v>
      </c>
    </row>
    <row r="2812" spans="1:4" x14ac:dyDescent="0.35">
      <c r="A2812" t="str">
        <f t="shared" si="43"/>
        <v>91Annual Standard Deviation</v>
      </c>
      <c r="B2812">
        <v>91</v>
      </c>
      <c r="C2812" s="9" t="s">
        <v>35</v>
      </c>
      <c r="D2812" s="8">
        <v>1.9E-2</v>
      </c>
    </row>
    <row r="2813" spans="1:4" x14ac:dyDescent="0.35">
      <c r="A2813" t="str">
        <f t="shared" si="43"/>
        <v>91Annual Variance</v>
      </c>
      <c r="B2813">
        <v>91</v>
      </c>
      <c r="C2813" s="9" t="s">
        <v>36</v>
      </c>
      <c r="D2813" s="8">
        <v>0</v>
      </c>
    </row>
    <row r="2814" spans="1:4" x14ac:dyDescent="0.35">
      <c r="A2814" t="str">
        <f t="shared" si="43"/>
        <v>91Information Ratio</v>
      </c>
      <c r="B2814">
        <v>91</v>
      </c>
      <c r="C2814" s="9" t="s">
        <v>37</v>
      </c>
      <c r="D2814" s="8">
        <v>-0.998</v>
      </c>
    </row>
    <row r="2815" spans="1:4" x14ac:dyDescent="0.35">
      <c r="A2815" t="str">
        <f t="shared" si="43"/>
        <v>91Tracking Error</v>
      </c>
      <c r="B2815">
        <v>91</v>
      </c>
      <c r="C2815" s="9" t="s">
        <v>38</v>
      </c>
      <c r="D2815" s="8">
        <v>6.0999999999999999E-2</v>
      </c>
    </row>
    <row r="2816" spans="1:4" x14ac:dyDescent="0.35">
      <c r="A2816" t="str">
        <f t="shared" si="43"/>
        <v>91Treynor Ratio</v>
      </c>
      <c r="B2816">
        <v>91</v>
      </c>
      <c r="C2816" s="9" t="s">
        <v>39</v>
      </c>
      <c r="D2816" s="8">
        <v>2.1999999999999999E-2</v>
      </c>
    </row>
    <row r="2817" spans="1:4" x14ac:dyDescent="0.35">
      <c r="A2817" t="str">
        <f t="shared" si="43"/>
        <v>91Total Fees</v>
      </c>
      <c r="B2817">
        <v>91</v>
      </c>
      <c r="C2817" s="9" t="s">
        <v>40</v>
      </c>
      <c r="D2817" s="8">
        <v>0</v>
      </c>
    </row>
    <row r="2818" spans="1:4" x14ac:dyDescent="0.35">
      <c r="A2818" t="str">
        <f t="shared" si="43"/>
        <v>91Estimated Strategy Capacity</v>
      </c>
      <c r="B2818">
        <v>91</v>
      </c>
      <c r="C2818" s="9" t="s">
        <v>41</v>
      </c>
      <c r="D2818" s="8">
        <v>20000000</v>
      </c>
    </row>
    <row r="2819" spans="1:4" x14ac:dyDescent="0.35">
      <c r="A2819" t="str">
        <f t="shared" ref="A2819:A2882" si="44">B2819&amp;C2819</f>
        <v>81PSR</v>
      </c>
      <c r="B2819">
        <v>81</v>
      </c>
      <c r="C2819" s="9" t="s">
        <v>27</v>
      </c>
      <c r="D2819" s="8">
        <v>0.21754999999999999</v>
      </c>
    </row>
    <row r="2820" spans="1:4" x14ac:dyDescent="0.35">
      <c r="A2820" t="str">
        <f t="shared" si="44"/>
        <v>81Sharpe Ratio</v>
      </c>
      <c r="B2820">
        <v>81</v>
      </c>
      <c r="C2820" s="9" t="s">
        <v>1</v>
      </c>
      <c r="D2820" s="8">
        <v>0.21199999999999999</v>
      </c>
    </row>
    <row r="2821" spans="1:4" x14ac:dyDescent="0.35">
      <c r="A2821" t="str">
        <f t="shared" si="44"/>
        <v>81Total Trades</v>
      </c>
      <c r="B2821">
        <v>81</v>
      </c>
      <c r="C2821" s="9" t="s">
        <v>28</v>
      </c>
      <c r="D2821" s="8">
        <v>284</v>
      </c>
    </row>
    <row r="2822" spans="1:4" x14ac:dyDescent="0.35">
      <c r="A2822" t="str">
        <f t="shared" si="44"/>
        <v>81Average Win</v>
      </c>
      <c r="B2822">
        <v>81</v>
      </c>
      <c r="C2822" s="9" t="s">
        <v>25</v>
      </c>
      <c r="D2822" s="8">
        <v>0.1086</v>
      </c>
    </row>
    <row r="2823" spans="1:4" x14ac:dyDescent="0.35">
      <c r="A2823" t="str">
        <f t="shared" si="44"/>
        <v>81Average Loss</v>
      </c>
      <c r="B2823">
        <v>81</v>
      </c>
      <c r="C2823" s="9" t="s">
        <v>29</v>
      </c>
      <c r="D2823" s="8">
        <v>-6.9599999999999995E-2</v>
      </c>
    </row>
    <row r="2824" spans="1:4" x14ac:dyDescent="0.35">
      <c r="A2824" t="str">
        <f t="shared" si="44"/>
        <v>81Compounding Annual Return</v>
      </c>
      <c r="B2824">
        <v>81</v>
      </c>
      <c r="C2824" s="9" t="s">
        <v>30</v>
      </c>
      <c r="D2824" s="8">
        <v>-0.11747</v>
      </c>
    </row>
    <row r="2825" spans="1:4" x14ac:dyDescent="0.35">
      <c r="A2825" t="str">
        <f t="shared" si="44"/>
        <v>81Drawdown</v>
      </c>
      <c r="B2825">
        <v>81</v>
      </c>
      <c r="C2825" s="9" t="s">
        <v>8</v>
      </c>
      <c r="D2825" s="8">
        <v>0.49199999999999999</v>
      </c>
    </row>
    <row r="2826" spans="1:4" x14ac:dyDescent="0.35">
      <c r="A2826" t="str">
        <f t="shared" si="44"/>
        <v>81Expectancy</v>
      </c>
      <c r="B2826">
        <v>81</v>
      </c>
      <c r="C2826" s="9" t="s">
        <v>31</v>
      </c>
      <c r="D2826" s="8">
        <v>-1.4999999999999999E-2</v>
      </c>
    </row>
    <row r="2827" spans="1:4" x14ac:dyDescent="0.35">
      <c r="A2827" t="str">
        <f t="shared" si="44"/>
        <v>81Net Profit</v>
      </c>
      <c r="B2827">
        <v>81</v>
      </c>
      <c r="C2827" s="9" t="s">
        <v>32</v>
      </c>
      <c r="D2827" s="8">
        <v>-7.7609999999999998E-2</v>
      </c>
    </row>
    <row r="2828" spans="1:4" x14ac:dyDescent="0.35">
      <c r="A2828" t="str">
        <f t="shared" si="44"/>
        <v>81Loss Rate</v>
      </c>
      <c r="B2828">
        <v>81</v>
      </c>
      <c r="C2828" s="9" t="s">
        <v>33</v>
      </c>
      <c r="D2828" s="8">
        <v>0.62</v>
      </c>
    </row>
    <row r="2829" spans="1:4" x14ac:dyDescent="0.35">
      <c r="A2829" t="str">
        <f t="shared" si="44"/>
        <v>81Win Rate</v>
      </c>
      <c r="B2829">
        <v>81</v>
      </c>
      <c r="C2829" s="9" t="s">
        <v>34</v>
      </c>
      <c r="D2829" s="8">
        <v>0.38</v>
      </c>
    </row>
    <row r="2830" spans="1:4" x14ac:dyDescent="0.35">
      <c r="A2830" t="str">
        <f t="shared" si="44"/>
        <v>81Profit-Loss Ratio</v>
      </c>
      <c r="B2830">
        <v>81</v>
      </c>
      <c r="C2830" s="9" t="s">
        <v>26</v>
      </c>
      <c r="D2830" s="8">
        <v>1.56</v>
      </c>
    </row>
    <row r="2831" spans="1:4" x14ac:dyDescent="0.35">
      <c r="A2831" t="str">
        <f t="shared" si="44"/>
        <v>81Alpha</v>
      </c>
      <c r="B2831">
        <v>81</v>
      </c>
      <c r="C2831" s="9" t="s">
        <v>23</v>
      </c>
      <c r="D2831" s="8">
        <v>0.104</v>
      </c>
    </row>
    <row r="2832" spans="1:4" x14ac:dyDescent="0.35">
      <c r="A2832" t="str">
        <f t="shared" si="44"/>
        <v>81Beta</v>
      </c>
      <c r="B2832">
        <v>81</v>
      </c>
      <c r="C2832" s="9" t="s">
        <v>24</v>
      </c>
      <c r="D2832" s="8">
        <v>0.621</v>
      </c>
    </row>
    <row r="2833" spans="1:4" x14ac:dyDescent="0.35">
      <c r="A2833" t="str">
        <f t="shared" si="44"/>
        <v>81Annual Standard Deviation</v>
      </c>
      <c r="B2833">
        <v>81</v>
      </c>
      <c r="C2833" s="9" t="s">
        <v>35</v>
      </c>
      <c r="D2833" s="8">
        <v>0.67600000000000005</v>
      </c>
    </row>
    <row r="2834" spans="1:4" x14ac:dyDescent="0.35">
      <c r="A2834" t="str">
        <f t="shared" si="44"/>
        <v>81Annual Variance</v>
      </c>
      <c r="B2834">
        <v>81</v>
      </c>
      <c r="C2834" s="9" t="s">
        <v>36</v>
      </c>
      <c r="D2834" s="8">
        <v>0.45600000000000002</v>
      </c>
    </row>
    <row r="2835" spans="1:4" x14ac:dyDescent="0.35">
      <c r="A2835" t="str">
        <f t="shared" si="44"/>
        <v>81Information Ratio</v>
      </c>
      <c r="B2835">
        <v>81</v>
      </c>
      <c r="C2835" s="9" t="s">
        <v>37</v>
      </c>
      <c r="D2835" s="8">
        <v>0.11799999999999999</v>
      </c>
    </row>
    <row r="2836" spans="1:4" x14ac:dyDescent="0.35">
      <c r="A2836" t="str">
        <f t="shared" si="44"/>
        <v>81Tracking Error</v>
      </c>
      <c r="B2836">
        <v>81</v>
      </c>
      <c r="C2836" s="9" t="s">
        <v>38</v>
      </c>
      <c r="D2836" s="8">
        <v>0.67500000000000004</v>
      </c>
    </row>
    <row r="2837" spans="1:4" x14ac:dyDescent="0.35">
      <c r="A2837" t="str">
        <f t="shared" si="44"/>
        <v>81Treynor Ratio</v>
      </c>
      <c r="B2837">
        <v>81</v>
      </c>
      <c r="C2837" s="9" t="s">
        <v>39</v>
      </c>
      <c r="D2837" s="8">
        <v>0.23100000000000001</v>
      </c>
    </row>
    <row r="2838" spans="1:4" x14ac:dyDescent="0.35">
      <c r="A2838" t="str">
        <f t="shared" si="44"/>
        <v>81Total Fees</v>
      </c>
      <c r="B2838">
        <v>81</v>
      </c>
      <c r="C2838" s="9" t="s">
        <v>40</v>
      </c>
      <c r="D2838" s="8">
        <v>0</v>
      </c>
    </row>
    <row r="2839" spans="1:4" x14ac:dyDescent="0.35">
      <c r="A2839" t="str">
        <f t="shared" si="44"/>
        <v>81Estimated Strategy Capacity</v>
      </c>
      <c r="B2839">
        <v>81</v>
      </c>
      <c r="C2839" s="9" t="s">
        <v>41</v>
      </c>
      <c r="D2839" s="8">
        <v>6600000</v>
      </c>
    </row>
    <row r="2840" spans="1:4" x14ac:dyDescent="0.35">
      <c r="A2840" t="str">
        <f t="shared" si="44"/>
        <v>80PSR</v>
      </c>
      <c r="B2840">
        <v>80</v>
      </c>
      <c r="C2840" s="9" t="s">
        <v>27</v>
      </c>
      <c r="D2840" s="8">
        <v>0.22600000000000001</v>
      </c>
    </row>
    <row r="2841" spans="1:4" x14ac:dyDescent="0.35">
      <c r="A2841" t="str">
        <f t="shared" si="44"/>
        <v>80Sharpe Ratio</v>
      </c>
      <c r="B2841">
        <v>80</v>
      </c>
      <c r="C2841" s="9" t="s">
        <v>1</v>
      </c>
      <c r="D2841" s="8">
        <v>0.23599999999999999</v>
      </c>
    </row>
    <row r="2842" spans="1:4" x14ac:dyDescent="0.35">
      <c r="A2842" t="str">
        <f t="shared" si="44"/>
        <v>80Total Trades</v>
      </c>
      <c r="B2842">
        <v>80</v>
      </c>
      <c r="C2842" s="9" t="s">
        <v>28</v>
      </c>
      <c r="D2842" s="8">
        <v>285</v>
      </c>
    </row>
    <row r="2843" spans="1:4" x14ac:dyDescent="0.35">
      <c r="A2843" t="str">
        <f t="shared" si="44"/>
        <v>80Average Win</v>
      </c>
      <c r="B2843">
        <v>80</v>
      </c>
      <c r="C2843" s="9" t="s">
        <v>25</v>
      </c>
      <c r="D2843" s="8">
        <v>2.2100000000000002E-2</v>
      </c>
    </row>
    <row r="2844" spans="1:4" x14ac:dyDescent="0.35">
      <c r="A2844" t="str">
        <f t="shared" si="44"/>
        <v>80Average Loss</v>
      </c>
      <c r="B2844">
        <v>80</v>
      </c>
      <c r="C2844" s="9" t="s">
        <v>29</v>
      </c>
      <c r="D2844" s="8">
        <v>-2.1600000000000001E-2</v>
      </c>
    </row>
    <row r="2845" spans="1:4" x14ac:dyDescent="0.35">
      <c r="A2845" t="str">
        <f t="shared" si="44"/>
        <v>80Compounding Annual Return</v>
      </c>
      <c r="B2845">
        <v>80</v>
      </c>
      <c r="C2845" s="9" t="s">
        <v>30</v>
      </c>
      <c r="D2845" s="8">
        <v>3.15E-2</v>
      </c>
    </row>
    <row r="2846" spans="1:4" x14ac:dyDescent="0.35">
      <c r="A2846" t="str">
        <f t="shared" si="44"/>
        <v>80Drawdown</v>
      </c>
      <c r="B2846">
        <v>80</v>
      </c>
      <c r="C2846" s="9" t="s">
        <v>8</v>
      </c>
      <c r="D2846" s="8">
        <v>0.109</v>
      </c>
    </row>
    <row r="2847" spans="1:4" x14ac:dyDescent="0.35">
      <c r="A2847" t="str">
        <f t="shared" si="44"/>
        <v>80Expectancy</v>
      </c>
      <c r="B2847">
        <v>80</v>
      </c>
      <c r="C2847" s="9" t="s">
        <v>31</v>
      </c>
      <c r="D2847" s="8">
        <v>0.123</v>
      </c>
    </row>
    <row r="2848" spans="1:4" x14ac:dyDescent="0.35">
      <c r="A2848" t="str">
        <f t="shared" si="44"/>
        <v>80Net Profit</v>
      </c>
      <c r="B2848">
        <v>80</v>
      </c>
      <c r="C2848" s="9" t="s">
        <v>32</v>
      </c>
      <c r="D2848" s="8">
        <v>2.0250000000000001E-2</v>
      </c>
    </row>
    <row r="2849" spans="1:4" x14ac:dyDescent="0.35">
      <c r="A2849" t="str">
        <f t="shared" si="44"/>
        <v>80Loss Rate</v>
      </c>
      <c r="B2849">
        <v>80</v>
      </c>
      <c r="C2849" s="9" t="s">
        <v>33</v>
      </c>
      <c r="D2849" s="8">
        <v>0.44</v>
      </c>
    </row>
    <row r="2850" spans="1:4" x14ac:dyDescent="0.35">
      <c r="A2850" t="str">
        <f t="shared" si="44"/>
        <v>80Win Rate</v>
      </c>
      <c r="B2850">
        <v>80</v>
      </c>
      <c r="C2850" s="9" t="s">
        <v>34</v>
      </c>
      <c r="D2850" s="8">
        <v>0.56000000000000005</v>
      </c>
    </row>
    <row r="2851" spans="1:4" x14ac:dyDescent="0.35">
      <c r="A2851" t="str">
        <f t="shared" si="44"/>
        <v>80Profit-Loss Ratio</v>
      </c>
      <c r="B2851">
        <v>80</v>
      </c>
      <c r="C2851" s="9" t="s">
        <v>26</v>
      </c>
      <c r="D2851" s="8">
        <v>1.02</v>
      </c>
    </row>
    <row r="2852" spans="1:4" x14ac:dyDescent="0.35">
      <c r="A2852" t="str">
        <f t="shared" si="44"/>
        <v>80Alpha</v>
      </c>
      <c r="B2852">
        <v>80</v>
      </c>
      <c r="C2852" s="9" t="s">
        <v>23</v>
      </c>
      <c r="D2852" s="8">
        <v>2.4E-2</v>
      </c>
    </row>
    <row r="2853" spans="1:4" x14ac:dyDescent="0.35">
      <c r="A2853" t="str">
        <f t="shared" si="44"/>
        <v>80Beta</v>
      </c>
      <c r="B2853">
        <v>80</v>
      </c>
      <c r="C2853" s="9" t="s">
        <v>24</v>
      </c>
      <c r="D2853" s="8">
        <v>9.5000000000000001E-2</v>
      </c>
    </row>
    <row r="2854" spans="1:4" x14ac:dyDescent="0.35">
      <c r="A2854" t="str">
        <f t="shared" si="44"/>
        <v>80Annual Standard Deviation</v>
      </c>
      <c r="B2854">
        <v>80</v>
      </c>
      <c r="C2854" s="9" t="s">
        <v>35</v>
      </c>
      <c r="D2854" s="8">
        <v>0.126</v>
      </c>
    </row>
    <row r="2855" spans="1:4" x14ac:dyDescent="0.35">
      <c r="A2855" t="str">
        <f t="shared" si="44"/>
        <v>80Annual Variance</v>
      </c>
      <c r="B2855">
        <v>80</v>
      </c>
      <c r="C2855" s="9" t="s">
        <v>36</v>
      </c>
      <c r="D2855" s="8">
        <v>1.6E-2</v>
      </c>
    </row>
    <row r="2856" spans="1:4" x14ac:dyDescent="0.35">
      <c r="A2856" t="str">
        <f t="shared" si="44"/>
        <v>80Information Ratio</v>
      </c>
      <c r="B2856">
        <v>80</v>
      </c>
      <c r="C2856" s="9" t="s">
        <v>37</v>
      </c>
      <c r="D2856" s="8">
        <v>-0.24199999999999999</v>
      </c>
    </row>
    <row r="2857" spans="1:4" x14ac:dyDescent="0.35">
      <c r="A2857" t="str">
        <f t="shared" si="44"/>
        <v>80Tracking Error</v>
      </c>
      <c r="B2857">
        <v>80</v>
      </c>
      <c r="C2857" s="9" t="s">
        <v>38</v>
      </c>
      <c r="D2857" s="8">
        <v>0.14000000000000001</v>
      </c>
    </row>
    <row r="2858" spans="1:4" x14ac:dyDescent="0.35">
      <c r="A2858" t="str">
        <f t="shared" si="44"/>
        <v>80Treynor Ratio</v>
      </c>
      <c r="B2858">
        <v>80</v>
      </c>
      <c r="C2858" s="9" t="s">
        <v>39</v>
      </c>
      <c r="D2858" s="8">
        <v>0.314</v>
      </c>
    </row>
    <row r="2859" spans="1:4" x14ac:dyDescent="0.35">
      <c r="A2859" t="str">
        <f t="shared" si="44"/>
        <v>80Total Fees</v>
      </c>
      <c r="B2859">
        <v>80</v>
      </c>
      <c r="C2859" s="9" t="s">
        <v>40</v>
      </c>
      <c r="D2859" s="8">
        <v>0</v>
      </c>
    </row>
    <row r="2860" spans="1:4" x14ac:dyDescent="0.35">
      <c r="A2860" t="str">
        <f t="shared" si="44"/>
        <v>80Estimated Strategy Capacity</v>
      </c>
      <c r="B2860">
        <v>80</v>
      </c>
      <c r="C2860" s="9" t="s">
        <v>41</v>
      </c>
      <c r="D2860" s="8">
        <v>30000000</v>
      </c>
    </row>
    <row r="2861" spans="1:4" x14ac:dyDescent="0.35">
      <c r="A2861" t="str">
        <f t="shared" si="44"/>
        <v>79PSR</v>
      </c>
      <c r="B2861">
        <v>79</v>
      </c>
      <c r="C2861" s="9" t="s">
        <v>27</v>
      </c>
      <c r="D2861" s="8">
        <v>0.21287</v>
      </c>
    </row>
    <row r="2862" spans="1:4" x14ac:dyDescent="0.35">
      <c r="A2862" t="str">
        <f t="shared" si="44"/>
        <v>79Sharpe Ratio</v>
      </c>
      <c r="B2862">
        <v>79</v>
      </c>
      <c r="C2862" s="9" t="s">
        <v>1</v>
      </c>
      <c r="D2862" s="8">
        <v>0.183</v>
      </c>
    </row>
    <row r="2863" spans="1:4" x14ac:dyDescent="0.35">
      <c r="A2863" t="str">
        <f t="shared" si="44"/>
        <v>79Total Trades</v>
      </c>
      <c r="B2863">
        <v>79</v>
      </c>
      <c r="C2863" s="9" t="s">
        <v>28</v>
      </c>
      <c r="D2863" s="8">
        <v>285</v>
      </c>
    </row>
    <row r="2864" spans="1:4" x14ac:dyDescent="0.35">
      <c r="A2864" t="str">
        <f t="shared" si="44"/>
        <v>79Average Win</v>
      </c>
      <c r="B2864">
        <v>79</v>
      </c>
      <c r="C2864" s="9" t="s">
        <v>25</v>
      </c>
      <c r="D2864" s="8">
        <v>2.0999999999999999E-3</v>
      </c>
    </row>
    <row r="2865" spans="1:4" x14ac:dyDescent="0.35">
      <c r="A2865" t="str">
        <f t="shared" si="44"/>
        <v>79Average Loss</v>
      </c>
      <c r="B2865">
        <v>79</v>
      </c>
      <c r="C2865" s="9" t="s">
        <v>29</v>
      </c>
      <c r="D2865" s="8">
        <v>-2.0999999999999999E-3</v>
      </c>
    </row>
    <row r="2866" spans="1:4" x14ac:dyDescent="0.35">
      <c r="A2866" t="str">
        <f t="shared" si="44"/>
        <v>79Compounding Annual Return</v>
      </c>
      <c r="B2866">
        <v>79</v>
      </c>
      <c r="C2866" s="9" t="s">
        <v>30</v>
      </c>
      <c r="D2866" s="8">
        <v>3.13E-3</v>
      </c>
    </row>
    <row r="2867" spans="1:4" x14ac:dyDescent="0.35">
      <c r="A2867" t="str">
        <f t="shared" si="44"/>
        <v>79Drawdown</v>
      </c>
      <c r="B2867">
        <v>79</v>
      </c>
      <c r="C2867" s="9" t="s">
        <v>8</v>
      </c>
      <c r="D2867" s="8">
        <v>1.0999999999999999E-2</v>
      </c>
    </row>
    <row r="2868" spans="1:4" x14ac:dyDescent="0.35">
      <c r="A2868" t="str">
        <f t="shared" si="44"/>
        <v>79Expectancy</v>
      </c>
      <c r="B2868">
        <v>79</v>
      </c>
      <c r="C2868" s="9" t="s">
        <v>31</v>
      </c>
      <c r="D2868" s="8">
        <v>0.111</v>
      </c>
    </row>
    <row r="2869" spans="1:4" x14ac:dyDescent="0.35">
      <c r="A2869" t="str">
        <f t="shared" si="44"/>
        <v>79Net Profit</v>
      </c>
      <c r="B2869">
        <v>79</v>
      </c>
      <c r="C2869" s="9" t="s">
        <v>32</v>
      </c>
      <c r="D2869" s="8">
        <v>2.0300000000000001E-3</v>
      </c>
    </row>
    <row r="2870" spans="1:4" x14ac:dyDescent="0.35">
      <c r="A2870" t="str">
        <f t="shared" si="44"/>
        <v>79Loss Rate</v>
      </c>
      <c r="B2870">
        <v>79</v>
      </c>
      <c r="C2870" s="9" t="s">
        <v>33</v>
      </c>
      <c r="D2870" s="8">
        <v>0.44</v>
      </c>
    </row>
    <row r="2871" spans="1:4" x14ac:dyDescent="0.35">
      <c r="A2871" t="str">
        <f t="shared" si="44"/>
        <v>79Win Rate</v>
      </c>
      <c r="B2871">
        <v>79</v>
      </c>
      <c r="C2871" s="9" t="s">
        <v>34</v>
      </c>
      <c r="D2871" s="8">
        <v>0.56000000000000005</v>
      </c>
    </row>
    <row r="2872" spans="1:4" x14ac:dyDescent="0.35">
      <c r="A2872" t="str">
        <f t="shared" si="44"/>
        <v>79Profit-Loss Ratio</v>
      </c>
      <c r="B2872">
        <v>79</v>
      </c>
      <c r="C2872" s="9" t="s">
        <v>26</v>
      </c>
      <c r="D2872" s="8">
        <v>1</v>
      </c>
    </row>
    <row r="2873" spans="1:4" x14ac:dyDescent="0.35">
      <c r="A2873" t="str">
        <f t="shared" si="44"/>
        <v>79Alpha</v>
      </c>
      <c r="B2873">
        <v>79</v>
      </c>
      <c r="C2873" s="9" t="s">
        <v>23</v>
      </c>
      <c r="D2873" s="8">
        <v>2E-3</v>
      </c>
    </row>
    <row r="2874" spans="1:4" x14ac:dyDescent="0.35">
      <c r="A2874" t="str">
        <f t="shared" si="44"/>
        <v>79Beta</v>
      </c>
      <c r="B2874">
        <v>79</v>
      </c>
      <c r="C2874" s="9" t="s">
        <v>24</v>
      </c>
      <c r="D2874" s="8">
        <v>0.01</v>
      </c>
    </row>
    <row r="2875" spans="1:4" x14ac:dyDescent="0.35">
      <c r="A2875" t="str">
        <f t="shared" si="44"/>
        <v>79Annual Standard Deviation</v>
      </c>
      <c r="B2875">
        <v>79</v>
      </c>
      <c r="C2875" s="9" t="s">
        <v>35</v>
      </c>
      <c r="D2875" s="8">
        <v>1.2E-2</v>
      </c>
    </row>
    <row r="2876" spans="1:4" x14ac:dyDescent="0.35">
      <c r="A2876" t="str">
        <f t="shared" si="44"/>
        <v>79Annual Variance</v>
      </c>
      <c r="B2876">
        <v>79</v>
      </c>
      <c r="C2876" s="9" t="s">
        <v>36</v>
      </c>
      <c r="D2876" s="8">
        <v>0</v>
      </c>
    </row>
    <row r="2877" spans="1:4" x14ac:dyDescent="0.35">
      <c r="A2877" t="str">
        <f t="shared" si="44"/>
        <v>79Information Ratio</v>
      </c>
      <c r="B2877">
        <v>79</v>
      </c>
      <c r="C2877" s="9" t="s">
        <v>37</v>
      </c>
      <c r="D2877" s="8">
        <v>-0.91400000000000003</v>
      </c>
    </row>
    <row r="2878" spans="1:4" x14ac:dyDescent="0.35">
      <c r="A2878" t="str">
        <f t="shared" si="44"/>
        <v>79Tracking Error</v>
      </c>
      <c r="B2878">
        <v>79</v>
      </c>
      <c r="C2878" s="9" t="s">
        <v>38</v>
      </c>
      <c r="D2878" s="8">
        <v>6.7000000000000004E-2</v>
      </c>
    </row>
    <row r="2879" spans="1:4" x14ac:dyDescent="0.35">
      <c r="A2879" t="str">
        <f t="shared" si="44"/>
        <v>79Treynor Ratio</v>
      </c>
      <c r="B2879">
        <v>79</v>
      </c>
      <c r="C2879" s="9" t="s">
        <v>39</v>
      </c>
      <c r="D2879" s="8">
        <v>0.23599999999999999</v>
      </c>
    </row>
    <row r="2880" spans="1:4" x14ac:dyDescent="0.35">
      <c r="A2880" t="str">
        <f t="shared" si="44"/>
        <v>79Total Fees</v>
      </c>
      <c r="B2880">
        <v>79</v>
      </c>
      <c r="C2880" s="9" t="s">
        <v>40</v>
      </c>
      <c r="D2880" s="8">
        <v>0</v>
      </c>
    </row>
    <row r="2881" spans="1:4" x14ac:dyDescent="0.35">
      <c r="A2881" t="str">
        <f t="shared" si="44"/>
        <v>79Estimated Strategy Capacity</v>
      </c>
      <c r="B2881">
        <v>79</v>
      </c>
      <c r="C2881" s="9" t="s">
        <v>41</v>
      </c>
      <c r="D2881" s="8">
        <v>280000000</v>
      </c>
    </row>
    <row r="2882" spans="1:4" x14ac:dyDescent="0.35">
      <c r="A2882" t="str">
        <f t="shared" si="44"/>
        <v>78PSR</v>
      </c>
      <c r="B2882">
        <v>78</v>
      </c>
      <c r="C2882" s="9" t="s">
        <v>27</v>
      </c>
      <c r="D2882" s="8">
        <v>0.42503999999999997</v>
      </c>
    </row>
    <row r="2883" spans="1:4" x14ac:dyDescent="0.35">
      <c r="A2883" t="str">
        <f t="shared" ref="A2883:A2946" si="45">B2883&amp;C2883</f>
        <v>78Sharpe Ratio</v>
      </c>
      <c r="B2883">
        <v>78</v>
      </c>
      <c r="C2883" s="9" t="s">
        <v>1</v>
      </c>
      <c r="D2883" s="8">
        <v>1.208</v>
      </c>
    </row>
    <row r="2884" spans="1:4" x14ac:dyDescent="0.35">
      <c r="A2884" t="str">
        <f t="shared" si="45"/>
        <v>78Total Trades</v>
      </c>
      <c r="B2884">
        <v>78</v>
      </c>
      <c r="C2884" s="9" t="s">
        <v>28</v>
      </c>
      <c r="D2884" s="8">
        <v>388</v>
      </c>
    </row>
    <row r="2885" spans="1:4" x14ac:dyDescent="0.35">
      <c r="A2885" t="str">
        <f t="shared" si="45"/>
        <v>78Average Win</v>
      </c>
      <c r="B2885">
        <v>78</v>
      </c>
      <c r="C2885" s="9" t="s">
        <v>25</v>
      </c>
      <c r="D2885" s="8">
        <v>0.21609999999999999</v>
      </c>
    </row>
    <row r="2886" spans="1:4" x14ac:dyDescent="0.35">
      <c r="A2886" t="str">
        <f t="shared" si="45"/>
        <v>78Average Loss</v>
      </c>
      <c r="B2886">
        <v>78</v>
      </c>
      <c r="C2886" s="9" t="s">
        <v>29</v>
      </c>
      <c r="D2886" s="8">
        <v>-0.1457</v>
      </c>
    </row>
    <row r="2887" spans="1:4" x14ac:dyDescent="0.35">
      <c r="A2887" t="str">
        <f t="shared" si="45"/>
        <v>78Compounding Annual Return</v>
      </c>
      <c r="B2887">
        <v>78</v>
      </c>
      <c r="C2887" s="9" t="s">
        <v>30</v>
      </c>
      <c r="D2887" s="8">
        <v>0.60277999999999998</v>
      </c>
    </row>
    <row r="2888" spans="1:4" x14ac:dyDescent="0.35">
      <c r="A2888" t="str">
        <f t="shared" si="45"/>
        <v>78Drawdown</v>
      </c>
      <c r="B2888">
        <v>78</v>
      </c>
      <c r="C2888" s="9" t="s">
        <v>8</v>
      </c>
      <c r="D2888" s="8">
        <v>0.72299999999999998</v>
      </c>
    </row>
    <row r="2889" spans="1:4" x14ac:dyDescent="0.35">
      <c r="A2889" t="str">
        <f t="shared" si="45"/>
        <v>78Expectancy</v>
      </c>
      <c r="B2889">
        <v>78</v>
      </c>
      <c r="C2889" s="9" t="s">
        <v>31</v>
      </c>
      <c r="D2889" s="8">
        <v>0.32400000000000001</v>
      </c>
    </row>
    <row r="2890" spans="1:4" x14ac:dyDescent="0.35">
      <c r="A2890" t="str">
        <f t="shared" si="45"/>
        <v>78Net Profit</v>
      </c>
      <c r="B2890">
        <v>78</v>
      </c>
      <c r="C2890" s="9" t="s">
        <v>32</v>
      </c>
      <c r="D2890" s="8">
        <v>0.35657</v>
      </c>
    </row>
    <row r="2891" spans="1:4" x14ac:dyDescent="0.35">
      <c r="A2891" t="str">
        <f t="shared" si="45"/>
        <v>78Loss Rate</v>
      </c>
      <c r="B2891">
        <v>78</v>
      </c>
      <c r="C2891" s="9" t="s">
        <v>33</v>
      </c>
      <c r="D2891" s="8">
        <v>0.47</v>
      </c>
    </row>
    <row r="2892" spans="1:4" x14ac:dyDescent="0.35">
      <c r="A2892" t="str">
        <f t="shared" si="45"/>
        <v>78Win Rate</v>
      </c>
      <c r="B2892">
        <v>78</v>
      </c>
      <c r="C2892" s="9" t="s">
        <v>34</v>
      </c>
      <c r="D2892" s="8">
        <v>0.53</v>
      </c>
    </row>
    <row r="2893" spans="1:4" x14ac:dyDescent="0.35">
      <c r="A2893" t="str">
        <f t="shared" si="45"/>
        <v>78Profit-Loss Ratio</v>
      </c>
      <c r="B2893">
        <v>78</v>
      </c>
      <c r="C2893" s="9" t="s">
        <v>26</v>
      </c>
      <c r="D2893" s="8">
        <v>1.48</v>
      </c>
    </row>
    <row r="2894" spans="1:4" x14ac:dyDescent="0.35">
      <c r="A2894" t="str">
        <f t="shared" si="45"/>
        <v>78Alpha</v>
      </c>
      <c r="B2894">
        <v>78</v>
      </c>
      <c r="C2894" s="9" t="s">
        <v>23</v>
      </c>
      <c r="D2894" s="8">
        <v>1.1319999999999999</v>
      </c>
    </row>
    <row r="2895" spans="1:4" x14ac:dyDescent="0.35">
      <c r="A2895" t="str">
        <f t="shared" si="45"/>
        <v>78Beta</v>
      </c>
      <c r="B2895">
        <v>78</v>
      </c>
      <c r="C2895" s="9" t="s">
        <v>24</v>
      </c>
      <c r="D2895" s="8">
        <v>-8.9999999999999993E-3</v>
      </c>
    </row>
    <row r="2896" spans="1:4" x14ac:dyDescent="0.35">
      <c r="A2896" t="str">
        <f t="shared" si="45"/>
        <v>78Annual Standard Deviation</v>
      </c>
      <c r="B2896">
        <v>78</v>
      </c>
      <c r="C2896" s="9" t="s">
        <v>35</v>
      </c>
      <c r="D2896" s="8">
        <v>0.93600000000000005</v>
      </c>
    </row>
    <row r="2897" spans="1:4" x14ac:dyDescent="0.35">
      <c r="A2897" t="str">
        <f t="shared" si="45"/>
        <v>78Annual Variance</v>
      </c>
      <c r="B2897">
        <v>78</v>
      </c>
      <c r="C2897" s="9" t="s">
        <v>36</v>
      </c>
      <c r="D2897" s="8">
        <v>0.877</v>
      </c>
    </row>
    <row r="2898" spans="1:4" x14ac:dyDescent="0.35">
      <c r="A2898" t="str">
        <f t="shared" si="45"/>
        <v>78Information Ratio</v>
      </c>
      <c r="B2898">
        <v>78</v>
      </c>
      <c r="C2898" s="9" t="s">
        <v>37</v>
      </c>
      <c r="D2898" s="8">
        <v>1.137</v>
      </c>
    </row>
    <row r="2899" spans="1:4" x14ac:dyDescent="0.35">
      <c r="A2899" t="str">
        <f t="shared" si="45"/>
        <v>78Tracking Error</v>
      </c>
      <c r="B2899">
        <v>78</v>
      </c>
      <c r="C2899" s="9" t="s">
        <v>38</v>
      </c>
      <c r="D2899" s="8">
        <v>0.93899999999999995</v>
      </c>
    </row>
    <row r="2900" spans="1:4" x14ac:dyDescent="0.35">
      <c r="A2900" t="str">
        <f t="shared" si="45"/>
        <v>78Treynor Ratio</v>
      </c>
      <c r="B2900">
        <v>78</v>
      </c>
      <c r="C2900" s="9" t="s">
        <v>39</v>
      </c>
      <c r="D2900" s="8">
        <v>-123.89700000000001</v>
      </c>
    </row>
    <row r="2901" spans="1:4" x14ac:dyDescent="0.35">
      <c r="A2901" t="str">
        <f t="shared" si="45"/>
        <v>78Total Fees</v>
      </c>
      <c r="B2901">
        <v>78</v>
      </c>
      <c r="C2901" s="9" t="s">
        <v>40</v>
      </c>
      <c r="D2901" s="8">
        <v>0</v>
      </c>
    </row>
    <row r="2902" spans="1:4" x14ac:dyDescent="0.35">
      <c r="A2902" t="str">
        <f t="shared" si="45"/>
        <v>78Estimated Strategy Capacity</v>
      </c>
      <c r="B2902">
        <v>78</v>
      </c>
      <c r="C2902" s="9" t="s">
        <v>41</v>
      </c>
      <c r="D2902" s="8">
        <v>110000000</v>
      </c>
    </row>
    <row r="2903" spans="1:4" x14ac:dyDescent="0.35">
      <c r="A2903" t="str">
        <f t="shared" si="45"/>
        <v>77PSR</v>
      </c>
      <c r="B2903">
        <v>77</v>
      </c>
      <c r="C2903" t="s">
        <v>27</v>
      </c>
      <c r="D2903" s="6">
        <v>0.42574000000000001</v>
      </c>
    </row>
    <row r="2904" spans="1:4" x14ac:dyDescent="0.35">
      <c r="A2904" t="str">
        <f t="shared" si="45"/>
        <v>77Sharpe Ratio</v>
      </c>
      <c r="B2904">
        <v>77</v>
      </c>
      <c r="C2904" t="s">
        <v>1</v>
      </c>
      <c r="D2904" s="6">
        <v>1.212</v>
      </c>
    </row>
    <row r="2905" spans="1:4" x14ac:dyDescent="0.35">
      <c r="A2905" t="str">
        <f t="shared" si="45"/>
        <v>77Total Trades</v>
      </c>
      <c r="B2905">
        <v>77</v>
      </c>
      <c r="C2905" t="s">
        <v>28</v>
      </c>
      <c r="D2905" s="6">
        <v>383</v>
      </c>
    </row>
    <row r="2906" spans="1:4" x14ac:dyDescent="0.35">
      <c r="A2906" t="str">
        <f t="shared" si="45"/>
        <v>77Average Win</v>
      </c>
      <c r="B2906">
        <v>77</v>
      </c>
      <c r="C2906" t="s">
        <v>25</v>
      </c>
      <c r="D2906" s="6">
        <v>0.21609999999999999</v>
      </c>
    </row>
    <row r="2907" spans="1:4" x14ac:dyDescent="0.35">
      <c r="A2907" t="str">
        <f t="shared" si="45"/>
        <v>77Average Loss</v>
      </c>
      <c r="B2907">
        <v>77</v>
      </c>
      <c r="C2907" t="s">
        <v>29</v>
      </c>
      <c r="D2907" s="6">
        <v>-0.1457</v>
      </c>
    </row>
    <row r="2908" spans="1:4" x14ac:dyDescent="0.35">
      <c r="A2908" t="str">
        <f t="shared" si="45"/>
        <v>77Compounding Annual Return</v>
      </c>
      <c r="B2908">
        <v>77</v>
      </c>
      <c r="C2908" t="s">
        <v>30</v>
      </c>
      <c r="D2908" s="6">
        <v>0.60529999999999995</v>
      </c>
    </row>
    <row r="2909" spans="1:4" x14ac:dyDescent="0.35">
      <c r="A2909" t="str">
        <f t="shared" si="45"/>
        <v>77Drawdown</v>
      </c>
      <c r="B2909">
        <v>77</v>
      </c>
      <c r="C2909" t="s">
        <v>8</v>
      </c>
      <c r="D2909" s="6">
        <v>0.72299999999999998</v>
      </c>
    </row>
    <row r="2910" spans="1:4" x14ac:dyDescent="0.35">
      <c r="A2910" t="str">
        <f t="shared" si="45"/>
        <v>77Expectancy</v>
      </c>
      <c r="B2910">
        <v>77</v>
      </c>
      <c r="C2910" t="s">
        <v>31</v>
      </c>
      <c r="D2910" s="6">
        <v>0.32400000000000001</v>
      </c>
    </row>
    <row r="2911" spans="1:4" x14ac:dyDescent="0.35">
      <c r="A2911" t="str">
        <f t="shared" si="45"/>
        <v>77Net Profit</v>
      </c>
      <c r="B2911">
        <v>77</v>
      </c>
      <c r="C2911" t="s">
        <v>32</v>
      </c>
      <c r="D2911" s="6">
        <v>0.35619000000000001</v>
      </c>
    </row>
    <row r="2912" spans="1:4" x14ac:dyDescent="0.35">
      <c r="A2912" t="str">
        <f t="shared" si="45"/>
        <v>77Loss Rate</v>
      </c>
      <c r="B2912">
        <v>77</v>
      </c>
      <c r="C2912" t="s">
        <v>33</v>
      </c>
      <c r="D2912" s="6">
        <v>0.47</v>
      </c>
    </row>
    <row r="2913" spans="1:4" x14ac:dyDescent="0.35">
      <c r="A2913" t="str">
        <f t="shared" si="45"/>
        <v>77Win Rate</v>
      </c>
      <c r="B2913">
        <v>77</v>
      </c>
      <c r="C2913" t="s">
        <v>34</v>
      </c>
      <c r="D2913" s="6">
        <v>0.53</v>
      </c>
    </row>
    <row r="2914" spans="1:4" x14ac:dyDescent="0.35">
      <c r="A2914" t="str">
        <f t="shared" si="45"/>
        <v>77Profit-Loss Ratio</v>
      </c>
      <c r="B2914">
        <v>77</v>
      </c>
      <c r="C2914" t="s">
        <v>26</v>
      </c>
      <c r="D2914" s="6">
        <v>1.48</v>
      </c>
    </row>
    <row r="2915" spans="1:4" x14ac:dyDescent="0.35">
      <c r="A2915" t="str">
        <f t="shared" si="45"/>
        <v>77Alpha</v>
      </c>
      <c r="B2915">
        <v>77</v>
      </c>
      <c r="C2915" t="s">
        <v>23</v>
      </c>
      <c r="D2915" s="6">
        <v>1.139</v>
      </c>
    </row>
    <row r="2916" spans="1:4" x14ac:dyDescent="0.35">
      <c r="A2916" t="str">
        <f t="shared" si="45"/>
        <v>77Beta</v>
      </c>
      <c r="B2916">
        <v>77</v>
      </c>
      <c r="C2916" t="s">
        <v>24</v>
      </c>
      <c r="D2916" s="6">
        <v>-8.9999999999999993E-3</v>
      </c>
    </row>
    <row r="2917" spans="1:4" x14ac:dyDescent="0.35">
      <c r="A2917" t="str">
        <f t="shared" si="45"/>
        <v>77Annual Standard Deviation</v>
      </c>
      <c r="B2917">
        <v>77</v>
      </c>
      <c r="C2917" t="s">
        <v>35</v>
      </c>
      <c r="D2917" s="6">
        <v>0.93799999999999994</v>
      </c>
    </row>
    <row r="2918" spans="1:4" x14ac:dyDescent="0.35">
      <c r="A2918" t="str">
        <f t="shared" si="45"/>
        <v>77Annual Variance</v>
      </c>
      <c r="B2918">
        <v>77</v>
      </c>
      <c r="C2918" t="s">
        <v>36</v>
      </c>
      <c r="D2918" s="6">
        <v>0.88100000000000001</v>
      </c>
    </row>
    <row r="2919" spans="1:4" x14ac:dyDescent="0.35">
      <c r="A2919" t="str">
        <f t="shared" si="45"/>
        <v>77Information Ratio</v>
      </c>
      <c r="B2919">
        <v>77</v>
      </c>
      <c r="C2919" t="s">
        <v>37</v>
      </c>
      <c r="D2919" s="6">
        <v>1.141</v>
      </c>
    </row>
    <row r="2920" spans="1:4" x14ac:dyDescent="0.35">
      <c r="A2920" t="str">
        <f t="shared" si="45"/>
        <v>77Tracking Error</v>
      </c>
      <c r="B2920">
        <v>77</v>
      </c>
      <c r="C2920" t="s">
        <v>38</v>
      </c>
      <c r="D2920" s="6">
        <v>0.94099999999999995</v>
      </c>
    </row>
    <row r="2921" spans="1:4" x14ac:dyDescent="0.35">
      <c r="A2921" t="str">
        <f t="shared" si="45"/>
        <v>77Treynor Ratio</v>
      </c>
      <c r="B2921">
        <v>77</v>
      </c>
      <c r="C2921" t="s">
        <v>39</v>
      </c>
      <c r="D2921" s="6">
        <v>-121.6</v>
      </c>
    </row>
    <row r="2922" spans="1:4" x14ac:dyDescent="0.35">
      <c r="A2922" t="str">
        <f t="shared" si="45"/>
        <v>77Total Fees</v>
      </c>
      <c r="B2922">
        <v>77</v>
      </c>
      <c r="C2922" t="s">
        <v>40</v>
      </c>
      <c r="D2922" s="6">
        <v>0</v>
      </c>
    </row>
    <row r="2923" spans="1:4" x14ac:dyDescent="0.35">
      <c r="A2923" t="str">
        <f t="shared" si="45"/>
        <v>77Estimated Strategy Capacity</v>
      </c>
      <c r="B2923">
        <v>77</v>
      </c>
      <c r="C2923" t="s">
        <v>41</v>
      </c>
      <c r="D2923" s="6">
        <v>320000000</v>
      </c>
    </row>
    <row r="2924" spans="1:4" x14ac:dyDescent="0.35">
      <c r="A2924" t="str">
        <f t="shared" si="45"/>
        <v>76PSR</v>
      </c>
      <c r="B2924">
        <v>76</v>
      </c>
      <c r="C2924" s="9" t="s">
        <v>27</v>
      </c>
      <c r="D2924" s="8">
        <v>0.27840999999999999</v>
      </c>
    </row>
    <row r="2925" spans="1:4" x14ac:dyDescent="0.35">
      <c r="A2925" t="str">
        <f t="shared" si="45"/>
        <v>76Sharpe Ratio</v>
      </c>
      <c r="B2925">
        <v>76</v>
      </c>
      <c r="C2925" s="9" t="s">
        <v>1</v>
      </c>
      <c r="D2925" s="8">
        <v>0.38200000000000001</v>
      </c>
    </row>
    <row r="2926" spans="1:4" x14ac:dyDescent="0.35">
      <c r="A2926" t="str">
        <f t="shared" si="45"/>
        <v>76Total Trades</v>
      </c>
      <c r="B2926">
        <v>76</v>
      </c>
      <c r="C2926" s="9" t="s">
        <v>28</v>
      </c>
      <c r="D2926" s="8">
        <v>398</v>
      </c>
    </row>
    <row r="2927" spans="1:4" x14ac:dyDescent="0.35">
      <c r="A2927" t="str">
        <f t="shared" si="45"/>
        <v>76Average Win</v>
      </c>
      <c r="B2927">
        <v>76</v>
      </c>
      <c r="C2927" s="9" t="s">
        <v>25</v>
      </c>
      <c r="D2927" s="8">
        <v>3.3999999999999998E-3</v>
      </c>
    </row>
    <row r="2928" spans="1:4" x14ac:dyDescent="0.35">
      <c r="A2928" t="str">
        <f t="shared" si="45"/>
        <v>76Average Loss</v>
      </c>
      <c r="B2928">
        <v>76</v>
      </c>
      <c r="C2928" s="9" t="s">
        <v>29</v>
      </c>
      <c r="D2928" s="8">
        <v>-3.3E-3</v>
      </c>
    </row>
    <row r="2929" spans="1:4" x14ac:dyDescent="0.35">
      <c r="A2929" t="str">
        <f t="shared" si="45"/>
        <v>76Compounding Annual Return</v>
      </c>
      <c r="B2929">
        <v>76</v>
      </c>
      <c r="C2929" s="9" t="s">
        <v>30</v>
      </c>
      <c r="D2929" s="8">
        <v>8.1799999999999998E-3</v>
      </c>
    </row>
    <row r="2930" spans="1:4" x14ac:dyDescent="0.35">
      <c r="A2930" t="str">
        <f t="shared" si="45"/>
        <v>76Drawdown</v>
      </c>
      <c r="B2930">
        <v>76</v>
      </c>
      <c r="C2930" s="9" t="s">
        <v>8</v>
      </c>
      <c r="D2930" s="8">
        <v>0.02</v>
      </c>
    </row>
    <row r="2931" spans="1:4" x14ac:dyDescent="0.35">
      <c r="A2931" t="str">
        <f t="shared" si="45"/>
        <v>76Expectancy</v>
      </c>
      <c r="B2931">
        <v>76</v>
      </c>
      <c r="C2931" s="9" t="s">
        <v>31</v>
      </c>
      <c r="D2931" s="8">
        <v>0.108</v>
      </c>
    </row>
    <row r="2932" spans="1:4" x14ac:dyDescent="0.35">
      <c r="A2932" t="str">
        <f t="shared" si="45"/>
        <v>76Net Profit</v>
      </c>
      <c r="B2932">
        <v>76</v>
      </c>
      <c r="C2932" s="9" t="s">
        <v>32</v>
      </c>
      <c r="D2932" s="8">
        <v>5.28E-3</v>
      </c>
    </row>
    <row r="2933" spans="1:4" x14ac:dyDescent="0.35">
      <c r="A2933" t="str">
        <f t="shared" si="45"/>
        <v>76Loss Rate</v>
      </c>
      <c r="B2933">
        <v>76</v>
      </c>
      <c r="C2933" s="9" t="s">
        <v>33</v>
      </c>
      <c r="D2933" s="8">
        <v>0.46</v>
      </c>
    </row>
    <row r="2934" spans="1:4" x14ac:dyDescent="0.35">
      <c r="A2934" t="str">
        <f t="shared" si="45"/>
        <v>76Win Rate</v>
      </c>
      <c r="B2934">
        <v>76</v>
      </c>
      <c r="C2934" s="9" t="s">
        <v>34</v>
      </c>
      <c r="D2934" s="8">
        <v>0.54</v>
      </c>
    </row>
    <row r="2935" spans="1:4" x14ac:dyDescent="0.35">
      <c r="A2935" t="str">
        <f t="shared" si="45"/>
        <v>76Profit-Loss Ratio</v>
      </c>
      <c r="B2935">
        <v>76</v>
      </c>
      <c r="C2935" s="9" t="s">
        <v>26</v>
      </c>
      <c r="D2935" s="8">
        <v>1.06</v>
      </c>
    </row>
    <row r="2936" spans="1:4" x14ac:dyDescent="0.35">
      <c r="A2936" t="str">
        <f t="shared" si="45"/>
        <v>76Alpha</v>
      </c>
      <c r="B2936">
        <v>76</v>
      </c>
      <c r="C2936" s="9" t="s">
        <v>23</v>
      </c>
      <c r="D2936" s="8">
        <v>6.0000000000000001E-3</v>
      </c>
    </row>
    <row r="2937" spans="1:4" x14ac:dyDescent="0.35">
      <c r="A2937" t="str">
        <f t="shared" si="45"/>
        <v>76Beta</v>
      </c>
      <c r="B2937">
        <v>76</v>
      </c>
      <c r="C2937" s="9" t="s">
        <v>24</v>
      </c>
      <c r="D2937" s="8">
        <v>-1E-3</v>
      </c>
    </row>
    <row r="2938" spans="1:4" x14ac:dyDescent="0.35">
      <c r="A2938" t="str">
        <f t="shared" si="45"/>
        <v>76Annual Standard Deviation</v>
      </c>
      <c r="B2938">
        <v>76</v>
      </c>
      <c r="C2938" s="9" t="s">
        <v>35</v>
      </c>
      <c r="D2938" s="8">
        <v>1.4999999999999999E-2</v>
      </c>
    </row>
    <row r="2939" spans="1:4" x14ac:dyDescent="0.35">
      <c r="A2939" t="str">
        <f t="shared" si="45"/>
        <v>76Annual Variance</v>
      </c>
      <c r="B2939">
        <v>76</v>
      </c>
      <c r="C2939" s="9" t="s">
        <v>36</v>
      </c>
      <c r="D2939" s="8">
        <v>0</v>
      </c>
    </row>
    <row r="2940" spans="1:4" x14ac:dyDescent="0.35">
      <c r="A2940" t="str">
        <f t="shared" si="45"/>
        <v>76Information Ratio</v>
      </c>
      <c r="B2940">
        <v>76</v>
      </c>
      <c r="C2940" s="9" t="s">
        <v>37</v>
      </c>
      <c r="D2940" s="8">
        <v>-0.84499999999999997</v>
      </c>
    </row>
    <row r="2941" spans="1:4" x14ac:dyDescent="0.35">
      <c r="A2941" t="str">
        <f t="shared" si="45"/>
        <v>76Tracking Error</v>
      </c>
      <c r="B2941">
        <v>76</v>
      </c>
      <c r="C2941" s="9" t="s">
        <v>38</v>
      </c>
      <c r="D2941" s="8">
        <v>6.9000000000000006E-2</v>
      </c>
    </row>
    <row r="2942" spans="1:4" x14ac:dyDescent="0.35">
      <c r="A2942" t="str">
        <f t="shared" si="45"/>
        <v>76Treynor Ratio</v>
      </c>
      <c r="B2942">
        <v>76</v>
      </c>
      <c r="C2942" s="9" t="s">
        <v>39</v>
      </c>
      <c r="D2942" s="8">
        <v>-5.5830000000000002</v>
      </c>
    </row>
    <row r="2943" spans="1:4" x14ac:dyDescent="0.35">
      <c r="A2943" t="str">
        <f t="shared" si="45"/>
        <v>76Total Fees</v>
      </c>
      <c r="B2943">
        <v>76</v>
      </c>
      <c r="C2943" s="9" t="s">
        <v>40</v>
      </c>
      <c r="D2943" s="8">
        <v>0</v>
      </c>
    </row>
    <row r="2944" spans="1:4" x14ac:dyDescent="0.35">
      <c r="A2944" t="str">
        <f t="shared" si="45"/>
        <v>76Estimated Strategy Capacity</v>
      </c>
      <c r="B2944">
        <v>76</v>
      </c>
      <c r="C2944" s="9" t="s">
        <v>41</v>
      </c>
      <c r="D2944" s="8">
        <v>4100000000</v>
      </c>
    </row>
    <row r="2945" spans="1:4" x14ac:dyDescent="0.35">
      <c r="A2945" t="str">
        <f t="shared" si="45"/>
        <v>75PSR</v>
      </c>
      <c r="B2945">
        <v>75</v>
      </c>
      <c r="C2945" s="9" t="s">
        <v>27</v>
      </c>
      <c r="D2945" s="8">
        <v>0.47072000000000003</v>
      </c>
    </row>
    <row r="2946" spans="1:4" x14ac:dyDescent="0.35">
      <c r="A2946" t="str">
        <f t="shared" si="45"/>
        <v>75Sharpe Ratio</v>
      </c>
      <c r="B2946">
        <v>75</v>
      </c>
      <c r="C2946" s="9" t="s">
        <v>1</v>
      </c>
      <c r="D2946" s="8">
        <v>1.329</v>
      </c>
    </row>
    <row r="2947" spans="1:4" x14ac:dyDescent="0.35">
      <c r="A2947" t="str">
        <f t="shared" ref="A2947:A3010" si="46">B2947&amp;C2947</f>
        <v>75Total Trades</v>
      </c>
      <c r="B2947">
        <v>75</v>
      </c>
      <c r="C2947" s="9" t="s">
        <v>28</v>
      </c>
      <c r="D2947" s="8">
        <v>688</v>
      </c>
    </row>
    <row r="2948" spans="1:4" x14ac:dyDescent="0.35">
      <c r="A2948" t="str">
        <f t="shared" si="46"/>
        <v>75Average Win</v>
      </c>
      <c r="B2948">
        <v>75</v>
      </c>
      <c r="C2948" s="9" t="s">
        <v>25</v>
      </c>
      <c r="D2948" s="8">
        <v>0.1079</v>
      </c>
    </row>
    <row r="2949" spans="1:4" x14ac:dyDescent="0.35">
      <c r="A2949" t="str">
        <f t="shared" si="46"/>
        <v>75Average Loss</v>
      </c>
      <c r="B2949">
        <v>75</v>
      </c>
      <c r="C2949" s="9" t="s">
        <v>29</v>
      </c>
      <c r="D2949" s="8">
        <v>-5.9400000000000001E-2</v>
      </c>
    </row>
    <row r="2950" spans="1:4" x14ac:dyDescent="0.35">
      <c r="A2950" t="str">
        <f t="shared" si="46"/>
        <v>75Compounding Annual Return</v>
      </c>
      <c r="B2950">
        <v>75</v>
      </c>
      <c r="C2950" s="9" t="s">
        <v>30</v>
      </c>
      <c r="D2950" s="8">
        <v>0.81308999999999998</v>
      </c>
    </row>
    <row r="2951" spans="1:4" x14ac:dyDescent="0.35">
      <c r="A2951" t="str">
        <f t="shared" si="46"/>
        <v>75Drawdown</v>
      </c>
      <c r="B2951">
        <v>75</v>
      </c>
      <c r="C2951" s="9" t="s">
        <v>8</v>
      </c>
      <c r="D2951" s="8">
        <v>0.44</v>
      </c>
    </row>
    <row r="2952" spans="1:4" x14ac:dyDescent="0.35">
      <c r="A2952" t="str">
        <f t="shared" si="46"/>
        <v>75Expectancy</v>
      </c>
      <c r="B2952">
        <v>75</v>
      </c>
      <c r="C2952" s="9" t="s">
        <v>31</v>
      </c>
      <c r="D2952" s="8">
        <v>0.40799999999999997</v>
      </c>
    </row>
    <row r="2953" spans="1:4" x14ac:dyDescent="0.35">
      <c r="A2953" t="str">
        <f t="shared" si="46"/>
        <v>75Net Profit</v>
      </c>
      <c r="B2953">
        <v>75</v>
      </c>
      <c r="C2953" s="9" t="s">
        <v>32</v>
      </c>
      <c r="D2953" s="8">
        <v>0.46911999999999998</v>
      </c>
    </row>
    <row r="2954" spans="1:4" x14ac:dyDescent="0.35">
      <c r="A2954" t="str">
        <f t="shared" si="46"/>
        <v>75Loss Rate</v>
      </c>
      <c r="B2954">
        <v>75</v>
      </c>
      <c r="C2954" s="9" t="s">
        <v>33</v>
      </c>
      <c r="D2954" s="8">
        <v>0.5</v>
      </c>
    </row>
    <row r="2955" spans="1:4" x14ac:dyDescent="0.35">
      <c r="A2955" t="str">
        <f t="shared" si="46"/>
        <v>75Win Rate</v>
      </c>
      <c r="B2955">
        <v>75</v>
      </c>
      <c r="C2955" s="9" t="s">
        <v>34</v>
      </c>
      <c r="D2955" s="8">
        <v>0.5</v>
      </c>
    </row>
    <row r="2956" spans="1:4" x14ac:dyDescent="0.35">
      <c r="A2956" t="str">
        <f t="shared" si="46"/>
        <v>75Profit-Loss Ratio</v>
      </c>
      <c r="B2956">
        <v>75</v>
      </c>
      <c r="C2956" s="9" t="s">
        <v>26</v>
      </c>
      <c r="D2956" s="8">
        <v>1.82</v>
      </c>
    </row>
    <row r="2957" spans="1:4" x14ac:dyDescent="0.35">
      <c r="A2957" t="str">
        <f t="shared" si="46"/>
        <v>75Alpha</v>
      </c>
      <c r="B2957">
        <v>75</v>
      </c>
      <c r="C2957" s="9" t="s">
        <v>23</v>
      </c>
      <c r="D2957" s="8">
        <v>0.93600000000000005</v>
      </c>
    </row>
    <row r="2958" spans="1:4" x14ac:dyDescent="0.35">
      <c r="A2958" t="str">
        <f t="shared" si="46"/>
        <v>75Beta</v>
      </c>
      <c r="B2958">
        <v>75</v>
      </c>
      <c r="C2958" s="9" t="s">
        <v>24</v>
      </c>
      <c r="D2958" s="8">
        <v>0.86799999999999999</v>
      </c>
    </row>
    <row r="2959" spans="1:4" x14ac:dyDescent="0.35">
      <c r="A2959" t="str">
        <f t="shared" si="46"/>
        <v>75Annual Standard Deviation</v>
      </c>
      <c r="B2959">
        <v>75</v>
      </c>
      <c r="C2959" s="9" t="s">
        <v>35</v>
      </c>
      <c r="D2959" s="8">
        <v>0.746</v>
      </c>
    </row>
    <row r="2960" spans="1:4" x14ac:dyDescent="0.35">
      <c r="A2960" t="str">
        <f t="shared" si="46"/>
        <v>75Annual Variance</v>
      </c>
      <c r="B2960">
        <v>75</v>
      </c>
      <c r="C2960" s="9" t="s">
        <v>36</v>
      </c>
      <c r="D2960" s="8">
        <v>0.55600000000000005</v>
      </c>
    </row>
    <row r="2961" spans="1:4" x14ac:dyDescent="0.35">
      <c r="A2961" t="str">
        <f t="shared" si="46"/>
        <v>75Information Ratio</v>
      </c>
      <c r="B2961">
        <v>75</v>
      </c>
      <c r="C2961" s="9" t="s">
        <v>37</v>
      </c>
      <c r="D2961" s="8">
        <v>1.2470000000000001</v>
      </c>
    </row>
    <row r="2962" spans="1:4" x14ac:dyDescent="0.35">
      <c r="A2962" t="str">
        <f t="shared" si="46"/>
        <v>75Tracking Error</v>
      </c>
      <c r="B2962">
        <v>75</v>
      </c>
      <c r="C2962" s="9" t="s">
        <v>38</v>
      </c>
      <c r="D2962" s="8">
        <v>0.74399999999999999</v>
      </c>
    </row>
    <row r="2963" spans="1:4" x14ac:dyDescent="0.35">
      <c r="A2963" t="str">
        <f t="shared" si="46"/>
        <v>75Treynor Ratio</v>
      </c>
      <c r="B2963">
        <v>75</v>
      </c>
      <c r="C2963" s="9" t="s">
        <v>39</v>
      </c>
      <c r="D2963" s="8">
        <v>1.1419999999999999</v>
      </c>
    </row>
    <row r="2964" spans="1:4" x14ac:dyDescent="0.35">
      <c r="A2964" t="str">
        <f t="shared" si="46"/>
        <v>75Total Fees</v>
      </c>
      <c r="B2964">
        <v>75</v>
      </c>
      <c r="C2964" s="9" t="s">
        <v>40</v>
      </c>
      <c r="D2964" s="8">
        <v>0</v>
      </c>
    </row>
    <row r="2965" spans="1:4" x14ac:dyDescent="0.35">
      <c r="A2965" t="str">
        <f t="shared" si="46"/>
        <v>75Estimated Strategy Capacity</v>
      </c>
      <c r="B2965">
        <v>75</v>
      </c>
      <c r="C2965" s="9" t="s">
        <v>41</v>
      </c>
      <c r="D2965" s="8">
        <v>2000000</v>
      </c>
    </row>
    <row r="2966" spans="1:4" x14ac:dyDescent="0.35">
      <c r="A2966" t="str">
        <f t="shared" si="46"/>
        <v>74PSR</v>
      </c>
      <c r="B2966">
        <v>74</v>
      </c>
      <c r="C2966" s="9" t="s">
        <v>27</v>
      </c>
      <c r="D2966" s="8">
        <v>0.38724999999999998</v>
      </c>
    </row>
    <row r="2967" spans="1:4" x14ac:dyDescent="0.35">
      <c r="A2967" t="str">
        <f t="shared" si="46"/>
        <v>74Sharpe Ratio</v>
      </c>
      <c r="B2967">
        <v>74</v>
      </c>
      <c r="C2967" s="9" t="s">
        <v>1</v>
      </c>
      <c r="D2967" s="8">
        <v>0.74</v>
      </c>
    </row>
    <row r="2968" spans="1:4" x14ac:dyDescent="0.35">
      <c r="A2968" t="str">
        <f t="shared" si="46"/>
        <v>74Total Trades</v>
      </c>
      <c r="B2968">
        <v>74</v>
      </c>
      <c r="C2968" s="9" t="s">
        <v>28</v>
      </c>
      <c r="D2968" s="8">
        <v>688</v>
      </c>
    </row>
    <row r="2969" spans="1:4" x14ac:dyDescent="0.35">
      <c r="A2969" t="str">
        <f t="shared" si="46"/>
        <v>74Average Win</v>
      </c>
      <c r="B2969">
        <v>74</v>
      </c>
      <c r="C2969" s="9" t="s">
        <v>25</v>
      </c>
      <c r="D2969" s="8">
        <v>2.24E-2</v>
      </c>
    </row>
    <row r="2970" spans="1:4" x14ac:dyDescent="0.35">
      <c r="A2970" t="str">
        <f t="shared" si="46"/>
        <v>74Average Loss</v>
      </c>
      <c r="B2970">
        <v>74</v>
      </c>
      <c r="C2970" s="9" t="s">
        <v>29</v>
      </c>
      <c r="D2970" s="8">
        <v>-1.3599999999999999E-2</v>
      </c>
    </row>
    <row r="2971" spans="1:4" x14ac:dyDescent="0.35">
      <c r="A2971" t="str">
        <f t="shared" si="46"/>
        <v>74Compounding Annual Return</v>
      </c>
      <c r="B2971">
        <v>74</v>
      </c>
      <c r="C2971" s="9" t="s">
        <v>30</v>
      </c>
      <c r="D2971" s="8">
        <v>0.14881</v>
      </c>
    </row>
    <row r="2972" spans="1:4" x14ac:dyDescent="0.35">
      <c r="A2972" t="str">
        <f t="shared" si="46"/>
        <v>74Drawdown</v>
      </c>
      <c r="B2972">
        <v>74</v>
      </c>
      <c r="C2972" s="9" t="s">
        <v>8</v>
      </c>
      <c r="D2972" s="8">
        <v>0.11600000000000001</v>
      </c>
    </row>
    <row r="2973" spans="1:4" x14ac:dyDescent="0.35">
      <c r="A2973" t="str">
        <f t="shared" si="46"/>
        <v>74Expectancy</v>
      </c>
      <c r="B2973">
        <v>74</v>
      </c>
      <c r="C2973" s="9" t="s">
        <v>31</v>
      </c>
      <c r="D2973" s="8">
        <v>0.32200000000000001</v>
      </c>
    </row>
    <row r="2974" spans="1:4" x14ac:dyDescent="0.35">
      <c r="A2974" t="str">
        <f t="shared" si="46"/>
        <v>74Net Profit</v>
      </c>
      <c r="B2974">
        <v>74</v>
      </c>
      <c r="C2974" s="9" t="s">
        <v>32</v>
      </c>
      <c r="D2974" s="8">
        <v>9.3820000000000001E-2</v>
      </c>
    </row>
    <row r="2975" spans="1:4" x14ac:dyDescent="0.35">
      <c r="A2975" t="str">
        <f t="shared" si="46"/>
        <v>74Loss Rate</v>
      </c>
      <c r="B2975">
        <v>74</v>
      </c>
      <c r="C2975" s="9" t="s">
        <v>33</v>
      </c>
      <c r="D2975" s="8">
        <v>0.5</v>
      </c>
    </row>
    <row r="2976" spans="1:4" x14ac:dyDescent="0.35">
      <c r="A2976" t="str">
        <f t="shared" si="46"/>
        <v>74Win Rate</v>
      </c>
      <c r="B2976">
        <v>74</v>
      </c>
      <c r="C2976" s="9" t="s">
        <v>34</v>
      </c>
      <c r="D2976" s="8">
        <v>0.5</v>
      </c>
    </row>
    <row r="2977" spans="1:4" x14ac:dyDescent="0.35">
      <c r="A2977" t="str">
        <f t="shared" si="46"/>
        <v>74Profit-Loss Ratio</v>
      </c>
      <c r="B2977">
        <v>74</v>
      </c>
      <c r="C2977" s="9" t="s">
        <v>26</v>
      </c>
      <c r="D2977" s="8">
        <v>1.64</v>
      </c>
    </row>
    <row r="2978" spans="1:4" x14ac:dyDescent="0.35">
      <c r="A2978" t="str">
        <f t="shared" si="46"/>
        <v>74Alpha</v>
      </c>
      <c r="B2978">
        <v>74</v>
      </c>
      <c r="C2978" s="9" t="s">
        <v>23</v>
      </c>
      <c r="D2978" s="8">
        <v>9.9000000000000005E-2</v>
      </c>
    </row>
    <row r="2979" spans="1:4" x14ac:dyDescent="0.35">
      <c r="A2979" t="str">
        <f t="shared" si="46"/>
        <v>74Beta</v>
      </c>
      <c r="B2979">
        <v>74</v>
      </c>
      <c r="C2979" s="9" t="s">
        <v>24</v>
      </c>
      <c r="D2979" s="8">
        <v>0.23599999999999999</v>
      </c>
    </row>
    <row r="2980" spans="1:4" x14ac:dyDescent="0.35">
      <c r="A2980" t="str">
        <f t="shared" si="46"/>
        <v>74Annual Standard Deviation</v>
      </c>
      <c r="B2980">
        <v>74</v>
      </c>
      <c r="C2980" s="9" t="s">
        <v>35</v>
      </c>
      <c r="D2980" s="8">
        <v>0.154</v>
      </c>
    </row>
    <row r="2981" spans="1:4" x14ac:dyDescent="0.35">
      <c r="A2981" t="str">
        <f t="shared" si="46"/>
        <v>74Annual Variance</v>
      </c>
      <c r="B2981">
        <v>74</v>
      </c>
      <c r="C2981" s="9" t="s">
        <v>36</v>
      </c>
      <c r="D2981" s="8">
        <v>2.4E-2</v>
      </c>
    </row>
    <row r="2982" spans="1:4" x14ac:dyDescent="0.35">
      <c r="A2982" t="str">
        <f t="shared" si="46"/>
        <v>74Information Ratio</v>
      </c>
      <c r="B2982">
        <v>74</v>
      </c>
      <c r="C2982" s="9" t="s">
        <v>37</v>
      </c>
      <c r="D2982" s="8">
        <v>0.312</v>
      </c>
    </row>
    <row r="2983" spans="1:4" x14ac:dyDescent="0.35">
      <c r="A2983" t="str">
        <f t="shared" si="46"/>
        <v>74Tracking Error</v>
      </c>
      <c r="B2983">
        <v>74</v>
      </c>
      <c r="C2983" s="9" t="s">
        <v>38</v>
      </c>
      <c r="D2983" s="8">
        <v>0.16200000000000001</v>
      </c>
    </row>
    <row r="2984" spans="1:4" x14ac:dyDescent="0.35">
      <c r="A2984" t="str">
        <f t="shared" si="46"/>
        <v>74Treynor Ratio</v>
      </c>
      <c r="B2984">
        <v>74</v>
      </c>
      <c r="C2984" s="9" t="s">
        <v>39</v>
      </c>
      <c r="D2984" s="8">
        <v>0.48199999999999998</v>
      </c>
    </row>
    <row r="2985" spans="1:4" x14ac:dyDescent="0.35">
      <c r="A2985" t="str">
        <f t="shared" si="46"/>
        <v>74Total Fees</v>
      </c>
      <c r="B2985">
        <v>74</v>
      </c>
      <c r="C2985" s="9" t="s">
        <v>40</v>
      </c>
      <c r="D2985" s="8">
        <v>0</v>
      </c>
    </row>
    <row r="2986" spans="1:4" x14ac:dyDescent="0.35">
      <c r="A2986" t="str">
        <f t="shared" si="46"/>
        <v>74Estimated Strategy Capacity</v>
      </c>
      <c r="B2986">
        <v>74</v>
      </c>
      <c r="C2986" s="9" t="s">
        <v>41</v>
      </c>
      <c r="D2986" s="8">
        <v>3600000</v>
      </c>
    </row>
    <row r="2987" spans="1:4" x14ac:dyDescent="0.35">
      <c r="A2987" t="str">
        <f t="shared" si="46"/>
        <v>73PSR</v>
      </c>
      <c r="B2987">
        <v>73</v>
      </c>
      <c r="C2987" s="9" t="s">
        <v>27</v>
      </c>
      <c r="D2987" s="8">
        <v>0.36726999999999999</v>
      </c>
    </row>
    <row r="2988" spans="1:4" x14ac:dyDescent="0.35">
      <c r="A2988" t="str">
        <f t="shared" si="46"/>
        <v>73Sharpe Ratio</v>
      </c>
      <c r="B2988">
        <v>73</v>
      </c>
      <c r="C2988" s="9" t="s">
        <v>1</v>
      </c>
      <c r="D2988" s="8">
        <v>0.64800000000000002</v>
      </c>
    </row>
    <row r="2989" spans="1:4" x14ac:dyDescent="0.35">
      <c r="A2989" t="str">
        <f t="shared" si="46"/>
        <v>73Total Trades</v>
      </c>
      <c r="B2989">
        <v>73</v>
      </c>
      <c r="C2989" s="9" t="s">
        <v>28</v>
      </c>
      <c r="D2989" s="8">
        <v>688</v>
      </c>
    </row>
    <row r="2990" spans="1:4" x14ac:dyDescent="0.35">
      <c r="A2990" t="str">
        <f t="shared" si="46"/>
        <v>73Average Win</v>
      </c>
      <c r="B2990">
        <v>73</v>
      </c>
      <c r="C2990" s="9" t="s">
        <v>25</v>
      </c>
      <c r="D2990" s="8">
        <v>2.3E-3</v>
      </c>
    </row>
    <row r="2991" spans="1:4" x14ac:dyDescent="0.35">
      <c r="A2991" t="str">
        <f t="shared" si="46"/>
        <v>73Average Loss</v>
      </c>
      <c r="B2991">
        <v>73</v>
      </c>
      <c r="C2991" s="9" t="s">
        <v>29</v>
      </c>
      <c r="D2991" s="8">
        <v>-1.4E-3</v>
      </c>
    </row>
    <row r="2992" spans="1:4" x14ac:dyDescent="0.35">
      <c r="A2992" t="str">
        <f t="shared" si="46"/>
        <v>73Compounding Annual Return</v>
      </c>
      <c r="B2992">
        <v>73</v>
      </c>
      <c r="C2992" s="9" t="s">
        <v>30</v>
      </c>
      <c r="D2992" s="8">
        <v>1.455E-2</v>
      </c>
    </row>
    <row r="2993" spans="1:4" x14ac:dyDescent="0.35">
      <c r="A2993" t="str">
        <f t="shared" si="46"/>
        <v>73Drawdown</v>
      </c>
      <c r="B2993">
        <v>73</v>
      </c>
      <c r="C2993" s="9" t="s">
        <v>8</v>
      </c>
      <c r="D2993" s="8">
        <v>1.2999999999999999E-2</v>
      </c>
    </row>
    <row r="2994" spans="1:4" x14ac:dyDescent="0.35">
      <c r="A2994" t="str">
        <f t="shared" si="46"/>
        <v>73Expectancy</v>
      </c>
      <c r="B2994">
        <v>73</v>
      </c>
      <c r="C2994" s="9" t="s">
        <v>31</v>
      </c>
      <c r="D2994" s="8">
        <v>0.30099999999999999</v>
      </c>
    </row>
    <row r="2995" spans="1:4" x14ac:dyDescent="0.35">
      <c r="A2995" t="str">
        <f t="shared" si="46"/>
        <v>73Net Profit</v>
      </c>
      <c r="B2995">
        <v>73</v>
      </c>
      <c r="C2995" s="9" t="s">
        <v>32</v>
      </c>
      <c r="D2995" s="8">
        <v>9.3799999999999994E-3</v>
      </c>
    </row>
    <row r="2996" spans="1:4" x14ac:dyDescent="0.35">
      <c r="A2996" t="str">
        <f t="shared" si="46"/>
        <v>73Loss Rate</v>
      </c>
      <c r="B2996">
        <v>73</v>
      </c>
      <c r="C2996" s="9" t="s">
        <v>33</v>
      </c>
      <c r="D2996" s="8">
        <v>0.5</v>
      </c>
    </row>
    <row r="2997" spans="1:4" x14ac:dyDescent="0.35">
      <c r="A2997" t="str">
        <f t="shared" si="46"/>
        <v>73Win Rate</v>
      </c>
      <c r="B2997">
        <v>73</v>
      </c>
      <c r="C2997" s="9" t="s">
        <v>34</v>
      </c>
      <c r="D2997" s="8">
        <v>0.5</v>
      </c>
    </row>
    <row r="2998" spans="1:4" x14ac:dyDescent="0.35">
      <c r="A2998" t="str">
        <f t="shared" si="46"/>
        <v>73Profit-Loss Ratio</v>
      </c>
      <c r="B2998">
        <v>73</v>
      </c>
      <c r="C2998" s="9" t="s">
        <v>26</v>
      </c>
      <c r="D2998" s="8">
        <v>1.6</v>
      </c>
    </row>
    <row r="2999" spans="1:4" x14ac:dyDescent="0.35">
      <c r="A2999" t="str">
        <f t="shared" si="46"/>
        <v>73Alpha</v>
      </c>
      <c r="B2999">
        <v>73</v>
      </c>
      <c r="C2999" s="9" t="s">
        <v>23</v>
      </c>
      <c r="D2999" s="8">
        <v>8.9999999999999993E-3</v>
      </c>
    </row>
    <row r="3000" spans="1:4" x14ac:dyDescent="0.35">
      <c r="A3000" t="str">
        <f t="shared" si="46"/>
        <v>73Beta</v>
      </c>
      <c r="B3000">
        <v>73</v>
      </c>
      <c r="C3000" s="9" t="s">
        <v>24</v>
      </c>
      <c r="D3000" s="8">
        <v>2.5000000000000001E-2</v>
      </c>
    </row>
    <row r="3001" spans="1:4" x14ac:dyDescent="0.35">
      <c r="A3001" t="str">
        <f t="shared" si="46"/>
        <v>73Annual Standard Deviation</v>
      </c>
      <c r="B3001">
        <v>73</v>
      </c>
      <c r="C3001" s="9" t="s">
        <v>35</v>
      </c>
      <c r="D3001" s="8">
        <v>1.6E-2</v>
      </c>
    </row>
    <row r="3002" spans="1:4" x14ac:dyDescent="0.35">
      <c r="A3002" t="str">
        <f t="shared" si="46"/>
        <v>73Annual Variance</v>
      </c>
      <c r="B3002">
        <v>73</v>
      </c>
      <c r="C3002" s="9" t="s">
        <v>36</v>
      </c>
      <c r="D3002" s="8">
        <v>0</v>
      </c>
    </row>
    <row r="3003" spans="1:4" x14ac:dyDescent="0.35">
      <c r="A3003" t="str">
        <f t="shared" si="46"/>
        <v>73Information Ratio</v>
      </c>
      <c r="B3003">
        <v>73</v>
      </c>
      <c r="C3003" s="9" t="s">
        <v>37</v>
      </c>
      <c r="D3003" s="8">
        <v>-0.8</v>
      </c>
    </row>
    <row r="3004" spans="1:4" x14ac:dyDescent="0.35">
      <c r="A3004" t="str">
        <f t="shared" si="46"/>
        <v>73Tracking Error</v>
      </c>
      <c r="B3004">
        <v>73</v>
      </c>
      <c r="C3004" s="9" t="s">
        <v>38</v>
      </c>
      <c r="D3004" s="8">
        <v>6.7000000000000004E-2</v>
      </c>
    </row>
    <row r="3005" spans="1:4" x14ac:dyDescent="0.35">
      <c r="A3005" t="str">
        <f t="shared" si="46"/>
        <v>73Treynor Ratio</v>
      </c>
      <c r="B3005">
        <v>73</v>
      </c>
      <c r="C3005" s="9" t="s">
        <v>39</v>
      </c>
      <c r="D3005" s="8">
        <v>0.40600000000000003</v>
      </c>
    </row>
    <row r="3006" spans="1:4" x14ac:dyDescent="0.35">
      <c r="A3006" t="str">
        <f t="shared" si="46"/>
        <v>73Total Fees</v>
      </c>
      <c r="B3006">
        <v>73</v>
      </c>
      <c r="C3006" s="9" t="s">
        <v>40</v>
      </c>
      <c r="D3006" s="8">
        <v>0</v>
      </c>
    </row>
    <row r="3007" spans="1:4" x14ac:dyDescent="0.35">
      <c r="A3007" t="str">
        <f t="shared" si="46"/>
        <v>73Estimated Strategy Capacity</v>
      </c>
      <c r="B3007">
        <v>73</v>
      </c>
      <c r="C3007" s="9" t="s">
        <v>41</v>
      </c>
      <c r="D3007" s="8">
        <v>16000000</v>
      </c>
    </row>
    <row r="3008" spans="1:4" x14ac:dyDescent="0.35">
      <c r="A3008" t="str">
        <f t="shared" si="46"/>
        <v>72PSR</v>
      </c>
      <c r="B3008">
        <v>72</v>
      </c>
      <c r="C3008" s="9" t="s">
        <v>27</v>
      </c>
      <c r="D3008" s="8">
        <v>0.83565999999999996</v>
      </c>
    </row>
    <row r="3009" spans="1:4" x14ac:dyDescent="0.35">
      <c r="A3009" t="str">
        <f t="shared" si="46"/>
        <v>72Sharpe Ratio</v>
      </c>
      <c r="B3009">
        <v>72</v>
      </c>
      <c r="C3009" s="9" t="s">
        <v>1</v>
      </c>
      <c r="D3009" s="8">
        <v>3.069</v>
      </c>
    </row>
    <row r="3010" spans="1:4" x14ac:dyDescent="0.35">
      <c r="A3010" t="str">
        <f t="shared" si="46"/>
        <v>72Total Trades</v>
      </c>
      <c r="B3010">
        <v>72</v>
      </c>
      <c r="C3010" s="9" t="s">
        <v>28</v>
      </c>
      <c r="D3010" s="8">
        <v>492</v>
      </c>
    </row>
    <row r="3011" spans="1:4" x14ac:dyDescent="0.35">
      <c r="A3011" t="str">
        <f t="shared" ref="A3011:A3074" si="47">B3011&amp;C3011</f>
        <v>72Average Win</v>
      </c>
      <c r="B3011">
        <v>72</v>
      </c>
      <c r="C3011" s="9" t="s">
        <v>25</v>
      </c>
      <c r="D3011" s="8">
        <v>0.1603</v>
      </c>
    </row>
    <row r="3012" spans="1:4" x14ac:dyDescent="0.35">
      <c r="A3012" t="str">
        <f t="shared" si="47"/>
        <v>72Average Loss</v>
      </c>
      <c r="B3012">
        <v>72</v>
      </c>
      <c r="C3012" s="9" t="s">
        <v>29</v>
      </c>
      <c r="D3012" s="8">
        <v>-6.0400000000000002E-2</v>
      </c>
    </row>
    <row r="3013" spans="1:4" x14ac:dyDescent="0.35">
      <c r="A3013" t="str">
        <f t="shared" si="47"/>
        <v>72Compounding Annual Return</v>
      </c>
      <c r="B3013">
        <v>72</v>
      </c>
      <c r="C3013" s="9" t="s">
        <v>30</v>
      </c>
      <c r="D3013" s="8">
        <v>2.5657299999999998</v>
      </c>
    </row>
    <row r="3014" spans="1:4" x14ac:dyDescent="0.35">
      <c r="A3014" t="str">
        <f t="shared" si="47"/>
        <v>72Drawdown</v>
      </c>
      <c r="B3014">
        <v>72</v>
      </c>
      <c r="C3014" s="9" t="s">
        <v>8</v>
      </c>
      <c r="D3014" s="8">
        <v>0.314</v>
      </c>
    </row>
    <row r="3015" spans="1:4" x14ac:dyDescent="0.35">
      <c r="A3015" t="str">
        <f t="shared" si="47"/>
        <v>72Expectancy</v>
      </c>
      <c r="B3015">
        <v>72</v>
      </c>
      <c r="C3015" s="9" t="s">
        <v>31</v>
      </c>
      <c r="D3015" s="8">
        <v>1.0549999999999999</v>
      </c>
    </row>
    <row r="3016" spans="1:4" x14ac:dyDescent="0.35">
      <c r="A3016" t="str">
        <f t="shared" si="47"/>
        <v>72Net Profit</v>
      </c>
      <c r="B3016">
        <v>72</v>
      </c>
      <c r="C3016" s="9" t="s">
        <v>32</v>
      </c>
      <c r="D3016" s="8">
        <v>1.2747999999999999</v>
      </c>
    </row>
    <row r="3017" spans="1:4" x14ac:dyDescent="0.35">
      <c r="A3017" t="str">
        <f t="shared" si="47"/>
        <v>72Loss Rate</v>
      </c>
      <c r="B3017">
        <v>72</v>
      </c>
      <c r="C3017" s="9" t="s">
        <v>33</v>
      </c>
      <c r="D3017" s="8">
        <v>0.44</v>
      </c>
    </row>
    <row r="3018" spans="1:4" x14ac:dyDescent="0.35">
      <c r="A3018" t="str">
        <f t="shared" si="47"/>
        <v>72Win Rate</v>
      </c>
      <c r="B3018">
        <v>72</v>
      </c>
      <c r="C3018" s="9" t="s">
        <v>34</v>
      </c>
      <c r="D3018" s="8">
        <v>0.56000000000000005</v>
      </c>
    </row>
    <row r="3019" spans="1:4" x14ac:dyDescent="0.35">
      <c r="A3019" t="str">
        <f t="shared" si="47"/>
        <v>72Profit-Loss Ratio</v>
      </c>
      <c r="B3019">
        <v>72</v>
      </c>
      <c r="C3019" s="9" t="s">
        <v>26</v>
      </c>
      <c r="D3019" s="8">
        <v>2.65</v>
      </c>
    </row>
    <row r="3020" spans="1:4" x14ac:dyDescent="0.35">
      <c r="A3020" t="str">
        <f t="shared" si="47"/>
        <v>72Alpha</v>
      </c>
      <c r="B3020">
        <v>72</v>
      </c>
      <c r="C3020" s="9" t="s">
        <v>23</v>
      </c>
      <c r="D3020" s="8">
        <v>1.8280000000000001</v>
      </c>
    </row>
    <row r="3021" spans="1:4" x14ac:dyDescent="0.35">
      <c r="A3021" t="str">
        <f t="shared" si="47"/>
        <v>72Beta</v>
      </c>
      <c r="B3021">
        <v>72</v>
      </c>
      <c r="C3021" s="9" t="s">
        <v>24</v>
      </c>
      <c r="D3021" s="8">
        <v>-0.126</v>
      </c>
    </row>
    <row r="3022" spans="1:4" x14ac:dyDescent="0.35">
      <c r="A3022" t="str">
        <f t="shared" si="47"/>
        <v>72Annual Standard Deviation</v>
      </c>
      <c r="B3022">
        <v>72</v>
      </c>
      <c r="C3022" s="9" t="s">
        <v>35</v>
      </c>
      <c r="D3022" s="8">
        <v>0.59299999999999997</v>
      </c>
    </row>
    <row r="3023" spans="1:4" x14ac:dyDescent="0.35">
      <c r="A3023" t="str">
        <f t="shared" si="47"/>
        <v>72Annual Variance</v>
      </c>
      <c r="B3023">
        <v>72</v>
      </c>
      <c r="C3023" s="9" t="s">
        <v>36</v>
      </c>
      <c r="D3023" s="8">
        <v>0.35199999999999998</v>
      </c>
    </row>
    <row r="3024" spans="1:4" x14ac:dyDescent="0.35">
      <c r="A3024" t="str">
        <f t="shared" si="47"/>
        <v>72Information Ratio</v>
      </c>
      <c r="B3024">
        <v>72</v>
      </c>
      <c r="C3024" s="9" t="s">
        <v>37</v>
      </c>
      <c r="D3024" s="8">
        <v>2.9380000000000002</v>
      </c>
    </row>
    <row r="3025" spans="1:4" x14ac:dyDescent="0.35">
      <c r="A3025" t="str">
        <f t="shared" si="47"/>
        <v>72Tracking Error</v>
      </c>
      <c r="B3025">
        <v>72</v>
      </c>
      <c r="C3025" s="9" t="s">
        <v>38</v>
      </c>
      <c r="D3025" s="8">
        <v>0.59799999999999998</v>
      </c>
    </row>
    <row r="3026" spans="1:4" x14ac:dyDescent="0.35">
      <c r="A3026" t="str">
        <f t="shared" si="47"/>
        <v>72Treynor Ratio</v>
      </c>
      <c r="B3026">
        <v>72</v>
      </c>
      <c r="C3026" s="9" t="s">
        <v>39</v>
      </c>
      <c r="D3026" s="8">
        <v>-14.420999999999999</v>
      </c>
    </row>
    <row r="3027" spans="1:4" x14ac:dyDescent="0.35">
      <c r="A3027" t="str">
        <f t="shared" si="47"/>
        <v>72Total Fees</v>
      </c>
      <c r="B3027">
        <v>72</v>
      </c>
      <c r="C3027" s="9" t="s">
        <v>40</v>
      </c>
      <c r="D3027" s="8">
        <v>0</v>
      </c>
    </row>
    <row r="3028" spans="1:4" x14ac:dyDescent="0.35">
      <c r="A3028" t="str">
        <f t="shared" si="47"/>
        <v>72Estimated Strategy Capacity</v>
      </c>
      <c r="B3028">
        <v>72</v>
      </c>
      <c r="C3028" s="9" t="s">
        <v>41</v>
      </c>
      <c r="D3028" s="8">
        <v>34000000</v>
      </c>
    </row>
    <row r="3029" spans="1:4" x14ac:dyDescent="0.35">
      <c r="A3029" t="str">
        <f t="shared" si="47"/>
        <v>71PSR</v>
      </c>
      <c r="B3029">
        <v>71</v>
      </c>
      <c r="C3029" s="9" t="s">
        <v>27</v>
      </c>
      <c r="D3029" s="8">
        <v>0.83750999999999998</v>
      </c>
    </row>
    <row r="3030" spans="1:4" x14ac:dyDescent="0.35">
      <c r="A3030" t="str">
        <f t="shared" si="47"/>
        <v>71Sharpe Ratio</v>
      </c>
      <c r="B3030">
        <v>71</v>
      </c>
      <c r="C3030" s="9" t="s">
        <v>1</v>
      </c>
      <c r="D3030" s="8">
        <v>2.0539999999999998</v>
      </c>
    </row>
    <row r="3031" spans="1:4" x14ac:dyDescent="0.35">
      <c r="A3031" t="str">
        <f t="shared" si="47"/>
        <v>71Total Trades</v>
      </c>
      <c r="B3031">
        <v>71</v>
      </c>
      <c r="C3031" s="9" t="s">
        <v>28</v>
      </c>
      <c r="D3031" s="8">
        <v>492</v>
      </c>
    </row>
    <row r="3032" spans="1:4" x14ac:dyDescent="0.35">
      <c r="A3032" t="str">
        <f t="shared" si="47"/>
        <v>71Average Win</v>
      </c>
      <c r="B3032">
        <v>71</v>
      </c>
      <c r="C3032" s="9" t="s">
        <v>25</v>
      </c>
      <c r="D3032" s="8">
        <v>3.8300000000000001E-2</v>
      </c>
    </row>
    <row r="3033" spans="1:4" x14ac:dyDescent="0.35">
      <c r="A3033" t="str">
        <f t="shared" si="47"/>
        <v>71Average Loss</v>
      </c>
      <c r="B3033">
        <v>71</v>
      </c>
      <c r="C3033" s="9" t="s">
        <v>29</v>
      </c>
      <c r="D3033" s="8">
        <v>-1.5100000000000001E-2</v>
      </c>
    </row>
    <row r="3034" spans="1:4" x14ac:dyDescent="0.35">
      <c r="A3034" t="str">
        <f t="shared" si="47"/>
        <v>71Compounding Annual Return</v>
      </c>
      <c r="B3034">
        <v>71</v>
      </c>
      <c r="C3034" s="9" t="s">
        <v>30</v>
      </c>
      <c r="D3034" s="8">
        <v>0.42092000000000002</v>
      </c>
    </row>
    <row r="3035" spans="1:4" x14ac:dyDescent="0.35">
      <c r="A3035" t="str">
        <f t="shared" si="47"/>
        <v>71Drawdown</v>
      </c>
      <c r="B3035">
        <v>71</v>
      </c>
      <c r="C3035" s="9" t="s">
        <v>8</v>
      </c>
      <c r="D3035" s="8">
        <v>8.6999999999999994E-2</v>
      </c>
    </row>
    <row r="3036" spans="1:4" x14ac:dyDescent="0.35">
      <c r="A3036" t="str">
        <f t="shared" si="47"/>
        <v>71Expectancy</v>
      </c>
      <c r="B3036">
        <v>71</v>
      </c>
      <c r="C3036" s="9" t="s">
        <v>31</v>
      </c>
      <c r="D3036" s="8">
        <v>0.99099999999999999</v>
      </c>
    </row>
    <row r="3037" spans="1:4" x14ac:dyDescent="0.35">
      <c r="A3037" t="str">
        <f t="shared" si="47"/>
        <v>71Net Profit</v>
      </c>
      <c r="B3037">
        <v>71</v>
      </c>
      <c r="C3037" s="9" t="s">
        <v>32</v>
      </c>
      <c r="D3037" s="8">
        <v>0.25496000000000002</v>
      </c>
    </row>
    <row r="3038" spans="1:4" x14ac:dyDescent="0.35">
      <c r="A3038" t="str">
        <f t="shared" si="47"/>
        <v>71Loss Rate</v>
      </c>
      <c r="B3038">
        <v>71</v>
      </c>
      <c r="C3038" s="9" t="s">
        <v>33</v>
      </c>
      <c r="D3038" s="8">
        <v>0.44</v>
      </c>
    </row>
    <row r="3039" spans="1:4" x14ac:dyDescent="0.35">
      <c r="A3039" t="str">
        <f t="shared" si="47"/>
        <v>71Win Rate</v>
      </c>
      <c r="B3039">
        <v>71</v>
      </c>
      <c r="C3039" s="9" t="s">
        <v>34</v>
      </c>
      <c r="D3039" s="8">
        <v>0.56000000000000005</v>
      </c>
    </row>
    <row r="3040" spans="1:4" x14ac:dyDescent="0.35">
      <c r="A3040" t="str">
        <f t="shared" si="47"/>
        <v>71Profit-Loss Ratio</v>
      </c>
      <c r="B3040">
        <v>71</v>
      </c>
      <c r="C3040" s="9" t="s">
        <v>26</v>
      </c>
      <c r="D3040" s="8">
        <v>2.54</v>
      </c>
    </row>
    <row r="3041" spans="1:4" x14ac:dyDescent="0.35">
      <c r="A3041" t="str">
        <f t="shared" si="47"/>
        <v>71Alpha</v>
      </c>
      <c r="B3041">
        <v>71</v>
      </c>
      <c r="C3041" s="9" t="s">
        <v>23</v>
      </c>
      <c r="D3041" s="8">
        <v>0.28899999999999998</v>
      </c>
    </row>
    <row r="3042" spans="1:4" x14ac:dyDescent="0.35">
      <c r="A3042" t="str">
        <f t="shared" si="47"/>
        <v>71Beta</v>
      </c>
      <c r="B3042">
        <v>71</v>
      </c>
      <c r="C3042" s="9" t="s">
        <v>24</v>
      </c>
      <c r="D3042" s="8">
        <v>-1.6E-2</v>
      </c>
    </row>
    <row r="3043" spans="1:4" x14ac:dyDescent="0.35">
      <c r="A3043" t="str">
        <f t="shared" si="47"/>
        <v>71Annual Standard Deviation</v>
      </c>
      <c r="B3043">
        <v>71</v>
      </c>
      <c r="C3043" s="9" t="s">
        <v>35</v>
      </c>
      <c r="D3043" s="8">
        <v>0.14000000000000001</v>
      </c>
    </row>
    <row r="3044" spans="1:4" x14ac:dyDescent="0.35">
      <c r="A3044" t="str">
        <f t="shared" si="47"/>
        <v>71Annual Variance</v>
      </c>
      <c r="B3044">
        <v>71</v>
      </c>
      <c r="C3044" s="9" t="s">
        <v>36</v>
      </c>
      <c r="D3044" s="8">
        <v>0.02</v>
      </c>
    </row>
    <row r="3045" spans="1:4" x14ac:dyDescent="0.35">
      <c r="A3045" t="str">
        <f t="shared" si="47"/>
        <v>71Information Ratio</v>
      </c>
      <c r="B3045">
        <v>71</v>
      </c>
      <c r="C3045" s="9" t="s">
        <v>37</v>
      </c>
      <c r="D3045" s="8">
        <v>1.44</v>
      </c>
    </row>
    <row r="3046" spans="1:4" x14ac:dyDescent="0.35">
      <c r="A3046" t="str">
        <f t="shared" si="47"/>
        <v>71Tracking Error</v>
      </c>
      <c r="B3046">
        <v>71</v>
      </c>
      <c r="C3046" s="9" t="s">
        <v>38</v>
      </c>
      <c r="D3046" s="8">
        <v>0.156</v>
      </c>
    </row>
    <row r="3047" spans="1:4" x14ac:dyDescent="0.35">
      <c r="A3047" t="str">
        <f t="shared" si="47"/>
        <v>71Treynor Ratio</v>
      </c>
      <c r="B3047">
        <v>71</v>
      </c>
      <c r="C3047" s="9" t="s">
        <v>39</v>
      </c>
      <c r="D3047" s="8">
        <v>-17.841999999999999</v>
      </c>
    </row>
    <row r="3048" spans="1:4" x14ac:dyDescent="0.35">
      <c r="A3048" t="str">
        <f t="shared" si="47"/>
        <v>71Total Fees</v>
      </c>
      <c r="B3048">
        <v>71</v>
      </c>
      <c r="C3048" s="9" t="s">
        <v>40</v>
      </c>
      <c r="D3048" s="8">
        <v>0</v>
      </c>
    </row>
    <row r="3049" spans="1:4" x14ac:dyDescent="0.35">
      <c r="A3049" t="str">
        <f t="shared" si="47"/>
        <v>71Estimated Strategy Capacity</v>
      </c>
      <c r="B3049">
        <v>71</v>
      </c>
      <c r="C3049" s="9" t="s">
        <v>41</v>
      </c>
      <c r="D3049" s="8">
        <v>85000000</v>
      </c>
    </row>
    <row r="3050" spans="1:4" x14ac:dyDescent="0.35">
      <c r="A3050" t="str">
        <f t="shared" si="47"/>
        <v>70PSR</v>
      </c>
      <c r="B3050">
        <v>70</v>
      </c>
      <c r="C3050" s="9" t="s">
        <v>27</v>
      </c>
      <c r="D3050" s="8">
        <v>0.84189999999999998</v>
      </c>
    </row>
    <row r="3051" spans="1:4" x14ac:dyDescent="0.35">
      <c r="A3051" t="str">
        <f t="shared" si="47"/>
        <v>70Sharpe Ratio</v>
      </c>
      <c r="B3051">
        <v>70</v>
      </c>
      <c r="C3051" s="9" t="s">
        <v>1</v>
      </c>
      <c r="D3051" s="8">
        <v>1.857</v>
      </c>
    </row>
    <row r="3052" spans="1:4" x14ac:dyDescent="0.35">
      <c r="A3052" t="str">
        <f t="shared" si="47"/>
        <v>70Total Trades</v>
      </c>
      <c r="B3052">
        <v>70</v>
      </c>
      <c r="C3052" s="9" t="s">
        <v>28</v>
      </c>
      <c r="D3052" s="8">
        <v>492</v>
      </c>
    </row>
    <row r="3053" spans="1:4" x14ac:dyDescent="0.35">
      <c r="A3053" t="str">
        <f t="shared" si="47"/>
        <v>70Average Win</v>
      </c>
      <c r="B3053">
        <v>70</v>
      </c>
      <c r="C3053" s="9" t="s">
        <v>25</v>
      </c>
      <c r="D3053" s="8">
        <v>4.1000000000000003E-3</v>
      </c>
    </row>
    <row r="3054" spans="1:4" x14ac:dyDescent="0.35">
      <c r="A3054" t="str">
        <f t="shared" si="47"/>
        <v>70Average Loss</v>
      </c>
      <c r="B3054">
        <v>70</v>
      </c>
      <c r="C3054" s="9" t="s">
        <v>29</v>
      </c>
      <c r="D3054" s="8">
        <v>-1.6000000000000001E-3</v>
      </c>
    </row>
    <row r="3055" spans="1:4" x14ac:dyDescent="0.35">
      <c r="A3055" t="str">
        <f t="shared" si="47"/>
        <v>70Compounding Annual Return</v>
      </c>
      <c r="B3055">
        <v>70</v>
      </c>
      <c r="C3055" s="9" t="s">
        <v>30</v>
      </c>
      <c r="D3055" s="8">
        <v>3.9710000000000002E-2</v>
      </c>
    </row>
    <row r="3056" spans="1:4" x14ac:dyDescent="0.35">
      <c r="A3056" t="str">
        <f t="shared" si="47"/>
        <v>70Drawdown</v>
      </c>
      <c r="B3056">
        <v>70</v>
      </c>
      <c r="C3056" s="9" t="s">
        <v>8</v>
      </c>
      <c r="D3056" s="8">
        <v>0.01</v>
      </c>
    </row>
    <row r="3057" spans="1:4" x14ac:dyDescent="0.35">
      <c r="A3057" t="str">
        <f t="shared" si="47"/>
        <v>70Expectancy</v>
      </c>
      <c r="B3057">
        <v>70</v>
      </c>
      <c r="C3057" s="9" t="s">
        <v>31</v>
      </c>
      <c r="D3057" s="8">
        <v>0.99099999999999999</v>
      </c>
    </row>
    <row r="3058" spans="1:4" x14ac:dyDescent="0.35">
      <c r="A3058" t="str">
        <f t="shared" si="47"/>
        <v>70Net Profit</v>
      </c>
      <c r="B3058">
        <v>70</v>
      </c>
      <c r="C3058" s="9" t="s">
        <v>32</v>
      </c>
      <c r="D3058" s="8">
        <v>2.5499999999999998E-2</v>
      </c>
    </row>
    <row r="3059" spans="1:4" x14ac:dyDescent="0.35">
      <c r="A3059" t="str">
        <f t="shared" si="47"/>
        <v>70Loss Rate</v>
      </c>
      <c r="B3059">
        <v>70</v>
      </c>
      <c r="C3059" s="9" t="s">
        <v>33</v>
      </c>
      <c r="D3059" s="8">
        <v>0.44</v>
      </c>
    </row>
    <row r="3060" spans="1:4" x14ac:dyDescent="0.35">
      <c r="A3060" t="str">
        <f t="shared" si="47"/>
        <v>70Win Rate</v>
      </c>
      <c r="B3060">
        <v>70</v>
      </c>
      <c r="C3060" s="9" t="s">
        <v>34</v>
      </c>
      <c r="D3060" s="8">
        <v>0.56000000000000005</v>
      </c>
    </row>
    <row r="3061" spans="1:4" x14ac:dyDescent="0.35">
      <c r="A3061" t="str">
        <f t="shared" si="47"/>
        <v>70Profit-Loss Ratio</v>
      </c>
      <c r="B3061">
        <v>70</v>
      </c>
      <c r="C3061" s="9" t="s">
        <v>26</v>
      </c>
      <c r="D3061" s="8">
        <v>2.54</v>
      </c>
    </row>
    <row r="3062" spans="1:4" x14ac:dyDescent="0.35">
      <c r="A3062" t="str">
        <f t="shared" si="47"/>
        <v>70Alpha</v>
      </c>
      <c r="B3062">
        <v>70</v>
      </c>
      <c r="C3062" s="9" t="s">
        <v>23</v>
      </c>
      <c r="D3062" s="8">
        <v>2.8000000000000001E-2</v>
      </c>
    </row>
    <row r="3063" spans="1:4" x14ac:dyDescent="0.35">
      <c r="A3063" t="str">
        <f t="shared" si="47"/>
        <v>70Beta</v>
      </c>
      <c r="B3063">
        <v>70</v>
      </c>
      <c r="C3063" s="9" t="s">
        <v>24</v>
      </c>
      <c r="D3063" s="8">
        <v>-1E-3</v>
      </c>
    </row>
    <row r="3064" spans="1:4" x14ac:dyDescent="0.35">
      <c r="A3064" t="str">
        <f t="shared" si="47"/>
        <v>70Annual Standard Deviation</v>
      </c>
      <c r="B3064">
        <v>70</v>
      </c>
      <c r="C3064" s="9" t="s">
        <v>35</v>
      </c>
      <c r="D3064" s="8">
        <v>1.4999999999999999E-2</v>
      </c>
    </row>
    <row r="3065" spans="1:4" x14ac:dyDescent="0.35">
      <c r="A3065" t="str">
        <f t="shared" si="47"/>
        <v>70Annual Variance</v>
      </c>
      <c r="B3065">
        <v>70</v>
      </c>
      <c r="C3065" s="9" t="s">
        <v>36</v>
      </c>
      <c r="D3065" s="8">
        <v>0</v>
      </c>
    </row>
    <row r="3066" spans="1:4" x14ac:dyDescent="0.35">
      <c r="A3066" t="str">
        <f t="shared" si="47"/>
        <v>70Information Ratio</v>
      </c>
      <c r="B3066">
        <v>70</v>
      </c>
      <c r="C3066" s="9" t="s">
        <v>37</v>
      </c>
      <c r="D3066" s="8">
        <v>-0.52900000000000003</v>
      </c>
    </row>
    <row r="3067" spans="1:4" x14ac:dyDescent="0.35">
      <c r="A3067" t="str">
        <f t="shared" si="47"/>
        <v>70Tracking Error</v>
      </c>
      <c r="B3067">
        <v>70</v>
      </c>
      <c r="C3067" s="9" t="s">
        <v>38</v>
      </c>
      <c r="D3067" s="8">
        <v>6.8000000000000005E-2</v>
      </c>
    </row>
    <row r="3068" spans="1:4" x14ac:dyDescent="0.35">
      <c r="A3068" t="str">
        <f t="shared" si="47"/>
        <v>70Treynor Ratio</v>
      </c>
      <c r="B3068">
        <v>70</v>
      </c>
      <c r="C3068" s="9" t="s">
        <v>39</v>
      </c>
      <c r="D3068" s="8">
        <v>-23.795000000000002</v>
      </c>
    </row>
    <row r="3069" spans="1:4" x14ac:dyDescent="0.35">
      <c r="A3069" t="str">
        <f t="shared" si="47"/>
        <v>70Total Fees</v>
      </c>
      <c r="B3069">
        <v>70</v>
      </c>
      <c r="C3069" s="9" t="s">
        <v>40</v>
      </c>
      <c r="D3069" s="8">
        <v>0</v>
      </c>
    </row>
    <row r="3070" spans="1:4" x14ac:dyDescent="0.35">
      <c r="A3070" t="str">
        <f t="shared" si="47"/>
        <v>70Estimated Strategy Capacity</v>
      </c>
      <c r="B3070">
        <v>70</v>
      </c>
      <c r="C3070" s="9" t="s">
        <v>41</v>
      </c>
      <c r="D3070" s="8">
        <v>660000000</v>
      </c>
    </row>
    <row r="3071" spans="1:4" x14ac:dyDescent="0.35">
      <c r="A3071" t="str">
        <f t="shared" si="47"/>
        <v>69PSR</v>
      </c>
      <c r="B3071">
        <v>69</v>
      </c>
      <c r="C3071" s="9" t="s">
        <v>27</v>
      </c>
      <c r="D3071" s="8">
        <v>0.19796</v>
      </c>
    </row>
    <row r="3072" spans="1:4" x14ac:dyDescent="0.35">
      <c r="A3072" t="str">
        <f t="shared" si="47"/>
        <v>69Sharpe Ratio</v>
      </c>
      <c r="B3072">
        <v>69</v>
      </c>
      <c r="C3072" s="9" t="s">
        <v>1</v>
      </c>
      <c r="D3072" s="8">
        <v>0.12</v>
      </c>
    </row>
    <row r="3073" spans="1:4" x14ac:dyDescent="0.35">
      <c r="A3073" t="str">
        <f t="shared" si="47"/>
        <v>69Total Trades</v>
      </c>
      <c r="B3073">
        <v>69</v>
      </c>
      <c r="C3073" s="9" t="s">
        <v>28</v>
      </c>
      <c r="D3073" s="8">
        <v>635</v>
      </c>
    </row>
    <row r="3074" spans="1:4" x14ac:dyDescent="0.35">
      <c r="A3074" t="str">
        <f t="shared" si="47"/>
        <v>69Average Win</v>
      </c>
      <c r="B3074">
        <v>69</v>
      </c>
      <c r="C3074" s="9" t="s">
        <v>25</v>
      </c>
      <c r="D3074" s="8">
        <v>0.1142</v>
      </c>
    </row>
    <row r="3075" spans="1:4" x14ac:dyDescent="0.35">
      <c r="A3075" t="str">
        <f t="shared" ref="A3075:A3138" si="48">B3075&amp;C3075</f>
        <v>69Average Loss</v>
      </c>
      <c r="B3075">
        <v>69</v>
      </c>
      <c r="C3075" s="9" t="s">
        <v>29</v>
      </c>
      <c r="D3075" s="8">
        <v>-8.0299999999999996E-2</v>
      </c>
    </row>
    <row r="3076" spans="1:4" x14ac:dyDescent="0.35">
      <c r="A3076" t="str">
        <f t="shared" si="48"/>
        <v>69Compounding Annual Return</v>
      </c>
      <c r="B3076">
        <v>69</v>
      </c>
      <c r="C3076" s="9" t="s">
        <v>30</v>
      </c>
      <c r="D3076" s="8">
        <v>-0.51705000000000001</v>
      </c>
    </row>
    <row r="3077" spans="1:4" x14ac:dyDescent="0.35">
      <c r="A3077" t="str">
        <f t="shared" si="48"/>
        <v>69Drawdown</v>
      </c>
      <c r="B3077">
        <v>69</v>
      </c>
      <c r="C3077" s="9" t="s">
        <v>8</v>
      </c>
      <c r="D3077" s="8">
        <v>0.621</v>
      </c>
    </row>
    <row r="3078" spans="1:4" x14ac:dyDescent="0.35">
      <c r="A3078" t="str">
        <f t="shared" si="48"/>
        <v>69Expectancy</v>
      </c>
      <c r="B3078">
        <v>69</v>
      </c>
      <c r="C3078" s="9" t="s">
        <v>31</v>
      </c>
      <c r="D3078" s="8">
        <v>-0.13500000000000001</v>
      </c>
    </row>
    <row r="3079" spans="1:4" x14ac:dyDescent="0.35">
      <c r="A3079" t="str">
        <f t="shared" si="48"/>
        <v>69Net Profit</v>
      </c>
      <c r="B3079">
        <v>69</v>
      </c>
      <c r="C3079" s="9" t="s">
        <v>32</v>
      </c>
      <c r="D3079" s="8">
        <v>-0.37531999999999999</v>
      </c>
    </row>
    <row r="3080" spans="1:4" x14ac:dyDescent="0.35">
      <c r="A3080" t="str">
        <f t="shared" si="48"/>
        <v>69Loss Rate</v>
      </c>
      <c r="B3080">
        <v>69</v>
      </c>
      <c r="C3080" s="9" t="s">
        <v>33</v>
      </c>
      <c r="D3080" s="8">
        <v>0.64</v>
      </c>
    </row>
    <row r="3081" spans="1:4" x14ac:dyDescent="0.35">
      <c r="A3081" t="str">
        <f t="shared" si="48"/>
        <v>69Win Rate</v>
      </c>
      <c r="B3081">
        <v>69</v>
      </c>
      <c r="C3081" s="9" t="s">
        <v>34</v>
      </c>
      <c r="D3081" s="8">
        <v>0.36</v>
      </c>
    </row>
    <row r="3082" spans="1:4" x14ac:dyDescent="0.35">
      <c r="A3082" t="str">
        <f t="shared" si="48"/>
        <v>69Profit-Loss Ratio</v>
      </c>
      <c r="B3082">
        <v>69</v>
      </c>
      <c r="C3082" s="9" t="s">
        <v>26</v>
      </c>
      <c r="D3082" s="8">
        <v>1.42</v>
      </c>
    </row>
    <row r="3083" spans="1:4" x14ac:dyDescent="0.35">
      <c r="A3083" t="str">
        <f t="shared" si="48"/>
        <v>69Alpha</v>
      </c>
      <c r="B3083">
        <v>69</v>
      </c>
      <c r="C3083" s="9" t="s">
        <v>23</v>
      </c>
      <c r="D3083" s="8">
        <v>8.6999999999999994E-2</v>
      </c>
    </row>
    <row r="3084" spans="1:4" x14ac:dyDescent="0.35">
      <c r="A3084" t="str">
        <f t="shared" si="48"/>
        <v>69Beta</v>
      </c>
      <c r="B3084">
        <v>69</v>
      </c>
      <c r="C3084" s="9" t="s">
        <v>24</v>
      </c>
      <c r="D3084" s="8">
        <v>0.57599999999999996</v>
      </c>
    </row>
    <row r="3085" spans="1:4" x14ac:dyDescent="0.35">
      <c r="A3085" t="str">
        <f t="shared" si="48"/>
        <v>69Annual Standard Deviation</v>
      </c>
      <c r="B3085">
        <v>69</v>
      </c>
      <c r="C3085" s="9" t="s">
        <v>35</v>
      </c>
      <c r="D3085" s="8">
        <v>1.0349999999999999</v>
      </c>
    </row>
    <row r="3086" spans="1:4" x14ac:dyDescent="0.35">
      <c r="A3086" t="str">
        <f t="shared" si="48"/>
        <v>69Annual Variance</v>
      </c>
      <c r="B3086">
        <v>69</v>
      </c>
      <c r="C3086" s="9" t="s">
        <v>36</v>
      </c>
      <c r="D3086" s="8">
        <v>1.071</v>
      </c>
    </row>
    <row r="3087" spans="1:4" x14ac:dyDescent="0.35">
      <c r="A3087" t="str">
        <f t="shared" si="48"/>
        <v>69Information Ratio</v>
      </c>
      <c r="B3087">
        <v>69</v>
      </c>
      <c r="C3087" s="9" t="s">
        <v>37</v>
      </c>
      <c r="D3087" s="8">
        <v>5.8000000000000003E-2</v>
      </c>
    </row>
    <row r="3088" spans="1:4" x14ac:dyDescent="0.35">
      <c r="A3088" t="str">
        <f t="shared" si="48"/>
        <v>69Tracking Error</v>
      </c>
      <c r="B3088">
        <v>69</v>
      </c>
      <c r="C3088" s="9" t="s">
        <v>38</v>
      </c>
      <c r="D3088" s="8">
        <v>1.034</v>
      </c>
    </row>
    <row r="3089" spans="1:4" x14ac:dyDescent="0.35">
      <c r="A3089" t="str">
        <f t="shared" si="48"/>
        <v>69Treynor Ratio</v>
      </c>
      <c r="B3089">
        <v>69</v>
      </c>
      <c r="C3089" s="9" t="s">
        <v>39</v>
      </c>
      <c r="D3089" s="8">
        <v>0.215</v>
      </c>
    </row>
    <row r="3090" spans="1:4" x14ac:dyDescent="0.35">
      <c r="A3090" t="str">
        <f t="shared" si="48"/>
        <v>69Total Fees</v>
      </c>
      <c r="B3090">
        <v>69</v>
      </c>
      <c r="C3090" s="9" t="s">
        <v>40</v>
      </c>
      <c r="D3090" s="8">
        <v>0</v>
      </c>
    </row>
    <row r="3091" spans="1:4" x14ac:dyDescent="0.35">
      <c r="A3091" t="str">
        <f t="shared" si="48"/>
        <v>69Estimated Strategy Capacity</v>
      </c>
      <c r="B3091">
        <v>69</v>
      </c>
      <c r="C3091" s="9" t="s">
        <v>41</v>
      </c>
      <c r="D3091" s="8">
        <v>11000000</v>
      </c>
    </row>
    <row r="3092" spans="1:4" x14ac:dyDescent="0.35">
      <c r="A3092" t="str">
        <f t="shared" si="48"/>
        <v>68PSR</v>
      </c>
      <c r="B3092">
        <v>68</v>
      </c>
      <c r="C3092" t="s">
        <v>27</v>
      </c>
      <c r="D3092" s="6">
        <v>0.29354999999999998</v>
      </c>
    </row>
    <row r="3093" spans="1:4" x14ac:dyDescent="0.35">
      <c r="A3093" t="str">
        <f t="shared" si="48"/>
        <v>68Sharpe Ratio</v>
      </c>
      <c r="B3093">
        <v>68</v>
      </c>
      <c r="C3093" t="s">
        <v>1</v>
      </c>
      <c r="D3093" s="6">
        <v>0.442</v>
      </c>
    </row>
    <row r="3094" spans="1:4" x14ac:dyDescent="0.35">
      <c r="A3094" t="str">
        <f t="shared" si="48"/>
        <v>68Total Trades</v>
      </c>
      <c r="B3094">
        <v>68</v>
      </c>
      <c r="C3094" t="s">
        <v>28</v>
      </c>
      <c r="D3094" s="6">
        <v>393</v>
      </c>
    </row>
    <row r="3095" spans="1:4" x14ac:dyDescent="0.35">
      <c r="A3095" t="str">
        <f t="shared" si="48"/>
        <v>68Average Win</v>
      </c>
      <c r="B3095">
        <v>68</v>
      </c>
      <c r="C3095" t="s">
        <v>25</v>
      </c>
      <c r="D3095" s="6">
        <v>3.7199999999999997E-2</v>
      </c>
    </row>
    <row r="3096" spans="1:4" x14ac:dyDescent="0.35">
      <c r="A3096" t="str">
        <f t="shared" si="48"/>
        <v>68Average Loss</v>
      </c>
      <c r="B3096">
        <v>68</v>
      </c>
      <c r="C3096" t="s">
        <v>29</v>
      </c>
      <c r="D3096" s="6">
        <v>-3.39E-2</v>
      </c>
    </row>
    <row r="3097" spans="1:4" x14ac:dyDescent="0.35">
      <c r="A3097" t="str">
        <f t="shared" si="48"/>
        <v>68Compounding Annual Return</v>
      </c>
      <c r="B3097">
        <v>68</v>
      </c>
      <c r="C3097" t="s">
        <v>30</v>
      </c>
      <c r="D3097" s="6">
        <v>8.3169999999999994E-2</v>
      </c>
    </row>
    <row r="3098" spans="1:4" x14ac:dyDescent="0.35">
      <c r="A3098" t="str">
        <f t="shared" si="48"/>
        <v>68Drawdown</v>
      </c>
      <c r="B3098">
        <v>68</v>
      </c>
      <c r="C3098" t="s">
        <v>8</v>
      </c>
      <c r="D3098" s="6">
        <v>0.191</v>
      </c>
    </row>
    <row r="3099" spans="1:4" x14ac:dyDescent="0.35">
      <c r="A3099" t="str">
        <f t="shared" si="48"/>
        <v>68Expectancy</v>
      </c>
      <c r="B3099">
        <v>68</v>
      </c>
      <c r="C3099" t="s">
        <v>31</v>
      </c>
      <c r="D3099" s="6">
        <v>0.128</v>
      </c>
    </row>
    <row r="3100" spans="1:4" x14ac:dyDescent="0.35">
      <c r="A3100" t="str">
        <f t="shared" si="48"/>
        <v>68Net Profit</v>
      </c>
      <c r="B3100">
        <v>68</v>
      </c>
      <c r="C3100" t="s">
        <v>32</v>
      </c>
      <c r="D3100" s="6">
        <v>5.2769999999999997E-2</v>
      </c>
    </row>
    <row r="3101" spans="1:4" x14ac:dyDescent="0.35">
      <c r="A3101" t="str">
        <f t="shared" si="48"/>
        <v>68Loss Rate</v>
      </c>
      <c r="B3101">
        <v>68</v>
      </c>
      <c r="C3101" t="s">
        <v>33</v>
      </c>
      <c r="D3101" s="6">
        <v>0.46</v>
      </c>
    </row>
    <row r="3102" spans="1:4" x14ac:dyDescent="0.35">
      <c r="A3102" t="str">
        <f t="shared" si="48"/>
        <v>68Win Rate</v>
      </c>
      <c r="B3102">
        <v>68</v>
      </c>
      <c r="C3102" t="s">
        <v>34</v>
      </c>
      <c r="D3102" s="6">
        <v>0.54</v>
      </c>
    </row>
    <row r="3103" spans="1:4" x14ac:dyDescent="0.35">
      <c r="A3103" t="str">
        <f t="shared" si="48"/>
        <v>68Profit-Loss Ratio</v>
      </c>
      <c r="B3103">
        <v>68</v>
      </c>
      <c r="C3103" t="s">
        <v>26</v>
      </c>
      <c r="D3103" s="6">
        <v>1.0900000000000001</v>
      </c>
    </row>
    <row r="3104" spans="1:4" x14ac:dyDescent="0.35">
      <c r="A3104" t="str">
        <f t="shared" si="48"/>
        <v>68Alpha</v>
      </c>
      <c r="B3104">
        <v>68</v>
      </c>
      <c r="C3104" t="s">
        <v>23</v>
      </c>
      <c r="D3104" s="6">
        <v>7.0999999999999994E-2</v>
      </c>
    </row>
    <row r="3105" spans="1:4" x14ac:dyDescent="0.35">
      <c r="A3105" t="str">
        <f t="shared" si="48"/>
        <v>68Beta</v>
      </c>
      <c r="B3105">
        <v>68</v>
      </c>
      <c r="C3105" t="s">
        <v>24</v>
      </c>
      <c r="D3105" s="6">
        <v>-8.9999999999999993E-3</v>
      </c>
    </row>
    <row r="3106" spans="1:4" x14ac:dyDescent="0.35">
      <c r="A3106" t="str">
        <f t="shared" si="48"/>
        <v>68Annual Standard Deviation</v>
      </c>
      <c r="B3106">
        <v>68</v>
      </c>
      <c r="C3106" t="s">
        <v>35</v>
      </c>
      <c r="D3106" s="6">
        <v>0.159</v>
      </c>
    </row>
    <row r="3107" spans="1:4" x14ac:dyDescent="0.35">
      <c r="A3107" t="str">
        <f t="shared" si="48"/>
        <v>68Annual Variance</v>
      </c>
      <c r="B3107">
        <v>68</v>
      </c>
      <c r="C3107" t="s">
        <v>36</v>
      </c>
      <c r="D3107" s="6">
        <v>2.5000000000000001E-2</v>
      </c>
    </row>
    <row r="3108" spans="1:4" x14ac:dyDescent="0.35">
      <c r="A3108" t="str">
        <f t="shared" si="48"/>
        <v>68Information Ratio</v>
      </c>
      <c r="B3108">
        <v>68</v>
      </c>
      <c r="C3108" t="s">
        <v>37</v>
      </c>
      <c r="D3108" s="6">
        <v>3.7999999999999999E-2</v>
      </c>
    </row>
    <row r="3109" spans="1:4" x14ac:dyDescent="0.35">
      <c r="A3109" t="str">
        <f t="shared" si="48"/>
        <v>68Tracking Error</v>
      </c>
      <c r="B3109">
        <v>68</v>
      </c>
      <c r="C3109" t="s">
        <v>38</v>
      </c>
      <c r="D3109" s="6">
        <v>0.17299999999999999</v>
      </c>
    </row>
    <row r="3110" spans="1:4" x14ac:dyDescent="0.35">
      <c r="A3110" t="str">
        <f t="shared" si="48"/>
        <v>68Treynor Ratio</v>
      </c>
      <c r="B3110">
        <v>68</v>
      </c>
      <c r="C3110" t="s">
        <v>39</v>
      </c>
      <c r="D3110" s="6">
        <v>-7.6760000000000002</v>
      </c>
    </row>
    <row r="3111" spans="1:4" x14ac:dyDescent="0.35">
      <c r="A3111" t="str">
        <f t="shared" si="48"/>
        <v>68Total Fees</v>
      </c>
      <c r="B3111">
        <v>68</v>
      </c>
      <c r="C3111" t="s">
        <v>40</v>
      </c>
      <c r="D3111" s="6">
        <v>0</v>
      </c>
    </row>
    <row r="3112" spans="1:4" x14ac:dyDescent="0.35">
      <c r="A3112" t="str">
        <f t="shared" si="48"/>
        <v>68Estimated Strategy Capacity</v>
      </c>
      <c r="B3112">
        <v>68</v>
      </c>
      <c r="C3112" t="s">
        <v>41</v>
      </c>
      <c r="D3112" s="6">
        <v>1200000000</v>
      </c>
    </row>
    <row r="3113" spans="1:4" x14ac:dyDescent="0.35">
      <c r="A3113" t="str">
        <f t="shared" si="48"/>
        <v>67PSR</v>
      </c>
      <c r="B3113">
        <v>67</v>
      </c>
      <c r="C3113" t="s">
        <v>27</v>
      </c>
      <c r="D3113" s="6">
        <v>0.27898000000000001</v>
      </c>
    </row>
    <row r="3114" spans="1:4" x14ac:dyDescent="0.35">
      <c r="A3114" t="str">
        <f t="shared" si="48"/>
        <v>67Sharpe Ratio</v>
      </c>
      <c r="B3114">
        <v>67</v>
      </c>
      <c r="C3114" t="s">
        <v>1</v>
      </c>
      <c r="D3114" s="6">
        <v>0.38200000000000001</v>
      </c>
    </row>
    <row r="3115" spans="1:4" x14ac:dyDescent="0.35">
      <c r="A3115" t="str">
        <f t="shared" si="48"/>
        <v>67Total Trades</v>
      </c>
      <c r="B3115">
        <v>67</v>
      </c>
      <c r="C3115" t="s">
        <v>28</v>
      </c>
      <c r="D3115" s="6">
        <v>393</v>
      </c>
    </row>
    <row r="3116" spans="1:4" x14ac:dyDescent="0.35">
      <c r="A3116" t="str">
        <f t="shared" si="48"/>
        <v>67Average Win</v>
      </c>
      <c r="B3116">
        <v>67</v>
      </c>
      <c r="C3116" t="s">
        <v>25</v>
      </c>
      <c r="D3116" s="6">
        <v>3.3999999999999998E-3</v>
      </c>
    </row>
    <row r="3117" spans="1:4" x14ac:dyDescent="0.35">
      <c r="A3117" t="str">
        <f t="shared" si="48"/>
        <v>67Average Loss</v>
      </c>
      <c r="B3117">
        <v>67</v>
      </c>
      <c r="C3117" t="s">
        <v>29</v>
      </c>
      <c r="D3117" s="6">
        <v>-3.3E-3</v>
      </c>
    </row>
    <row r="3118" spans="1:4" x14ac:dyDescent="0.35">
      <c r="A3118" t="str">
        <f t="shared" si="48"/>
        <v>67Compounding Annual Return</v>
      </c>
      <c r="B3118">
        <v>67</v>
      </c>
      <c r="C3118" t="s">
        <v>30</v>
      </c>
      <c r="D3118" s="6">
        <v>8.2100000000000003E-3</v>
      </c>
    </row>
    <row r="3119" spans="1:4" x14ac:dyDescent="0.35">
      <c r="A3119" t="str">
        <f t="shared" si="48"/>
        <v>67Drawdown</v>
      </c>
      <c r="B3119">
        <v>67</v>
      </c>
      <c r="C3119" t="s">
        <v>8</v>
      </c>
      <c r="D3119" s="6">
        <v>0.02</v>
      </c>
    </row>
    <row r="3120" spans="1:4" x14ac:dyDescent="0.35">
      <c r="A3120" t="str">
        <f t="shared" si="48"/>
        <v>67Expectancy</v>
      </c>
      <c r="B3120">
        <v>67</v>
      </c>
      <c r="C3120" t="s">
        <v>31</v>
      </c>
      <c r="D3120" s="6">
        <v>0.108</v>
      </c>
    </row>
    <row r="3121" spans="1:4" x14ac:dyDescent="0.35">
      <c r="A3121" t="str">
        <f t="shared" si="48"/>
        <v>67Net Profit</v>
      </c>
      <c r="B3121">
        <v>67</v>
      </c>
      <c r="C3121" t="s">
        <v>32</v>
      </c>
      <c r="D3121" s="6">
        <v>5.28E-3</v>
      </c>
    </row>
    <row r="3122" spans="1:4" x14ac:dyDescent="0.35">
      <c r="A3122" t="str">
        <f t="shared" si="48"/>
        <v>67Loss Rate</v>
      </c>
      <c r="B3122">
        <v>67</v>
      </c>
      <c r="C3122" t="s">
        <v>33</v>
      </c>
      <c r="D3122" s="6">
        <v>0.46</v>
      </c>
    </row>
    <row r="3123" spans="1:4" x14ac:dyDescent="0.35">
      <c r="A3123" t="str">
        <f t="shared" si="48"/>
        <v>67Win Rate</v>
      </c>
      <c r="B3123">
        <v>67</v>
      </c>
      <c r="C3123" t="s">
        <v>34</v>
      </c>
      <c r="D3123" s="6">
        <v>0.54</v>
      </c>
    </row>
    <row r="3124" spans="1:4" x14ac:dyDescent="0.35">
      <c r="A3124" t="str">
        <f t="shared" si="48"/>
        <v>67Profit-Loss Ratio</v>
      </c>
      <c r="B3124">
        <v>67</v>
      </c>
      <c r="C3124" t="s">
        <v>26</v>
      </c>
      <c r="D3124" s="6">
        <v>1.06</v>
      </c>
    </row>
    <row r="3125" spans="1:4" x14ac:dyDescent="0.35">
      <c r="A3125" t="str">
        <f t="shared" si="48"/>
        <v>67Alpha</v>
      </c>
      <c r="B3125">
        <v>67</v>
      </c>
      <c r="C3125" t="s">
        <v>23</v>
      </c>
      <c r="D3125" s="6">
        <v>6.0000000000000001E-3</v>
      </c>
    </row>
    <row r="3126" spans="1:4" x14ac:dyDescent="0.35">
      <c r="A3126" t="str">
        <f t="shared" si="48"/>
        <v>67Beta</v>
      </c>
      <c r="B3126">
        <v>67</v>
      </c>
      <c r="C3126" t="s">
        <v>24</v>
      </c>
      <c r="D3126" s="6">
        <v>-1E-3</v>
      </c>
    </row>
    <row r="3127" spans="1:4" x14ac:dyDescent="0.35">
      <c r="A3127" t="str">
        <f t="shared" si="48"/>
        <v>67Annual Standard Deviation</v>
      </c>
      <c r="B3127">
        <v>67</v>
      </c>
      <c r="C3127" t="s">
        <v>35</v>
      </c>
      <c r="D3127" s="6">
        <v>1.4999999999999999E-2</v>
      </c>
    </row>
    <row r="3128" spans="1:4" x14ac:dyDescent="0.35">
      <c r="A3128" t="str">
        <f t="shared" si="48"/>
        <v>67Annual Variance</v>
      </c>
      <c r="B3128">
        <v>67</v>
      </c>
      <c r="C3128" t="s">
        <v>36</v>
      </c>
      <c r="D3128" s="6">
        <v>0</v>
      </c>
    </row>
    <row r="3129" spans="1:4" x14ac:dyDescent="0.35">
      <c r="A3129" t="str">
        <f t="shared" si="48"/>
        <v>67Information Ratio</v>
      </c>
      <c r="B3129">
        <v>67</v>
      </c>
      <c r="C3129" t="s">
        <v>37</v>
      </c>
      <c r="D3129" s="6">
        <v>-0.84699999999999998</v>
      </c>
    </row>
    <row r="3130" spans="1:4" x14ac:dyDescent="0.35">
      <c r="A3130" t="str">
        <f t="shared" si="48"/>
        <v>67Tracking Error</v>
      </c>
      <c r="B3130">
        <v>67</v>
      </c>
      <c r="C3130" t="s">
        <v>38</v>
      </c>
      <c r="D3130" s="6">
        <v>6.9000000000000006E-2</v>
      </c>
    </row>
    <row r="3131" spans="1:4" x14ac:dyDescent="0.35">
      <c r="A3131" t="str">
        <f t="shared" si="48"/>
        <v>67Treynor Ratio</v>
      </c>
      <c r="B3131">
        <v>67</v>
      </c>
      <c r="C3131" t="s">
        <v>39</v>
      </c>
      <c r="D3131" s="6">
        <v>-5.5970000000000004</v>
      </c>
    </row>
    <row r="3132" spans="1:4" x14ac:dyDescent="0.35">
      <c r="A3132" t="str">
        <f t="shared" si="48"/>
        <v>67Total Fees</v>
      </c>
      <c r="B3132">
        <v>67</v>
      </c>
      <c r="C3132" t="s">
        <v>40</v>
      </c>
      <c r="D3132" s="6">
        <v>0</v>
      </c>
    </row>
    <row r="3133" spans="1:4" x14ac:dyDescent="0.35">
      <c r="A3133" t="str">
        <f t="shared" si="48"/>
        <v>67Estimated Strategy Capacity</v>
      </c>
      <c r="B3133">
        <v>67</v>
      </c>
      <c r="C3133" t="s">
        <v>41</v>
      </c>
      <c r="D3133" s="6">
        <v>12000000000</v>
      </c>
    </row>
    <row r="3134" spans="1:4" x14ac:dyDescent="0.35">
      <c r="A3134" t="str">
        <f t="shared" si="48"/>
        <v>66PSR</v>
      </c>
      <c r="B3134">
        <v>66</v>
      </c>
      <c r="C3134" t="s">
        <v>27</v>
      </c>
      <c r="D3134" s="6">
        <v>0.47305000000000003</v>
      </c>
    </row>
    <row r="3135" spans="1:4" x14ac:dyDescent="0.35">
      <c r="A3135" t="str">
        <f t="shared" si="48"/>
        <v>66Sharpe Ratio</v>
      </c>
      <c r="B3135">
        <v>66</v>
      </c>
      <c r="C3135" t="s">
        <v>1</v>
      </c>
      <c r="D3135" s="6">
        <v>1.341</v>
      </c>
    </row>
    <row r="3136" spans="1:4" x14ac:dyDescent="0.35">
      <c r="A3136" t="str">
        <f t="shared" si="48"/>
        <v>66Total Trades</v>
      </c>
      <c r="B3136">
        <v>66</v>
      </c>
      <c r="C3136" t="s">
        <v>28</v>
      </c>
      <c r="D3136" s="6">
        <v>680</v>
      </c>
    </row>
    <row r="3137" spans="1:4" x14ac:dyDescent="0.35">
      <c r="A3137" t="str">
        <f t="shared" si="48"/>
        <v>66Average Win</v>
      </c>
      <c r="B3137">
        <v>66</v>
      </c>
      <c r="C3137" t="s">
        <v>25</v>
      </c>
      <c r="D3137" s="6">
        <v>0.1079</v>
      </c>
    </row>
    <row r="3138" spans="1:4" x14ac:dyDescent="0.35">
      <c r="A3138" t="str">
        <f t="shared" si="48"/>
        <v>66Average Loss</v>
      </c>
      <c r="B3138">
        <v>66</v>
      </c>
      <c r="C3138" t="s">
        <v>29</v>
      </c>
      <c r="D3138" s="6">
        <v>-5.9400000000000001E-2</v>
      </c>
    </row>
    <row r="3139" spans="1:4" x14ac:dyDescent="0.35">
      <c r="A3139" t="str">
        <f t="shared" ref="A3139:A3202" si="49">B3139&amp;C3139</f>
        <v>66Compounding Annual Return</v>
      </c>
      <c r="B3139">
        <v>66</v>
      </c>
      <c r="C3139" t="s">
        <v>30</v>
      </c>
      <c r="D3139" s="6">
        <v>0.82528999999999997</v>
      </c>
    </row>
    <row r="3140" spans="1:4" x14ac:dyDescent="0.35">
      <c r="A3140" t="str">
        <f t="shared" si="49"/>
        <v>66Drawdown</v>
      </c>
      <c r="B3140">
        <v>66</v>
      </c>
      <c r="C3140" t="s">
        <v>8</v>
      </c>
      <c r="D3140" s="6">
        <v>0.44</v>
      </c>
    </row>
    <row r="3141" spans="1:4" x14ac:dyDescent="0.35">
      <c r="A3141" t="str">
        <f t="shared" si="49"/>
        <v>66Expectancy</v>
      </c>
      <c r="B3141">
        <v>66</v>
      </c>
      <c r="C3141" t="s">
        <v>31</v>
      </c>
      <c r="D3141" s="6">
        <v>0.40799999999999997</v>
      </c>
    </row>
    <row r="3142" spans="1:4" x14ac:dyDescent="0.35">
      <c r="A3142" t="str">
        <f t="shared" si="49"/>
        <v>66Net Profit</v>
      </c>
      <c r="B3142">
        <v>66</v>
      </c>
      <c r="C3142" t="s">
        <v>32</v>
      </c>
      <c r="D3142" s="6">
        <v>0.47308</v>
      </c>
    </row>
    <row r="3143" spans="1:4" x14ac:dyDescent="0.35">
      <c r="A3143" t="str">
        <f t="shared" si="49"/>
        <v>66Loss Rate</v>
      </c>
      <c r="B3143">
        <v>66</v>
      </c>
      <c r="C3143" t="s">
        <v>33</v>
      </c>
      <c r="D3143" s="6">
        <v>0.5</v>
      </c>
    </row>
    <row r="3144" spans="1:4" x14ac:dyDescent="0.35">
      <c r="A3144" t="str">
        <f t="shared" si="49"/>
        <v>66Win Rate</v>
      </c>
      <c r="B3144">
        <v>66</v>
      </c>
      <c r="C3144" t="s">
        <v>34</v>
      </c>
      <c r="D3144" s="6">
        <v>0.5</v>
      </c>
    </row>
    <row r="3145" spans="1:4" x14ac:dyDescent="0.35">
      <c r="A3145" t="str">
        <f t="shared" si="49"/>
        <v>66Profit-Loss Ratio</v>
      </c>
      <c r="B3145">
        <v>66</v>
      </c>
      <c r="C3145" t="s">
        <v>26</v>
      </c>
      <c r="D3145" s="6">
        <v>1.82</v>
      </c>
    </row>
    <row r="3146" spans="1:4" x14ac:dyDescent="0.35">
      <c r="A3146" t="str">
        <f t="shared" si="49"/>
        <v>66Alpha</v>
      </c>
      <c r="B3146">
        <v>66</v>
      </c>
      <c r="C3146" t="s">
        <v>23</v>
      </c>
      <c r="D3146" s="6">
        <v>0.94699999999999995</v>
      </c>
    </row>
    <row r="3147" spans="1:4" x14ac:dyDescent="0.35">
      <c r="A3147" t="str">
        <f t="shared" si="49"/>
        <v>66Beta</v>
      </c>
      <c r="B3147">
        <v>66</v>
      </c>
      <c r="C3147" t="s">
        <v>24</v>
      </c>
      <c r="D3147" s="6">
        <v>0.86699999999999999</v>
      </c>
    </row>
    <row r="3148" spans="1:4" x14ac:dyDescent="0.35">
      <c r="A3148" t="str">
        <f t="shared" si="49"/>
        <v>66Annual Standard Deviation</v>
      </c>
      <c r="B3148">
        <v>66</v>
      </c>
      <c r="C3148" t="s">
        <v>35</v>
      </c>
      <c r="D3148" s="6">
        <v>0.747</v>
      </c>
    </row>
    <row r="3149" spans="1:4" x14ac:dyDescent="0.35">
      <c r="A3149" t="str">
        <f t="shared" si="49"/>
        <v>66Annual Variance</v>
      </c>
      <c r="B3149">
        <v>66</v>
      </c>
      <c r="C3149" t="s">
        <v>36</v>
      </c>
      <c r="D3149" s="6">
        <v>0.55800000000000005</v>
      </c>
    </row>
    <row r="3150" spans="1:4" x14ac:dyDescent="0.35">
      <c r="A3150" t="str">
        <f t="shared" si="49"/>
        <v>66Information Ratio</v>
      </c>
      <c r="B3150">
        <v>66</v>
      </c>
      <c r="C3150" t="s">
        <v>37</v>
      </c>
      <c r="D3150" s="6">
        <v>1.26</v>
      </c>
    </row>
    <row r="3151" spans="1:4" x14ac:dyDescent="0.35">
      <c r="A3151" t="str">
        <f t="shared" si="49"/>
        <v>66Tracking Error</v>
      </c>
      <c r="B3151">
        <v>66</v>
      </c>
      <c r="C3151" t="s">
        <v>38</v>
      </c>
      <c r="D3151" s="6">
        <v>0.745</v>
      </c>
    </row>
    <row r="3152" spans="1:4" x14ac:dyDescent="0.35">
      <c r="A3152" t="str">
        <f t="shared" si="49"/>
        <v>66Treynor Ratio</v>
      </c>
      <c r="B3152">
        <v>66</v>
      </c>
      <c r="C3152" t="s">
        <v>39</v>
      </c>
      <c r="D3152" s="6">
        <v>1.1559999999999999</v>
      </c>
    </row>
    <row r="3153" spans="1:4" x14ac:dyDescent="0.35">
      <c r="A3153" t="str">
        <f t="shared" si="49"/>
        <v>66Total Fees</v>
      </c>
      <c r="B3153">
        <v>66</v>
      </c>
      <c r="C3153" t="s">
        <v>40</v>
      </c>
      <c r="D3153" s="6">
        <v>0</v>
      </c>
    </row>
    <row r="3154" spans="1:4" x14ac:dyDescent="0.35">
      <c r="A3154" t="str">
        <f t="shared" si="49"/>
        <v>66Estimated Strategy Capacity</v>
      </c>
      <c r="B3154">
        <v>66</v>
      </c>
      <c r="C3154" t="s">
        <v>41</v>
      </c>
      <c r="D3154" s="6">
        <v>2900000</v>
      </c>
    </row>
    <row r="3155" spans="1:4" x14ac:dyDescent="0.35">
      <c r="A3155" t="str">
        <f t="shared" si="49"/>
        <v>65PSR</v>
      </c>
      <c r="B3155">
        <v>65</v>
      </c>
      <c r="C3155" t="s">
        <v>27</v>
      </c>
      <c r="D3155" s="6">
        <v>0.38990999999999998</v>
      </c>
    </row>
    <row r="3156" spans="1:4" x14ac:dyDescent="0.35">
      <c r="A3156" t="str">
        <f t="shared" si="49"/>
        <v>65Sharpe Ratio</v>
      </c>
      <c r="B3156">
        <v>65</v>
      </c>
      <c r="C3156" t="s">
        <v>1</v>
      </c>
      <c r="D3156" s="6">
        <v>0.747</v>
      </c>
    </row>
    <row r="3157" spans="1:4" x14ac:dyDescent="0.35">
      <c r="A3157" t="str">
        <f t="shared" si="49"/>
        <v>65Total Trades</v>
      </c>
      <c r="B3157">
        <v>65</v>
      </c>
      <c r="C3157" t="s">
        <v>28</v>
      </c>
      <c r="D3157" s="6">
        <v>680</v>
      </c>
    </row>
    <row r="3158" spans="1:4" x14ac:dyDescent="0.35">
      <c r="A3158" t="str">
        <f t="shared" si="49"/>
        <v>65Average Win</v>
      </c>
      <c r="B3158">
        <v>65</v>
      </c>
      <c r="C3158" t="s">
        <v>25</v>
      </c>
      <c r="D3158" s="6">
        <v>2.24E-2</v>
      </c>
    </row>
    <row r="3159" spans="1:4" x14ac:dyDescent="0.35">
      <c r="A3159" t="str">
        <f t="shared" si="49"/>
        <v>65Average Loss</v>
      </c>
      <c r="B3159">
        <v>65</v>
      </c>
      <c r="C3159" t="s">
        <v>29</v>
      </c>
      <c r="D3159" s="6">
        <v>-1.3599999999999999E-2</v>
      </c>
    </row>
    <row r="3160" spans="1:4" x14ac:dyDescent="0.35">
      <c r="A3160" t="str">
        <f t="shared" si="49"/>
        <v>65Compounding Annual Return</v>
      </c>
      <c r="B3160">
        <v>65</v>
      </c>
      <c r="C3160" t="s">
        <v>30</v>
      </c>
      <c r="D3160" s="6">
        <v>0.15078</v>
      </c>
    </row>
    <row r="3161" spans="1:4" x14ac:dyDescent="0.35">
      <c r="A3161" t="str">
        <f t="shared" si="49"/>
        <v>65Drawdown</v>
      </c>
      <c r="B3161">
        <v>65</v>
      </c>
      <c r="C3161" t="s">
        <v>8</v>
      </c>
      <c r="D3161" s="6">
        <v>0.11600000000000001</v>
      </c>
    </row>
    <row r="3162" spans="1:4" x14ac:dyDescent="0.35">
      <c r="A3162" t="str">
        <f t="shared" si="49"/>
        <v>65Expectancy</v>
      </c>
      <c r="B3162">
        <v>65</v>
      </c>
      <c r="C3162" t="s">
        <v>31</v>
      </c>
      <c r="D3162" s="6">
        <v>0.32200000000000001</v>
      </c>
    </row>
    <row r="3163" spans="1:4" x14ac:dyDescent="0.35">
      <c r="A3163" t="str">
        <f t="shared" si="49"/>
        <v>65Net Profit</v>
      </c>
      <c r="B3163">
        <v>65</v>
      </c>
      <c r="C3163" t="s">
        <v>32</v>
      </c>
      <c r="D3163" s="6">
        <v>9.4619999999999996E-2</v>
      </c>
    </row>
    <row r="3164" spans="1:4" x14ac:dyDescent="0.35">
      <c r="A3164" t="str">
        <f t="shared" si="49"/>
        <v>65Loss Rate</v>
      </c>
      <c r="B3164">
        <v>65</v>
      </c>
      <c r="C3164" t="s">
        <v>33</v>
      </c>
      <c r="D3164" s="6">
        <v>0.5</v>
      </c>
    </row>
    <row r="3165" spans="1:4" x14ac:dyDescent="0.35">
      <c r="A3165" t="str">
        <f t="shared" si="49"/>
        <v>65Win Rate</v>
      </c>
      <c r="B3165">
        <v>65</v>
      </c>
      <c r="C3165" t="s">
        <v>34</v>
      </c>
      <c r="D3165" s="6">
        <v>0.5</v>
      </c>
    </row>
    <row r="3166" spans="1:4" x14ac:dyDescent="0.35">
      <c r="A3166" t="str">
        <f t="shared" si="49"/>
        <v>65Profit-Loss Ratio</v>
      </c>
      <c r="B3166">
        <v>65</v>
      </c>
      <c r="C3166" t="s">
        <v>26</v>
      </c>
      <c r="D3166" s="6">
        <v>1.64</v>
      </c>
    </row>
    <row r="3167" spans="1:4" x14ac:dyDescent="0.35">
      <c r="A3167" t="str">
        <f t="shared" si="49"/>
        <v>65Alpha</v>
      </c>
      <c r="B3167">
        <v>65</v>
      </c>
      <c r="C3167" t="s">
        <v>23</v>
      </c>
      <c r="D3167" s="6">
        <v>0.1</v>
      </c>
    </row>
    <row r="3168" spans="1:4" x14ac:dyDescent="0.35">
      <c r="A3168" t="str">
        <f t="shared" si="49"/>
        <v>65Beta</v>
      </c>
      <c r="B3168">
        <v>65</v>
      </c>
      <c r="C3168" t="s">
        <v>24</v>
      </c>
      <c r="D3168" s="6">
        <v>0.23599999999999999</v>
      </c>
    </row>
    <row r="3169" spans="1:4" x14ac:dyDescent="0.35">
      <c r="A3169" t="str">
        <f t="shared" si="49"/>
        <v>65Annual Standard Deviation</v>
      </c>
      <c r="B3169">
        <v>65</v>
      </c>
      <c r="C3169" t="s">
        <v>35</v>
      </c>
      <c r="D3169" s="6">
        <v>0.155</v>
      </c>
    </row>
    <row r="3170" spans="1:4" x14ac:dyDescent="0.35">
      <c r="A3170" t="str">
        <f t="shared" si="49"/>
        <v>65Annual Variance</v>
      </c>
      <c r="B3170">
        <v>65</v>
      </c>
      <c r="C3170" t="s">
        <v>36</v>
      </c>
      <c r="D3170" s="6">
        <v>2.4E-2</v>
      </c>
    </row>
    <row r="3171" spans="1:4" x14ac:dyDescent="0.35">
      <c r="A3171" t="str">
        <f t="shared" si="49"/>
        <v>65Information Ratio</v>
      </c>
      <c r="B3171">
        <v>65</v>
      </c>
      <c r="C3171" t="s">
        <v>37</v>
      </c>
      <c r="D3171" s="6">
        <v>0.318</v>
      </c>
    </row>
    <row r="3172" spans="1:4" x14ac:dyDescent="0.35">
      <c r="A3172" t="str">
        <f t="shared" si="49"/>
        <v>65Tracking Error</v>
      </c>
      <c r="B3172">
        <v>65</v>
      </c>
      <c r="C3172" t="s">
        <v>38</v>
      </c>
      <c r="D3172" s="6">
        <v>0.16200000000000001</v>
      </c>
    </row>
    <row r="3173" spans="1:4" x14ac:dyDescent="0.35">
      <c r="A3173" t="str">
        <f t="shared" si="49"/>
        <v>65Treynor Ratio</v>
      </c>
      <c r="B3173">
        <v>65</v>
      </c>
      <c r="C3173" t="s">
        <v>39</v>
      </c>
      <c r="D3173" s="6">
        <v>0.48899999999999999</v>
      </c>
    </row>
    <row r="3174" spans="1:4" x14ac:dyDescent="0.35">
      <c r="A3174" t="str">
        <f t="shared" si="49"/>
        <v>65Total Fees</v>
      </c>
      <c r="B3174">
        <v>65</v>
      </c>
      <c r="C3174" t="s">
        <v>40</v>
      </c>
      <c r="D3174" s="6">
        <v>0</v>
      </c>
    </row>
    <row r="3175" spans="1:4" x14ac:dyDescent="0.35">
      <c r="A3175" t="str">
        <f t="shared" si="49"/>
        <v>65Estimated Strategy Capacity</v>
      </c>
      <c r="B3175">
        <v>65</v>
      </c>
      <c r="C3175" t="s">
        <v>41</v>
      </c>
      <c r="D3175" s="6">
        <v>6900000</v>
      </c>
    </row>
    <row r="3176" spans="1:4" x14ac:dyDescent="0.35">
      <c r="A3176" t="str">
        <f t="shared" si="49"/>
        <v>64PSR</v>
      </c>
      <c r="B3176">
        <v>64</v>
      </c>
      <c r="C3176" s="9" t="s">
        <v>27</v>
      </c>
      <c r="D3176" s="8">
        <v>0.86055999999999999</v>
      </c>
    </row>
    <row r="3177" spans="1:4" x14ac:dyDescent="0.35">
      <c r="A3177" t="str">
        <f t="shared" si="49"/>
        <v>64Sharpe Ratio</v>
      </c>
      <c r="B3177">
        <v>64</v>
      </c>
      <c r="C3177" s="9" t="s">
        <v>1</v>
      </c>
      <c r="D3177" s="8">
        <v>1.8939999999999999</v>
      </c>
    </row>
    <row r="3178" spans="1:4" x14ac:dyDescent="0.35">
      <c r="A3178" t="str">
        <f t="shared" si="49"/>
        <v>64Total Trades</v>
      </c>
      <c r="B3178">
        <v>64</v>
      </c>
      <c r="C3178" s="9" t="s">
        <v>28</v>
      </c>
      <c r="D3178" s="8">
        <v>1104</v>
      </c>
    </row>
    <row r="3179" spans="1:4" x14ac:dyDescent="0.35">
      <c r="A3179" t="str">
        <f t="shared" si="49"/>
        <v>64Average Win</v>
      </c>
      <c r="B3179">
        <v>64</v>
      </c>
      <c r="C3179" s="9" t="s">
        <v>25</v>
      </c>
      <c r="D3179" s="8">
        <v>3.0000000000000001E-3</v>
      </c>
    </row>
    <row r="3180" spans="1:4" x14ac:dyDescent="0.35">
      <c r="A3180" t="str">
        <f t="shared" si="49"/>
        <v>64Average Loss</v>
      </c>
      <c r="B3180">
        <v>64</v>
      </c>
      <c r="C3180" s="9" t="s">
        <v>29</v>
      </c>
      <c r="D3180" s="8">
        <v>-1.1000000000000001E-3</v>
      </c>
    </row>
    <row r="3181" spans="1:4" x14ac:dyDescent="0.35">
      <c r="A3181" t="str">
        <f t="shared" si="49"/>
        <v>64Compounding Annual Return</v>
      </c>
      <c r="B3181">
        <v>64</v>
      </c>
      <c r="C3181" s="9" t="s">
        <v>30</v>
      </c>
      <c r="D3181" s="8">
        <v>4.3619999999999999E-2</v>
      </c>
    </row>
    <row r="3182" spans="1:4" x14ac:dyDescent="0.35">
      <c r="A3182" t="str">
        <f t="shared" si="49"/>
        <v>64Drawdown</v>
      </c>
      <c r="B3182">
        <v>64</v>
      </c>
      <c r="C3182" s="9" t="s">
        <v>8</v>
      </c>
      <c r="D3182" s="8">
        <v>0.01</v>
      </c>
    </row>
    <row r="3183" spans="1:4" x14ac:dyDescent="0.35">
      <c r="A3183" t="str">
        <f t="shared" si="49"/>
        <v>64Expectancy</v>
      </c>
      <c r="B3183">
        <v>64</v>
      </c>
      <c r="C3183" s="9" t="s">
        <v>31</v>
      </c>
      <c r="D3183" s="8">
        <v>0.72899999999999998</v>
      </c>
    </row>
    <row r="3184" spans="1:4" x14ac:dyDescent="0.35">
      <c r="A3184" t="str">
        <f t="shared" si="49"/>
        <v>64Net Profit</v>
      </c>
      <c r="B3184">
        <v>64</v>
      </c>
      <c r="C3184" s="9" t="s">
        <v>32</v>
      </c>
      <c r="D3184" s="8">
        <v>2.7990000000000001E-2</v>
      </c>
    </row>
    <row r="3185" spans="1:4" x14ac:dyDescent="0.35">
      <c r="A3185" t="str">
        <f t="shared" si="49"/>
        <v>64Loss Rate</v>
      </c>
      <c r="B3185">
        <v>64</v>
      </c>
      <c r="C3185" s="9" t="s">
        <v>33</v>
      </c>
      <c r="D3185" s="8">
        <v>0.53</v>
      </c>
    </row>
    <row r="3186" spans="1:4" x14ac:dyDescent="0.35">
      <c r="A3186" t="str">
        <f t="shared" si="49"/>
        <v>64Win Rate</v>
      </c>
      <c r="B3186">
        <v>64</v>
      </c>
      <c r="C3186" s="9" t="s">
        <v>34</v>
      </c>
      <c r="D3186" s="8">
        <v>0.47</v>
      </c>
    </row>
    <row r="3187" spans="1:4" x14ac:dyDescent="0.35">
      <c r="A3187" t="str">
        <f t="shared" si="49"/>
        <v>64Profit-Loss Ratio</v>
      </c>
      <c r="B3187">
        <v>64</v>
      </c>
      <c r="C3187" s="9" t="s">
        <v>26</v>
      </c>
      <c r="D3187" s="8">
        <v>2.66</v>
      </c>
    </row>
    <row r="3188" spans="1:4" x14ac:dyDescent="0.35">
      <c r="A3188" t="str">
        <f t="shared" si="49"/>
        <v>64Alpha</v>
      </c>
      <c r="B3188">
        <v>64</v>
      </c>
      <c r="C3188" s="9" t="s">
        <v>23</v>
      </c>
      <c r="D3188" s="8">
        <v>2.8000000000000001E-2</v>
      </c>
    </row>
    <row r="3189" spans="1:4" x14ac:dyDescent="0.35">
      <c r="A3189" t="str">
        <f t="shared" si="49"/>
        <v>64Beta</v>
      </c>
      <c r="B3189">
        <v>64</v>
      </c>
      <c r="C3189" s="9" t="s">
        <v>24</v>
      </c>
      <c r="D3189" s="8">
        <v>3.3000000000000002E-2</v>
      </c>
    </row>
    <row r="3190" spans="1:4" x14ac:dyDescent="0.35">
      <c r="A3190" t="str">
        <f t="shared" si="49"/>
        <v>64Annual Standard Deviation</v>
      </c>
      <c r="B3190">
        <v>64</v>
      </c>
      <c r="C3190" s="9" t="s">
        <v>35</v>
      </c>
      <c r="D3190" s="8">
        <v>1.6E-2</v>
      </c>
    </row>
    <row r="3191" spans="1:4" x14ac:dyDescent="0.35">
      <c r="A3191" t="str">
        <f t="shared" si="49"/>
        <v>64Annual Variance</v>
      </c>
      <c r="B3191">
        <v>64</v>
      </c>
      <c r="C3191" s="9" t="s">
        <v>36</v>
      </c>
      <c r="D3191" s="8">
        <v>0</v>
      </c>
    </row>
    <row r="3192" spans="1:4" x14ac:dyDescent="0.35">
      <c r="A3192" t="str">
        <f t="shared" si="49"/>
        <v>64Information Ratio</v>
      </c>
      <c r="B3192">
        <v>64</v>
      </c>
      <c r="C3192" s="9" t="s">
        <v>37</v>
      </c>
      <c r="D3192" s="8">
        <v>-0.505</v>
      </c>
    </row>
    <row r="3193" spans="1:4" x14ac:dyDescent="0.35">
      <c r="A3193" t="str">
        <f t="shared" si="49"/>
        <v>64Tracking Error</v>
      </c>
      <c r="B3193">
        <v>64</v>
      </c>
      <c r="C3193" s="9" t="s">
        <v>38</v>
      </c>
      <c r="D3193" s="8">
        <v>6.6000000000000003E-2</v>
      </c>
    </row>
    <row r="3194" spans="1:4" x14ac:dyDescent="0.35">
      <c r="A3194" t="str">
        <f t="shared" si="49"/>
        <v>64Treynor Ratio</v>
      </c>
      <c r="B3194">
        <v>64</v>
      </c>
      <c r="C3194" s="9" t="s">
        <v>39</v>
      </c>
      <c r="D3194" s="8">
        <v>0.90800000000000003</v>
      </c>
    </row>
    <row r="3195" spans="1:4" x14ac:dyDescent="0.35">
      <c r="A3195" t="str">
        <f t="shared" si="49"/>
        <v>64Total Fees</v>
      </c>
      <c r="B3195">
        <v>64</v>
      </c>
      <c r="C3195" s="9" t="s">
        <v>40</v>
      </c>
      <c r="D3195" s="8">
        <v>0</v>
      </c>
    </row>
    <row r="3196" spans="1:4" x14ac:dyDescent="0.35">
      <c r="A3196" t="str">
        <f t="shared" si="49"/>
        <v>64Estimated Strategy Capacity</v>
      </c>
      <c r="B3196">
        <v>64</v>
      </c>
      <c r="C3196" s="9" t="s">
        <v>41</v>
      </c>
      <c r="D3196" s="8">
        <v>120000000</v>
      </c>
    </row>
    <row r="3197" spans="1:4" x14ac:dyDescent="0.35">
      <c r="A3197" t="str">
        <f t="shared" si="49"/>
        <v>48PSR</v>
      </c>
      <c r="B3197">
        <v>48</v>
      </c>
      <c r="C3197" t="s">
        <v>27</v>
      </c>
      <c r="D3197" s="6">
        <v>7.4310000000000001E-2</v>
      </c>
    </row>
    <row r="3198" spans="1:4" x14ac:dyDescent="0.35">
      <c r="A3198" t="str">
        <f t="shared" si="49"/>
        <v>48Sharpe Ratio</v>
      </c>
      <c r="B3198">
        <v>48</v>
      </c>
      <c r="C3198" t="s">
        <v>1</v>
      </c>
      <c r="D3198" s="6">
        <v>-0.45100000000000001</v>
      </c>
    </row>
    <row r="3199" spans="1:4" x14ac:dyDescent="0.35">
      <c r="A3199" t="str">
        <f t="shared" si="49"/>
        <v>48Total Trades</v>
      </c>
      <c r="B3199">
        <v>48</v>
      </c>
      <c r="C3199" t="s">
        <v>28</v>
      </c>
      <c r="D3199" s="6">
        <v>603</v>
      </c>
    </row>
    <row r="3200" spans="1:4" x14ac:dyDescent="0.35">
      <c r="A3200" t="str">
        <f t="shared" si="49"/>
        <v>48Average Win</v>
      </c>
      <c r="B3200">
        <v>48</v>
      </c>
      <c r="C3200" t="s">
        <v>25</v>
      </c>
      <c r="D3200" s="6">
        <v>6.9500000000000006E-2</v>
      </c>
    </row>
    <row r="3201" spans="1:4" x14ac:dyDescent="0.35">
      <c r="A3201" t="str">
        <f t="shared" si="49"/>
        <v>48Average Loss</v>
      </c>
      <c r="B3201">
        <v>48</v>
      </c>
      <c r="C3201" t="s">
        <v>29</v>
      </c>
      <c r="D3201" s="6">
        <v>-9.1600000000000001E-2</v>
      </c>
    </row>
    <row r="3202" spans="1:4" x14ac:dyDescent="0.35">
      <c r="A3202" t="str">
        <f t="shared" si="49"/>
        <v>48Compounding Annual Return</v>
      </c>
      <c r="B3202">
        <v>48</v>
      </c>
      <c r="C3202" t="s">
        <v>30</v>
      </c>
      <c r="D3202" s="6">
        <v>-0.38225999999999999</v>
      </c>
    </row>
    <row r="3203" spans="1:4" x14ac:dyDescent="0.35">
      <c r="A3203" t="str">
        <f t="shared" ref="A3203:A3266" si="50">B3203&amp;C3203</f>
        <v>48Drawdown</v>
      </c>
      <c r="B3203">
        <v>48</v>
      </c>
      <c r="C3203" t="s">
        <v>8</v>
      </c>
      <c r="D3203" s="6">
        <v>0.498</v>
      </c>
    </row>
    <row r="3204" spans="1:4" x14ac:dyDescent="0.35">
      <c r="A3204" t="str">
        <f t="shared" si="50"/>
        <v>48Expectancy</v>
      </c>
      <c r="B3204">
        <v>48</v>
      </c>
      <c r="C3204" t="s">
        <v>31</v>
      </c>
      <c r="D3204" s="6">
        <v>-0.121</v>
      </c>
    </row>
    <row r="3205" spans="1:4" x14ac:dyDescent="0.35">
      <c r="A3205" t="str">
        <f t="shared" si="50"/>
        <v>48Net Profit</v>
      </c>
      <c r="B3205">
        <v>48</v>
      </c>
      <c r="C3205" t="s">
        <v>32</v>
      </c>
      <c r="D3205" s="6">
        <v>-0.26661000000000001</v>
      </c>
    </row>
    <row r="3206" spans="1:4" x14ac:dyDescent="0.35">
      <c r="A3206" t="str">
        <f t="shared" si="50"/>
        <v>48Loss Rate</v>
      </c>
      <c r="B3206">
        <v>48</v>
      </c>
      <c r="C3206" t="s">
        <v>33</v>
      </c>
      <c r="D3206" s="6">
        <v>0.5</v>
      </c>
    </row>
    <row r="3207" spans="1:4" x14ac:dyDescent="0.35">
      <c r="A3207" t="str">
        <f t="shared" si="50"/>
        <v>48Win Rate</v>
      </c>
      <c r="B3207">
        <v>48</v>
      </c>
      <c r="C3207" t="s">
        <v>34</v>
      </c>
      <c r="D3207" s="6">
        <v>0.5</v>
      </c>
    </row>
    <row r="3208" spans="1:4" x14ac:dyDescent="0.35">
      <c r="A3208" t="str">
        <f t="shared" si="50"/>
        <v>48Profit-Loss Ratio</v>
      </c>
      <c r="B3208">
        <v>48</v>
      </c>
      <c r="C3208" t="s">
        <v>26</v>
      </c>
      <c r="D3208" s="6">
        <v>0.76</v>
      </c>
    </row>
    <row r="3209" spans="1:4" x14ac:dyDescent="0.35">
      <c r="A3209" t="str">
        <f t="shared" si="50"/>
        <v>48Alpha</v>
      </c>
      <c r="B3209">
        <v>48</v>
      </c>
      <c r="C3209" t="s">
        <v>23</v>
      </c>
      <c r="D3209" s="6">
        <v>-0.315</v>
      </c>
    </row>
    <row r="3210" spans="1:4" x14ac:dyDescent="0.35">
      <c r="A3210" t="str">
        <f t="shared" si="50"/>
        <v>48Beta</v>
      </c>
      <c r="B3210">
        <v>48</v>
      </c>
      <c r="C3210" t="s">
        <v>24</v>
      </c>
      <c r="D3210" s="6">
        <v>1.7090000000000001</v>
      </c>
    </row>
    <row r="3211" spans="1:4" x14ac:dyDescent="0.35">
      <c r="A3211" t="str">
        <f t="shared" si="50"/>
        <v>48Annual Standard Deviation</v>
      </c>
      <c r="B3211">
        <v>48</v>
      </c>
      <c r="C3211" t="s">
        <v>35</v>
      </c>
      <c r="D3211" s="6">
        <v>0.45500000000000002</v>
      </c>
    </row>
    <row r="3212" spans="1:4" x14ac:dyDescent="0.35">
      <c r="A3212" t="str">
        <f t="shared" si="50"/>
        <v>48Annual Variance</v>
      </c>
      <c r="B3212">
        <v>48</v>
      </c>
      <c r="C3212" t="s">
        <v>36</v>
      </c>
      <c r="D3212" s="6">
        <v>0.20699999999999999</v>
      </c>
    </row>
    <row r="3213" spans="1:4" x14ac:dyDescent="0.35">
      <c r="A3213" t="str">
        <f t="shared" si="50"/>
        <v>48Information Ratio</v>
      </c>
      <c r="B3213">
        <v>48</v>
      </c>
      <c r="C3213" t="s">
        <v>37</v>
      </c>
      <c r="D3213" s="6">
        <v>-0.60799999999999998</v>
      </c>
    </row>
    <row r="3214" spans="1:4" x14ac:dyDescent="0.35">
      <c r="A3214" t="str">
        <f t="shared" si="50"/>
        <v>48Tracking Error</v>
      </c>
      <c r="B3214">
        <v>48</v>
      </c>
      <c r="C3214" t="s">
        <v>38</v>
      </c>
      <c r="D3214" s="6">
        <v>0.443</v>
      </c>
    </row>
    <row r="3215" spans="1:4" x14ac:dyDescent="0.35">
      <c r="A3215" t="str">
        <f t="shared" si="50"/>
        <v>48Treynor Ratio</v>
      </c>
      <c r="B3215">
        <v>48</v>
      </c>
      <c r="C3215" t="s">
        <v>39</v>
      </c>
      <c r="D3215" s="6">
        <v>-0.12</v>
      </c>
    </row>
    <row r="3216" spans="1:4" x14ac:dyDescent="0.35">
      <c r="A3216" t="str">
        <f t="shared" si="50"/>
        <v>48Total Fees</v>
      </c>
      <c r="B3216">
        <v>48</v>
      </c>
      <c r="C3216" t="s">
        <v>40</v>
      </c>
      <c r="D3216" s="6">
        <v>0</v>
      </c>
    </row>
    <row r="3217" spans="1:4" x14ac:dyDescent="0.35">
      <c r="A3217" t="str">
        <f t="shared" si="50"/>
        <v>48Estimated Strategy Capacity</v>
      </c>
      <c r="B3217">
        <v>48</v>
      </c>
      <c r="C3217" t="s">
        <v>41</v>
      </c>
      <c r="D3217" s="6">
        <v>110000000</v>
      </c>
    </row>
    <row r="3218" spans="1:4" x14ac:dyDescent="0.35">
      <c r="A3218" t="str">
        <f t="shared" si="50"/>
        <v>47PSR</v>
      </c>
      <c r="B3218">
        <v>47</v>
      </c>
      <c r="C3218" t="s">
        <v>27</v>
      </c>
      <c r="D3218" s="6">
        <v>4.675E-2</v>
      </c>
    </row>
    <row r="3219" spans="1:4" x14ac:dyDescent="0.35">
      <c r="A3219" t="str">
        <f t="shared" si="50"/>
        <v>47Sharpe Ratio</v>
      </c>
      <c r="B3219">
        <v>47</v>
      </c>
      <c r="C3219" t="s">
        <v>1</v>
      </c>
      <c r="D3219" s="6">
        <v>-0.71599999999999997</v>
      </c>
    </row>
    <row r="3220" spans="1:4" x14ac:dyDescent="0.35">
      <c r="A3220" t="str">
        <f t="shared" si="50"/>
        <v>47Total Trades</v>
      </c>
      <c r="B3220">
        <v>47</v>
      </c>
      <c r="C3220" t="s">
        <v>28</v>
      </c>
      <c r="D3220" s="6">
        <v>603</v>
      </c>
    </row>
    <row r="3221" spans="1:4" x14ac:dyDescent="0.35">
      <c r="A3221" t="str">
        <f t="shared" si="50"/>
        <v>47Average Win</v>
      </c>
      <c r="B3221">
        <v>47</v>
      </c>
      <c r="C3221" t="s">
        <v>25</v>
      </c>
      <c r="D3221" s="6">
        <v>1.06E-2</v>
      </c>
    </row>
    <row r="3222" spans="1:4" x14ac:dyDescent="0.35">
      <c r="A3222" t="str">
        <f t="shared" si="50"/>
        <v>47Average Loss</v>
      </c>
      <c r="B3222">
        <v>47</v>
      </c>
      <c r="C3222" t="s">
        <v>29</v>
      </c>
      <c r="D3222" s="6">
        <v>-1.5800000000000002E-2</v>
      </c>
    </row>
    <row r="3223" spans="1:4" x14ac:dyDescent="0.35">
      <c r="A3223" t="str">
        <f t="shared" si="50"/>
        <v>47Compounding Annual Return</v>
      </c>
      <c r="B3223">
        <v>47</v>
      </c>
      <c r="C3223" t="s">
        <v>30</v>
      </c>
      <c r="D3223" s="6">
        <v>-8.1600000000000006E-2</v>
      </c>
    </row>
    <row r="3224" spans="1:4" x14ac:dyDescent="0.35">
      <c r="A3224" t="str">
        <f t="shared" si="50"/>
        <v>47Drawdown</v>
      </c>
      <c r="B3224">
        <v>47</v>
      </c>
      <c r="C3224" t="s">
        <v>8</v>
      </c>
      <c r="D3224" s="6">
        <v>0.108</v>
      </c>
    </row>
    <row r="3225" spans="1:4" x14ac:dyDescent="0.35">
      <c r="A3225" t="str">
        <f t="shared" si="50"/>
        <v>47Expectancy</v>
      </c>
      <c r="B3225">
        <v>47</v>
      </c>
      <c r="C3225" t="s">
        <v>31</v>
      </c>
      <c r="D3225" s="6">
        <v>-0.16500000000000001</v>
      </c>
    </row>
    <row r="3226" spans="1:4" x14ac:dyDescent="0.35">
      <c r="A3226" t="str">
        <f t="shared" si="50"/>
        <v>47Net Profit</v>
      </c>
      <c r="B3226">
        <v>47</v>
      </c>
      <c r="C3226" t="s">
        <v>32</v>
      </c>
      <c r="D3226" s="6">
        <v>-5.3319999999999999E-2</v>
      </c>
    </row>
    <row r="3227" spans="1:4" x14ac:dyDescent="0.35">
      <c r="A3227" t="str">
        <f t="shared" si="50"/>
        <v>47Loss Rate</v>
      </c>
      <c r="B3227">
        <v>47</v>
      </c>
      <c r="C3227" t="s">
        <v>33</v>
      </c>
      <c r="D3227" s="6">
        <v>0.5</v>
      </c>
    </row>
    <row r="3228" spans="1:4" x14ac:dyDescent="0.35">
      <c r="A3228" t="str">
        <f t="shared" si="50"/>
        <v>47Win Rate</v>
      </c>
      <c r="B3228">
        <v>47</v>
      </c>
      <c r="C3228" t="s">
        <v>34</v>
      </c>
      <c r="D3228" s="6">
        <v>0.5</v>
      </c>
    </row>
    <row r="3229" spans="1:4" x14ac:dyDescent="0.35">
      <c r="A3229" t="str">
        <f t="shared" si="50"/>
        <v>47Profit-Loss Ratio</v>
      </c>
      <c r="B3229">
        <v>47</v>
      </c>
      <c r="C3229" t="s">
        <v>26</v>
      </c>
      <c r="D3229" s="6">
        <v>0.67</v>
      </c>
    </row>
    <row r="3230" spans="1:4" x14ac:dyDescent="0.35">
      <c r="A3230" t="str">
        <f t="shared" si="50"/>
        <v>47Alpha</v>
      </c>
      <c r="B3230">
        <v>47</v>
      </c>
      <c r="C3230" t="s">
        <v>23</v>
      </c>
      <c r="D3230" s="6">
        <v>-7.1999999999999995E-2</v>
      </c>
    </row>
    <row r="3231" spans="1:4" x14ac:dyDescent="0.35">
      <c r="A3231" t="str">
        <f t="shared" si="50"/>
        <v>47Beta</v>
      </c>
      <c r="B3231">
        <v>47</v>
      </c>
      <c r="C3231" t="s">
        <v>24</v>
      </c>
      <c r="D3231" s="6">
        <v>0.27900000000000003</v>
      </c>
    </row>
    <row r="3232" spans="1:4" x14ac:dyDescent="0.35">
      <c r="A3232" t="str">
        <f t="shared" si="50"/>
        <v>47Annual Standard Deviation</v>
      </c>
      <c r="B3232">
        <v>47</v>
      </c>
      <c r="C3232" t="s">
        <v>35</v>
      </c>
      <c r="D3232" s="6">
        <v>7.5999999999999998E-2</v>
      </c>
    </row>
    <row r="3233" spans="1:4" x14ac:dyDescent="0.35">
      <c r="A3233" t="str">
        <f t="shared" si="50"/>
        <v>47Annual Variance</v>
      </c>
      <c r="B3233">
        <v>47</v>
      </c>
      <c r="C3233" t="s">
        <v>36</v>
      </c>
      <c r="D3233" s="6">
        <v>6.0000000000000001E-3</v>
      </c>
    </row>
    <row r="3234" spans="1:4" x14ac:dyDescent="0.35">
      <c r="A3234" t="str">
        <f t="shared" si="50"/>
        <v>47Information Ratio</v>
      </c>
      <c r="B3234">
        <v>47</v>
      </c>
      <c r="C3234" t="s">
        <v>37</v>
      </c>
      <c r="D3234" s="6">
        <v>-1.343</v>
      </c>
    </row>
    <row r="3235" spans="1:4" x14ac:dyDescent="0.35">
      <c r="A3235" t="str">
        <f t="shared" si="50"/>
        <v>47Tracking Error</v>
      </c>
      <c r="B3235">
        <v>47</v>
      </c>
      <c r="C3235" t="s">
        <v>38</v>
      </c>
      <c r="D3235" s="6">
        <v>8.7999999999999995E-2</v>
      </c>
    </row>
    <row r="3236" spans="1:4" x14ac:dyDescent="0.35">
      <c r="A3236" t="str">
        <f t="shared" si="50"/>
        <v>47Treynor Ratio</v>
      </c>
      <c r="B3236">
        <v>47</v>
      </c>
      <c r="C3236" t="s">
        <v>39</v>
      </c>
      <c r="D3236" s="6">
        <v>-0.19600000000000001</v>
      </c>
    </row>
    <row r="3237" spans="1:4" x14ac:dyDescent="0.35">
      <c r="A3237" t="str">
        <f t="shared" si="50"/>
        <v>47Total Fees</v>
      </c>
      <c r="B3237">
        <v>47</v>
      </c>
      <c r="C3237" t="s">
        <v>40</v>
      </c>
      <c r="D3237" s="6">
        <v>0</v>
      </c>
    </row>
    <row r="3238" spans="1:4" x14ac:dyDescent="0.35">
      <c r="A3238" t="str">
        <f t="shared" si="50"/>
        <v>47Estimated Strategy Capacity</v>
      </c>
      <c r="B3238">
        <v>47</v>
      </c>
      <c r="C3238" t="s">
        <v>41</v>
      </c>
      <c r="D3238" s="6">
        <v>730000000</v>
      </c>
    </row>
    <row r="3239" spans="1:4" x14ac:dyDescent="0.35">
      <c r="A3239" t="str">
        <f t="shared" si="50"/>
        <v>46PSR</v>
      </c>
      <c r="B3239">
        <v>46</v>
      </c>
      <c r="C3239" t="s">
        <v>27</v>
      </c>
      <c r="D3239" s="6">
        <v>4.299E-2</v>
      </c>
    </row>
    <row r="3240" spans="1:4" x14ac:dyDescent="0.35">
      <c r="A3240" t="str">
        <f t="shared" si="50"/>
        <v>46Sharpe Ratio</v>
      </c>
      <c r="B3240">
        <v>46</v>
      </c>
      <c r="C3240" t="s">
        <v>1</v>
      </c>
      <c r="D3240" s="6">
        <v>-0.77200000000000002</v>
      </c>
    </row>
    <row r="3241" spans="1:4" x14ac:dyDescent="0.35">
      <c r="A3241" t="str">
        <f t="shared" si="50"/>
        <v>46Total Trades</v>
      </c>
      <c r="B3241">
        <v>46</v>
      </c>
      <c r="C3241" t="s">
        <v>28</v>
      </c>
      <c r="D3241" s="6">
        <v>603</v>
      </c>
    </row>
    <row r="3242" spans="1:4" x14ac:dyDescent="0.35">
      <c r="A3242" t="str">
        <f t="shared" si="50"/>
        <v>46Average Win</v>
      </c>
      <c r="B3242">
        <v>46</v>
      </c>
      <c r="C3242" t="s">
        <v>25</v>
      </c>
      <c r="D3242" s="6">
        <v>1E-3</v>
      </c>
    </row>
    <row r="3243" spans="1:4" x14ac:dyDescent="0.35">
      <c r="A3243" t="str">
        <f t="shared" si="50"/>
        <v>46Average Loss</v>
      </c>
      <c r="B3243">
        <v>46</v>
      </c>
      <c r="C3243" t="s">
        <v>29</v>
      </c>
      <c r="D3243" s="6">
        <v>-1.5E-3</v>
      </c>
    </row>
    <row r="3244" spans="1:4" x14ac:dyDescent="0.35">
      <c r="A3244" t="str">
        <f t="shared" si="50"/>
        <v>46Compounding Annual Return</v>
      </c>
      <c r="B3244">
        <v>46</v>
      </c>
      <c r="C3244" t="s">
        <v>30</v>
      </c>
      <c r="D3244" s="6">
        <v>-8.2699999999999996E-3</v>
      </c>
    </row>
    <row r="3245" spans="1:4" x14ac:dyDescent="0.35">
      <c r="A3245" t="str">
        <f t="shared" si="50"/>
        <v>46Drawdown</v>
      </c>
      <c r="B3245">
        <v>46</v>
      </c>
      <c r="C3245" t="s">
        <v>8</v>
      </c>
      <c r="D3245" s="6">
        <v>1.0999999999999999E-2</v>
      </c>
    </row>
    <row r="3246" spans="1:4" x14ac:dyDescent="0.35">
      <c r="A3246" t="str">
        <f t="shared" si="50"/>
        <v>46Expectancy</v>
      </c>
      <c r="B3246">
        <v>46</v>
      </c>
      <c r="C3246" t="s">
        <v>31</v>
      </c>
      <c r="D3246" s="6">
        <v>-0.17199999999999999</v>
      </c>
    </row>
    <row r="3247" spans="1:4" x14ac:dyDescent="0.35">
      <c r="A3247" t="str">
        <f t="shared" si="50"/>
        <v>46Net Profit</v>
      </c>
      <c r="B3247">
        <v>46</v>
      </c>
      <c r="C3247" t="s">
        <v>32</v>
      </c>
      <c r="D3247" s="6">
        <v>-5.3299999999999997E-3</v>
      </c>
    </row>
    <row r="3248" spans="1:4" x14ac:dyDescent="0.35">
      <c r="A3248" t="str">
        <f t="shared" si="50"/>
        <v>46Loss Rate</v>
      </c>
      <c r="B3248">
        <v>46</v>
      </c>
      <c r="C3248" t="s">
        <v>33</v>
      </c>
      <c r="D3248" s="6">
        <v>0.5</v>
      </c>
    </row>
    <row r="3249" spans="1:4" x14ac:dyDescent="0.35">
      <c r="A3249" t="str">
        <f t="shared" si="50"/>
        <v>46Win Rate</v>
      </c>
      <c r="B3249">
        <v>46</v>
      </c>
      <c r="C3249" t="s">
        <v>34</v>
      </c>
      <c r="D3249" s="6">
        <v>0.5</v>
      </c>
    </row>
    <row r="3250" spans="1:4" x14ac:dyDescent="0.35">
      <c r="A3250" t="str">
        <f t="shared" si="50"/>
        <v>46Profit-Loss Ratio</v>
      </c>
      <c r="B3250">
        <v>46</v>
      </c>
      <c r="C3250" t="s">
        <v>26</v>
      </c>
      <c r="D3250" s="6">
        <v>0.66</v>
      </c>
    </row>
    <row r="3251" spans="1:4" x14ac:dyDescent="0.35">
      <c r="A3251" t="str">
        <f t="shared" si="50"/>
        <v>46Alpha</v>
      </c>
      <c r="B3251">
        <v>46</v>
      </c>
      <c r="C3251" t="s">
        <v>23</v>
      </c>
      <c r="D3251" s="6">
        <v>-7.0000000000000001E-3</v>
      </c>
    </row>
    <row r="3252" spans="1:4" x14ac:dyDescent="0.35">
      <c r="A3252" t="str">
        <f t="shared" si="50"/>
        <v>46Beta</v>
      </c>
      <c r="B3252">
        <v>46</v>
      </c>
      <c r="C3252" t="s">
        <v>24</v>
      </c>
      <c r="D3252" s="6">
        <v>2.7E-2</v>
      </c>
    </row>
    <row r="3253" spans="1:4" x14ac:dyDescent="0.35">
      <c r="A3253" t="str">
        <f t="shared" si="50"/>
        <v>46Annual Standard Deviation</v>
      </c>
      <c r="B3253">
        <v>46</v>
      </c>
      <c r="C3253" t="s">
        <v>35</v>
      </c>
      <c r="D3253" s="6">
        <v>7.0000000000000001E-3</v>
      </c>
    </row>
    <row r="3254" spans="1:4" x14ac:dyDescent="0.35">
      <c r="A3254" t="str">
        <f t="shared" si="50"/>
        <v>46Annual Variance</v>
      </c>
      <c r="B3254">
        <v>46</v>
      </c>
      <c r="C3254" t="s">
        <v>36</v>
      </c>
      <c r="D3254" s="6">
        <v>0</v>
      </c>
    </row>
    <row r="3255" spans="1:4" x14ac:dyDescent="0.35">
      <c r="A3255" t="str">
        <f t="shared" si="50"/>
        <v>46Information Ratio</v>
      </c>
      <c r="B3255">
        <v>46</v>
      </c>
      <c r="C3255" t="s">
        <v>37</v>
      </c>
      <c r="D3255" s="6">
        <v>-1.0660000000000001</v>
      </c>
    </row>
    <row r="3256" spans="1:4" x14ac:dyDescent="0.35">
      <c r="A3256" t="str">
        <f t="shared" si="50"/>
        <v>46Tracking Error</v>
      </c>
      <c r="B3256">
        <v>46</v>
      </c>
      <c r="C3256" t="s">
        <v>38</v>
      </c>
      <c r="D3256" s="6">
        <v>6.5000000000000002E-2</v>
      </c>
    </row>
    <row r="3257" spans="1:4" x14ac:dyDescent="0.35">
      <c r="A3257" t="str">
        <f t="shared" si="50"/>
        <v>46Treynor Ratio</v>
      </c>
      <c r="B3257">
        <v>46</v>
      </c>
      <c r="C3257" t="s">
        <v>39</v>
      </c>
      <c r="D3257" s="6">
        <v>-0.21299999999999999</v>
      </c>
    </row>
    <row r="3258" spans="1:4" x14ac:dyDescent="0.35">
      <c r="A3258" t="str">
        <f t="shared" si="50"/>
        <v>46Total Fees</v>
      </c>
      <c r="B3258">
        <v>46</v>
      </c>
      <c r="C3258" t="s">
        <v>40</v>
      </c>
      <c r="D3258" s="6">
        <v>0</v>
      </c>
    </row>
    <row r="3259" spans="1:4" x14ac:dyDescent="0.35">
      <c r="A3259" t="str">
        <f t="shared" si="50"/>
        <v>46Estimated Strategy Capacity</v>
      </c>
      <c r="B3259">
        <v>46</v>
      </c>
      <c r="C3259" t="s">
        <v>41</v>
      </c>
      <c r="D3259" s="6">
        <v>7700000000</v>
      </c>
    </row>
    <row r="3260" spans="1:4" x14ac:dyDescent="0.35">
      <c r="A3260" t="str">
        <f t="shared" si="50"/>
        <v>54PSR</v>
      </c>
      <c r="B3260">
        <v>54</v>
      </c>
      <c r="C3260" s="9" t="s">
        <v>27</v>
      </c>
      <c r="D3260" s="8">
        <v>6.241E-2</v>
      </c>
    </row>
    <row r="3261" spans="1:4" x14ac:dyDescent="0.35">
      <c r="A3261" t="str">
        <f t="shared" si="50"/>
        <v>54Sharpe Ratio</v>
      </c>
      <c r="B3261">
        <v>54</v>
      </c>
      <c r="C3261" s="9" t="s">
        <v>1</v>
      </c>
      <c r="D3261" s="8">
        <v>-0.433</v>
      </c>
    </row>
    <row r="3262" spans="1:4" x14ac:dyDescent="0.35">
      <c r="A3262" t="str">
        <f t="shared" si="50"/>
        <v>54Total Trades</v>
      </c>
      <c r="B3262">
        <v>54</v>
      </c>
      <c r="C3262" s="9" t="s">
        <v>28</v>
      </c>
      <c r="D3262" s="8">
        <v>238</v>
      </c>
    </row>
    <row r="3263" spans="1:4" x14ac:dyDescent="0.35">
      <c r="A3263" t="str">
        <f t="shared" si="50"/>
        <v>54Average Win</v>
      </c>
      <c r="B3263">
        <v>54</v>
      </c>
      <c r="C3263" s="9" t="s">
        <v>25</v>
      </c>
      <c r="D3263" s="8">
        <v>0.29680000000000001</v>
      </c>
    </row>
    <row r="3264" spans="1:4" x14ac:dyDescent="0.35">
      <c r="A3264" t="str">
        <f t="shared" si="50"/>
        <v>54Average Loss</v>
      </c>
      <c r="B3264">
        <v>54</v>
      </c>
      <c r="C3264" s="9" t="s">
        <v>29</v>
      </c>
      <c r="D3264" s="8">
        <v>-0.1416</v>
      </c>
    </row>
    <row r="3265" spans="1:4" x14ac:dyDescent="0.35">
      <c r="A3265" t="str">
        <f t="shared" si="50"/>
        <v>54Compounding Annual Return</v>
      </c>
      <c r="B3265">
        <v>54</v>
      </c>
      <c r="C3265" s="9" t="s">
        <v>30</v>
      </c>
      <c r="D3265" s="8">
        <v>-0.84867999999999999</v>
      </c>
    </row>
    <row r="3266" spans="1:4" x14ac:dyDescent="0.35">
      <c r="A3266" t="str">
        <f t="shared" si="50"/>
        <v>54Drawdown</v>
      </c>
      <c r="B3266">
        <v>54</v>
      </c>
      <c r="C3266" s="9" t="s">
        <v>8</v>
      </c>
      <c r="D3266" s="8">
        <v>0.75</v>
      </c>
    </row>
    <row r="3267" spans="1:4" x14ac:dyDescent="0.35">
      <c r="A3267" t="str">
        <f t="shared" ref="A3267:A3330" si="51">B3267&amp;C3267</f>
        <v>54Expectancy</v>
      </c>
      <c r="B3267">
        <v>54</v>
      </c>
      <c r="C3267" s="9" t="s">
        <v>31</v>
      </c>
      <c r="D3267" s="8">
        <v>-0.69</v>
      </c>
    </row>
    <row r="3268" spans="1:4" x14ac:dyDescent="0.35">
      <c r="A3268" t="str">
        <f t="shared" si="51"/>
        <v>54Net Profit</v>
      </c>
      <c r="B3268">
        <v>54</v>
      </c>
      <c r="C3268" s="9" t="s">
        <v>32</v>
      </c>
      <c r="D3268" s="8">
        <v>-0.70499000000000001</v>
      </c>
    </row>
    <row r="3269" spans="1:4" x14ac:dyDescent="0.35">
      <c r="A3269" t="str">
        <f t="shared" si="51"/>
        <v>54Loss Rate</v>
      </c>
      <c r="B3269">
        <v>54</v>
      </c>
      <c r="C3269" s="9" t="s">
        <v>33</v>
      </c>
      <c r="D3269" s="8">
        <v>0.9</v>
      </c>
    </row>
    <row r="3270" spans="1:4" x14ac:dyDescent="0.35">
      <c r="A3270" t="str">
        <f t="shared" si="51"/>
        <v>54Win Rate</v>
      </c>
      <c r="B3270">
        <v>54</v>
      </c>
      <c r="C3270" s="9" t="s">
        <v>34</v>
      </c>
      <c r="D3270" s="8">
        <v>0.1</v>
      </c>
    </row>
    <row r="3271" spans="1:4" x14ac:dyDescent="0.35">
      <c r="A3271" t="str">
        <f t="shared" si="51"/>
        <v>54Profit-Loss Ratio</v>
      </c>
      <c r="B3271">
        <v>54</v>
      </c>
      <c r="C3271" s="9" t="s">
        <v>26</v>
      </c>
      <c r="D3271" s="8">
        <v>2.1</v>
      </c>
    </row>
    <row r="3272" spans="1:4" x14ac:dyDescent="0.35">
      <c r="A3272" t="str">
        <f t="shared" si="51"/>
        <v>54Alpha</v>
      </c>
      <c r="B3272">
        <v>54</v>
      </c>
      <c r="C3272" s="9" t="s">
        <v>23</v>
      </c>
      <c r="D3272" s="8">
        <v>-0.94299999999999995</v>
      </c>
    </row>
    <row r="3273" spans="1:4" x14ac:dyDescent="0.35">
      <c r="A3273" t="str">
        <f t="shared" si="51"/>
        <v>54Beta</v>
      </c>
      <c r="B3273">
        <v>54</v>
      </c>
      <c r="C3273" s="9" t="s">
        <v>24</v>
      </c>
      <c r="D3273" s="8">
        <v>7.2210000000000001</v>
      </c>
    </row>
    <row r="3274" spans="1:4" x14ac:dyDescent="0.35">
      <c r="A3274" t="str">
        <f t="shared" si="51"/>
        <v>54Annual Standard Deviation</v>
      </c>
      <c r="B3274">
        <v>54</v>
      </c>
      <c r="C3274" s="9" t="s">
        <v>35</v>
      </c>
      <c r="D3274" s="8">
        <v>1.115</v>
      </c>
    </row>
    <row r="3275" spans="1:4" x14ac:dyDescent="0.35">
      <c r="A3275" t="str">
        <f t="shared" si="51"/>
        <v>54Annual Variance</v>
      </c>
      <c r="B3275">
        <v>54</v>
      </c>
      <c r="C3275" s="9" t="s">
        <v>36</v>
      </c>
      <c r="D3275" s="8">
        <v>1.2430000000000001</v>
      </c>
    </row>
    <row r="3276" spans="1:4" x14ac:dyDescent="0.35">
      <c r="A3276" t="str">
        <f t="shared" si="51"/>
        <v>54Information Ratio</v>
      </c>
      <c r="B3276">
        <v>54</v>
      </c>
      <c r="C3276" s="9" t="s">
        <v>37</v>
      </c>
      <c r="D3276" s="8">
        <v>-0.503</v>
      </c>
    </row>
    <row r="3277" spans="1:4" x14ac:dyDescent="0.35">
      <c r="A3277" t="str">
        <f t="shared" si="51"/>
        <v>54Tracking Error</v>
      </c>
      <c r="B3277">
        <v>54</v>
      </c>
      <c r="C3277" s="9" t="s">
        <v>38</v>
      </c>
      <c r="D3277" s="8">
        <v>1.0880000000000001</v>
      </c>
    </row>
    <row r="3278" spans="1:4" x14ac:dyDescent="0.35">
      <c r="A3278" t="str">
        <f t="shared" si="51"/>
        <v>54Treynor Ratio</v>
      </c>
      <c r="B3278">
        <v>54</v>
      </c>
      <c r="C3278" s="9" t="s">
        <v>39</v>
      </c>
      <c r="D3278" s="8">
        <v>-6.7000000000000004E-2</v>
      </c>
    </row>
    <row r="3279" spans="1:4" x14ac:dyDescent="0.35">
      <c r="A3279" t="str">
        <f t="shared" si="51"/>
        <v>54Total Fees</v>
      </c>
      <c r="B3279">
        <v>54</v>
      </c>
      <c r="C3279" s="9" t="s">
        <v>40</v>
      </c>
      <c r="D3279" s="8">
        <v>0</v>
      </c>
    </row>
    <row r="3280" spans="1:4" x14ac:dyDescent="0.35">
      <c r="A3280" t="str">
        <f t="shared" si="51"/>
        <v>54Estimated Strategy Capacity</v>
      </c>
      <c r="B3280">
        <v>54</v>
      </c>
      <c r="C3280" s="9" t="s">
        <v>41</v>
      </c>
      <c r="D3280" s="8">
        <v>250000000</v>
      </c>
    </row>
    <row r="3281" spans="1:4" x14ac:dyDescent="0.35">
      <c r="A3281" t="str">
        <f t="shared" si="51"/>
        <v>53PSR</v>
      </c>
      <c r="B3281">
        <v>53</v>
      </c>
      <c r="C3281" t="s">
        <v>27</v>
      </c>
      <c r="D3281" s="6">
        <v>9.8899999999999995E-3</v>
      </c>
    </row>
    <row r="3282" spans="1:4" x14ac:dyDescent="0.35">
      <c r="A3282" t="str">
        <f t="shared" si="51"/>
        <v>53Sharpe Ratio</v>
      </c>
      <c r="B3282">
        <v>53</v>
      </c>
      <c r="C3282" t="s">
        <v>1</v>
      </c>
      <c r="D3282" s="6">
        <v>-1.157</v>
      </c>
    </row>
    <row r="3283" spans="1:4" x14ac:dyDescent="0.35">
      <c r="A3283" t="str">
        <f t="shared" si="51"/>
        <v>53Total Trades</v>
      </c>
      <c r="B3283">
        <v>53</v>
      </c>
      <c r="C3283" t="s">
        <v>28</v>
      </c>
      <c r="D3283" s="6">
        <v>241</v>
      </c>
    </row>
    <row r="3284" spans="1:4" x14ac:dyDescent="0.35">
      <c r="A3284" t="str">
        <f t="shared" si="51"/>
        <v>53Average Win</v>
      </c>
      <c r="B3284">
        <v>53</v>
      </c>
      <c r="C3284" t="s">
        <v>25</v>
      </c>
      <c r="D3284" s="6">
        <v>2.5700000000000001E-2</v>
      </c>
    </row>
    <row r="3285" spans="1:4" x14ac:dyDescent="0.35">
      <c r="A3285" t="str">
        <f t="shared" si="51"/>
        <v>53Average Loss</v>
      </c>
      <c r="B3285">
        <v>53</v>
      </c>
      <c r="C3285" t="s">
        <v>29</v>
      </c>
      <c r="D3285" s="6">
        <v>-2.7099999999999999E-2</v>
      </c>
    </row>
    <row r="3286" spans="1:4" x14ac:dyDescent="0.35">
      <c r="A3286" t="str">
        <f t="shared" si="51"/>
        <v>53Compounding Annual Return</v>
      </c>
      <c r="B3286">
        <v>53</v>
      </c>
      <c r="C3286" t="s">
        <v>30</v>
      </c>
      <c r="D3286" s="6">
        <v>-0.23042000000000001</v>
      </c>
    </row>
    <row r="3287" spans="1:4" x14ac:dyDescent="0.35">
      <c r="A3287" t="str">
        <f t="shared" si="51"/>
        <v>53Drawdown</v>
      </c>
      <c r="B3287">
        <v>53</v>
      </c>
      <c r="C3287" t="s">
        <v>8</v>
      </c>
      <c r="D3287" s="6">
        <v>0.18099999999999999</v>
      </c>
    </row>
    <row r="3288" spans="1:4" x14ac:dyDescent="0.35">
      <c r="A3288" t="str">
        <f t="shared" si="51"/>
        <v>53Expectancy</v>
      </c>
      <c r="B3288">
        <v>53</v>
      </c>
      <c r="C3288" t="s">
        <v>31</v>
      </c>
      <c r="D3288" s="6">
        <v>-0.75700000000000001</v>
      </c>
    </row>
    <row r="3289" spans="1:4" x14ac:dyDescent="0.35">
      <c r="A3289" t="str">
        <f t="shared" si="51"/>
        <v>53Net Profit</v>
      </c>
      <c r="B3289">
        <v>53</v>
      </c>
      <c r="C3289" t="s">
        <v>32</v>
      </c>
      <c r="D3289" s="6">
        <v>-0.15515000000000001</v>
      </c>
    </row>
    <row r="3290" spans="1:4" x14ac:dyDescent="0.35">
      <c r="A3290" t="str">
        <f t="shared" si="51"/>
        <v>53Loss Rate</v>
      </c>
      <c r="B3290">
        <v>53</v>
      </c>
      <c r="C3290" t="s">
        <v>33</v>
      </c>
      <c r="D3290" s="6">
        <v>0.88</v>
      </c>
    </row>
    <row r="3291" spans="1:4" x14ac:dyDescent="0.35">
      <c r="A3291" t="str">
        <f t="shared" si="51"/>
        <v>53Win Rate</v>
      </c>
      <c r="B3291">
        <v>53</v>
      </c>
      <c r="C3291" t="s">
        <v>34</v>
      </c>
      <c r="D3291" s="6">
        <v>0.12</v>
      </c>
    </row>
    <row r="3292" spans="1:4" x14ac:dyDescent="0.35">
      <c r="A3292" t="str">
        <f t="shared" si="51"/>
        <v>53Profit-Loss Ratio</v>
      </c>
      <c r="B3292">
        <v>53</v>
      </c>
      <c r="C3292" t="s">
        <v>26</v>
      </c>
      <c r="D3292" s="6">
        <v>0.95</v>
      </c>
    </row>
    <row r="3293" spans="1:4" x14ac:dyDescent="0.35">
      <c r="A3293" t="str">
        <f t="shared" si="51"/>
        <v>53Alpha</v>
      </c>
      <c r="B3293">
        <v>53</v>
      </c>
      <c r="C3293" t="s">
        <v>23</v>
      </c>
      <c r="D3293" s="6">
        <v>-0.215</v>
      </c>
    </row>
    <row r="3294" spans="1:4" x14ac:dyDescent="0.35">
      <c r="A3294" t="str">
        <f t="shared" si="51"/>
        <v>53Beta</v>
      </c>
      <c r="B3294">
        <v>53</v>
      </c>
      <c r="C3294" t="s">
        <v>24</v>
      </c>
      <c r="D3294" s="6">
        <v>0.88500000000000001</v>
      </c>
    </row>
    <row r="3295" spans="1:4" x14ac:dyDescent="0.35">
      <c r="A3295" t="str">
        <f t="shared" si="51"/>
        <v>53Annual Standard Deviation</v>
      </c>
      <c r="B3295">
        <v>53</v>
      </c>
      <c r="C3295" t="s">
        <v>35</v>
      </c>
      <c r="D3295" s="6">
        <v>0.13700000000000001</v>
      </c>
    </row>
    <row r="3296" spans="1:4" x14ac:dyDescent="0.35">
      <c r="A3296" t="str">
        <f t="shared" si="51"/>
        <v>53Annual Variance</v>
      </c>
      <c r="B3296">
        <v>53</v>
      </c>
      <c r="C3296" t="s">
        <v>36</v>
      </c>
      <c r="D3296" s="6">
        <v>1.9E-2</v>
      </c>
    </row>
    <row r="3297" spans="1:4" x14ac:dyDescent="0.35">
      <c r="A3297" t="str">
        <f t="shared" si="51"/>
        <v>53Information Ratio</v>
      </c>
      <c r="B3297">
        <v>53</v>
      </c>
      <c r="C3297" t="s">
        <v>37</v>
      </c>
      <c r="D3297" s="6">
        <v>-1.8</v>
      </c>
    </row>
    <row r="3298" spans="1:4" x14ac:dyDescent="0.35">
      <c r="A3298" t="str">
        <f t="shared" si="51"/>
        <v>53Tracking Error</v>
      </c>
      <c r="B3298">
        <v>53</v>
      </c>
      <c r="C3298" t="s">
        <v>38</v>
      </c>
      <c r="D3298" s="6">
        <v>0.123</v>
      </c>
    </row>
    <row r="3299" spans="1:4" x14ac:dyDescent="0.35">
      <c r="A3299" t="str">
        <f t="shared" si="51"/>
        <v>53Treynor Ratio</v>
      </c>
      <c r="B3299">
        <v>53</v>
      </c>
      <c r="C3299" t="s">
        <v>39</v>
      </c>
      <c r="D3299" s="6">
        <v>-0.17899999999999999</v>
      </c>
    </row>
    <row r="3300" spans="1:4" x14ac:dyDescent="0.35">
      <c r="A3300" t="str">
        <f t="shared" si="51"/>
        <v>53Total Fees</v>
      </c>
      <c r="B3300">
        <v>53</v>
      </c>
      <c r="C3300" t="s">
        <v>40</v>
      </c>
      <c r="D3300" s="6">
        <v>0</v>
      </c>
    </row>
    <row r="3301" spans="1:4" x14ac:dyDescent="0.35">
      <c r="A3301" t="str">
        <f t="shared" si="51"/>
        <v>53Estimated Strategy Capacity</v>
      </c>
      <c r="B3301">
        <v>53</v>
      </c>
      <c r="C3301" t="s">
        <v>41</v>
      </c>
      <c r="D3301" s="6">
        <v>3800000000</v>
      </c>
    </row>
    <row r="3302" spans="1:4" x14ac:dyDescent="0.35">
      <c r="A3302" t="str">
        <f t="shared" si="51"/>
        <v>52PSR</v>
      </c>
      <c r="B3302">
        <v>52</v>
      </c>
      <c r="C3302" t="s">
        <v>27</v>
      </c>
      <c r="D3302" s="6">
        <v>7.9399999999999991E-3</v>
      </c>
    </row>
    <row r="3303" spans="1:4" x14ac:dyDescent="0.35">
      <c r="A3303" t="str">
        <f t="shared" si="51"/>
        <v>52Sharpe Ratio</v>
      </c>
      <c r="B3303">
        <v>52</v>
      </c>
      <c r="C3303" t="s">
        <v>1</v>
      </c>
      <c r="D3303" s="6">
        <v>-1.3</v>
      </c>
    </row>
    <row r="3304" spans="1:4" x14ac:dyDescent="0.35">
      <c r="A3304" t="str">
        <f t="shared" si="51"/>
        <v>52Total Trades</v>
      </c>
      <c r="B3304">
        <v>52</v>
      </c>
      <c r="C3304" t="s">
        <v>28</v>
      </c>
      <c r="D3304" s="6">
        <v>241</v>
      </c>
    </row>
    <row r="3305" spans="1:4" x14ac:dyDescent="0.35">
      <c r="A3305" t="str">
        <f t="shared" si="51"/>
        <v>52Average Win</v>
      </c>
      <c r="B3305">
        <v>52</v>
      </c>
      <c r="C3305" t="s">
        <v>25</v>
      </c>
      <c r="D3305" s="6">
        <v>2.2000000000000001E-3</v>
      </c>
    </row>
    <row r="3306" spans="1:4" x14ac:dyDescent="0.35">
      <c r="A3306" t="str">
        <f t="shared" si="51"/>
        <v>52Average Loss</v>
      </c>
      <c r="B3306">
        <v>52</v>
      </c>
      <c r="C3306" t="s">
        <v>29</v>
      </c>
      <c r="D3306" s="6">
        <v>-2.5000000000000001E-3</v>
      </c>
    </row>
    <row r="3307" spans="1:4" x14ac:dyDescent="0.35">
      <c r="A3307" t="str">
        <f t="shared" si="51"/>
        <v>52Compounding Annual Return</v>
      </c>
      <c r="B3307">
        <v>52</v>
      </c>
      <c r="C3307" t="s">
        <v>30</v>
      </c>
      <c r="D3307" s="6">
        <v>-2.4E-2</v>
      </c>
    </row>
    <row r="3308" spans="1:4" x14ac:dyDescent="0.35">
      <c r="A3308" t="str">
        <f t="shared" si="51"/>
        <v>52Drawdown</v>
      </c>
      <c r="B3308">
        <v>52</v>
      </c>
      <c r="C3308" t="s">
        <v>8</v>
      </c>
      <c r="D3308" s="6">
        <v>1.9E-2</v>
      </c>
    </row>
    <row r="3309" spans="1:4" x14ac:dyDescent="0.35">
      <c r="A3309" t="str">
        <f t="shared" si="51"/>
        <v>52Expectancy</v>
      </c>
      <c r="B3309">
        <v>52</v>
      </c>
      <c r="C3309" t="s">
        <v>31</v>
      </c>
      <c r="D3309" s="6">
        <v>-0.76500000000000001</v>
      </c>
    </row>
    <row r="3310" spans="1:4" x14ac:dyDescent="0.35">
      <c r="A3310" t="str">
        <f t="shared" si="51"/>
        <v>52Net Profit</v>
      </c>
      <c r="B3310">
        <v>52</v>
      </c>
      <c r="C3310" t="s">
        <v>32</v>
      </c>
      <c r="D3310" s="6">
        <v>-1.5509999999999999E-2</v>
      </c>
    </row>
    <row r="3311" spans="1:4" x14ac:dyDescent="0.35">
      <c r="A3311" t="str">
        <f t="shared" si="51"/>
        <v>52Loss Rate</v>
      </c>
      <c r="B3311">
        <v>52</v>
      </c>
      <c r="C3311" t="s">
        <v>33</v>
      </c>
      <c r="D3311" s="6">
        <v>0.88</v>
      </c>
    </row>
    <row r="3312" spans="1:4" x14ac:dyDescent="0.35">
      <c r="A3312" t="str">
        <f t="shared" si="51"/>
        <v>52Win Rate</v>
      </c>
      <c r="B3312">
        <v>52</v>
      </c>
      <c r="C3312" t="s">
        <v>34</v>
      </c>
      <c r="D3312" s="6">
        <v>0.12</v>
      </c>
    </row>
    <row r="3313" spans="1:4" x14ac:dyDescent="0.35">
      <c r="A3313" t="str">
        <f t="shared" si="51"/>
        <v>52Profit-Loss Ratio</v>
      </c>
      <c r="B3313">
        <v>52</v>
      </c>
      <c r="C3313" t="s">
        <v>26</v>
      </c>
      <c r="D3313" s="6">
        <v>0.88</v>
      </c>
    </row>
    <row r="3314" spans="1:4" x14ac:dyDescent="0.35">
      <c r="A3314" t="str">
        <f t="shared" si="51"/>
        <v>52Alpha</v>
      </c>
      <c r="B3314">
        <v>52</v>
      </c>
      <c r="C3314" t="s">
        <v>23</v>
      </c>
      <c r="D3314" s="6">
        <v>-2.1999999999999999E-2</v>
      </c>
    </row>
    <row r="3315" spans="1:4" x14ac:dyDescent="0.35">
      <c r="A3315" t="str">
        <f t="shared" si="51"/>
        <v>52Beta</v>
      </c>
      <c r="B3315">
        <v>52</v>
      </c>
      <c r="C3315" t="s">
        <v>24</v>
      </c>
      <c r="D3315" s="6">
        <v>8.2000000000000003E-2</v>
      </c>
    </row>
    <row r="3316" spans="1:4" x14ac:dyDescent="0.35">
      <c r="A3316" t="str">
        <f t="shared" si="51"/>
        <v>52Annual Standard Deviation</v>
      </c>
      <c r="B3316">
        <v>52</v>
      </c>
      <c r="C3316" t="s">
        <v>35</v>
      </c>
      <c r="D3316" s="6">
        <v>1.2999999999999999E-2</v>
      </c>
    </row>
    <row r="3317" spans="1:4" x14ac:dyDescent="0.35">
      <c r="A3317" t="str">
        <f t="shared" si="51"/>
        <v>52Annual Variance</v>
      </c>
      <c r="B3317">
        <v>52</v>
      </c>
      <c r="C3317" t="s">
        <v>36</v>
      </c>
      <c r="D3317" s="6">
        <v>0</v>
      </c>
    </row>
    <row r="3318" spans="1:4" x14ac:dyDescent="0.35">
      <c r="A3318" t="str">
        <f t="shared" si="51"/>
        <v>52Information Ratio</v>
      </c>
      <c r="B3318">
        <v>52</v>
      </c>
      <c r="C3318" t="s">
        <v>37</v>
      </c>
      <c r="D3318" s="6">
        <v>-1.29</v>
      </c>
    </row>
    <row r="3319" spans="1:4" x14ac:dyDescent="0.35">
      <c r="A3319" t="str">
        <f t="shared" si="51"/>
        <v>52Tracking Error</v>
      </c>
      <c r="B3319">
        <v>52</v>
      </c>
      <c r="C3319" t="s">
        <v>38</v>
      </c>
      <c r="D3319" s="6">
        <v>6.2E-2</v>
      </c>
    </row>
    <row r="3320" spans="1:4" x14ac:dyDescent="0.35">
      <c r="A3320" t="str">
        <f t="shared" si="51"/>
        <v>52Treynor Ratio</v>
      </c>
      <c r="B3320">
        <v>52</v>
      </c>
      <c r="C3320" t="s">
        <v>39</v>
      </c>
      <c r="D3320" s="6">
        <v>-0.20300000000000001</v>
      </c>
    </row>
    <row r="3321" spans="1:4" x14ac:dyDescent="0.35">
      <c r="A3321" t="str">
        <f t="shared" si="51"/>
        <v>52Total Fees</v>
      </c>
      <c r="B3321">
        <v>52</v>
      </c>
      <c r="C3321" t="s">
        <v>40</v>
      </c>
      <c r="D3321" s="6">
        <v>0</v>
      </c>
    </row>
    <row r="3322" spans="1:4" x14ac:dyDescent="0.35">
      <c r="A3322" t="str">
        <f t="shared" si="51"/>
        <v>52Estimated Strategy Capacity</v>
      </c>
      <c r="B3322">
        <v>52</v>
      </c>
      <c r="C3322" t="s">
        <v>41</v>
      </c>
      <c r="D3322" s="6">
        <v>45000000000</v>
      </c>
    </row>
    <row r="3323" spans="1:4" x14ac:dyDescent="0.35">
      <c r="A3323" t="str">
        <f t="shared" si="51"/>
        <v>51PSR</v>
      </c>
      <c r="B3323">
        <v>51</v>
      </c>
      <c r="C3323" t="s">
        <v>27</v>
      </c>
      <c r="D3323" s="6">
        <v>0.38490999999999997</v>
      </c>
    </row>
    <row r="3324" spans="1:4" x14ac:dyDescent="0.35">
      <c r="A3324" t="str">
        <f t="shared" si="51"/>
        <v>51Sharpe Ratio</v>
      </c>
      <c r="B3324">
        <v>51</v>
      </c>
      <c r="C3324" t="s">
        <v>1</v>
      </c>
      <c r="D3324" s="6">
        <v>0.8</v>
      </c>
    </row>
    <row r="3325" spans="1:4" x14ac:dyDescent="0.35">
      <c r="A3325" t="str">
        <f t="shared" si="51"/>
        <v>51Total Trades</v>
      </c>
      <c r="B3325">
        <v>51</v>
      </c>
      <c r="C3325" t="s">
        <v>28</v>
      </c>
      <c r="D3325" s="6">
        <v>354</v>
      </c>
    </row>
    <row r="3326" spans="1:4" x14ac:dyDescent="0.35">
      <c r="A3326" t="str">
        <f t="shared" si="51"/>
        <v>51Average Win</v>
      </c>
      <c r="B3326">
        <v>51</v>
      </c>
      <c r="C3326" t="s">
        <v>25</v>
      </c>
      <c r="D3326" s="6">
        <v>0.16220000000000001</v>
      </c>
    </row>
    <row r="3327" spans="1:4" x14ac:dyDescent="0.35">
      <c r="A3327" t="str">
        <f t="shared" si="51"/>
        <v>51Average Loss</v>
      </c>
      <c r="B3327">
        <v>51</v>
      </c>
      <c r="C3327" t="s">
        <v>29</v>
      </c>
      <c r="D3327" s="6">
        <v>-5.1900000000000002E-2</v>
      </c>
    </row>
    <row r="3328" spans="1:4" x14ac:dyDescent="0.35">
      <c r="A3328" t="str">
        <f t="shared" si="51"/>
        <v>51Compounding Annual Return</v>
      </c>
      <c r="B3328">
        <v>51</v>
      </c>
      <c r="C3328" t="s">
        <v>30</v>
      </c>
      <c r="D3328" s="6">
        <v>0.32729999999999998</v>
      </c>
    </row>
    <row r="3329" spans="1:4" x14ac:dyDescent="0.35">
      <c r="A3329" t="str">
        <f t="shared" si="51"/>
        <v>51Drawdown</v>
      </c>
      <c r="B3329">
        <v>51</v>
      </c>
      <c r="C3329" t="s">
        <v>8</v>
      </c>
      <c r="D3329" s="6">
        <v>0.33200000000000002</v>
      </c>
    </row>
    <row r="3330" spans="1:4" x14ac:dyDescent="0.35">
      <c r="A3330" t="str">
        <f t="shared" si="51"/>
        <v>51Expectancy</v>
      </c>
      <c r="B3330">
        <v>51</v>
      </c>
      <c r="C3330" t="s">
        <v>31</v>
      </c>
      <c r="D3330" s="6">
        <v>0.5</v>
      </c>
    </row>
    <row r="3331" spans="1:4" x14ac:dyDescent="0.35">
      <c r="A3331" t="str">
        <f t="shared" ref="A3331:A3394" si="52">B3331&amp;C3331</f>
        <v>51Net Profit</v>
      </c>
      <c r="B3331">
        <v>51</v>
      </c>
      <c r="C3331" t="s">
        <v>32</v>
      </c>
      <c r="D3331" s="6">
        <v>0.19993</v>
      </c>
    </row>
    <row r="3332" spans="1:4" x14ac:dyDescent="0.35">
      <c r="A3332" t="str">
        <f t="shared" si="52"/>
        <v>51Loss Rate</v>
      </c>
      <c r="B3332">
        <v>51</v>
      </c>
      <c r="C3332" t="s">
        <v>33</v>
      </c>
      <c r="D3332" s="6">
        <v>0.64</v>
      </c>
    </row>
    <row r="3333" spans="1:4" x14ac:dyDescent="0.35">
      <c r="A3333" t="str">
        <f t="shared" si="52"/>
        <v>51Win Rate</v>
      </c>
      <c r="B3333">
        <v>51</v>
      </c>
      <c r="C3333" t="s">
        <v>34</v>
      </c>
      <c r="D3333" s="6">
        <v>0.36</v>
      </c>
    </row>
    <row r="3334" spans="1:4" x14ac:dyDescent="0.35">
      <c r="A3334" t="str">
        <f t="shared" si="52"/>
        <v>51Profit-Loss Ratio</v>
      </c>
      <c r="B3334">
        <v>51</v>
      </c>
      <c r="C3334" t="s">
        <v>26</v>
      </c>
      <c r="D3334" s="6">
        <v>3.12</v>
      </c>
    </row>
    <row r="3335" spans="1:4" x14ac:dyDescent="0.35">
      <c r="A3335" t="str">
        <f t="shared" si="52"/>
        <v>51Alpha</v>
      </c>
      <c r="B3335">
        <v>51</v>
      </c>
      <c r="C3335" t="s">
        <v>23</v>
      </c>
      <c r="D3335" s="6">
        <v>0.22500000000000001</v>
      </c>
    </row>
    <row r="3336" spans="1:4" x14ac:dyDescent="0.35">
      <c r="A3336" t="str">
        <f t="shared" si="52"/>
        <v>51Beta</v>
      </c>
      <c r="B3336">
        <v>51</v>
      </c>
      <c r="C3336" t="s">
        <v>24</v>
      </c>
      <c r="D3336" s="6">
        <v>1.387</v>
      </c>
    </row>
    <row r="3337" spans="1:4" x14ac:dyDescent="0.35">
      <c r="A3337" t="str">
        <f t="shared" si="52"/>
        <v>51Annual Standard Deviation</v>
      </c>
      <c r="B3337">
        <v>51</v>
      </c>
      <c r="C3337" t="s">
        <v>35</v>
      </c>
      <c r="D3337" s="6">
        <v>0.39200000000000002</v>
      </c>
    </row>
    <row r="3338" spans="1:4" x14ac:dyDescent="0.35">
      <c r="A3338" t="str">
        <f t="shared" si="52"/>
        <v>51Annual Variance</v>
      </c>
      <c r="B3338">
        <v>51</v>
      </c>
      <c r="C3338" t="s">
        <v>36</v>
      </c>
      <c r="D3338" s="6">
        <v>0.153</v>
      </c>
    </row>
    <row r="3339" spans="1:4" x14ac:dyDescent="0.35">
      <c r="A3339" t="str">
        <f t="shared" si="52"/>
        <v>51Information Ratio</v>
      </c>
      <c r="B3339">
        <v>51</v>
      </c>
      <c r="C3339" t="s">
        <v>37</v>
      </c>
      <c r="D3339" s="6">
        <v>0.65400000000000003</v>
      </c>
    </row>
    <row r="3340" spans="1:4" x14ac:dyDescent="0.35">
      <c r="A3340" t="str">
        <f t="shared" si="52"/>
        <v>51Tracking Error</v>
      </c>
      <c r="B3340">
        <v>51</v>
      </c>
      <c r="C3340" t="s">
        <v>38</v>
      </c>
      <c r="D3340" s="6">
        <v>0.38100000000000001</v>
      </c>
    </row>
    <row r="3341" spans="1:4" x14ac:dyDescent="0.35">
      <c r="A3341" t="str">
        <f t="shared" si="52"/>
        <v>51Treynor Ratio</v>
      </c>
      <c r="B3341">
        <v>51</v>
      </c>
      <c r="C3341" t="s">
        <v>39</v>
      </c>
      <c r="D3341" s="6">
        <v>0.22600000000000001</v>
      </c>
    </row>
    <row r="3342" spans="1:4" x14ac:dyDescent="0.35">
      <c r="A3342" t="str">
        <f t="shared" si="52"/>
        <v>51Total Fees</v>
      </c>
      <c r="B3342">
        <v>51</v>
      </c>
      <c r="C3342" t="s">
        <v>40</v>
      </c>
      <c r="D3342" s="6">
        <v>0</v>
      </c>
    </row>
    <row r="3343" spans="1:4" x14ac:dyDescent="0.35">
      <c r="A3343" t="str">
        <f t="shared" si="52"/>
        <v>51Estimated Strategy Capacity</v>
      </c>
      <c r="B3343">
        <v>51</v>
      </c>
      <c r="C3343" t="s">
        <v>41</v>
      </c>
      <c r="D3343" s="6">
        <v>5100000</v>
      </c>
    </row>
    <row r="3344" spans="1:4" x14ac:dyDescent="0.35">
      <c r="A3344" t="str">
        <f t="shared" si="52"/>
        <v>50PSR</v>
      </c>
      <c r="B3344">
        <v>50</v>
      </c>
      <c r="C3344" t="s">
        <v>27</v>
      </c>
      <c r="D3344" s="6">
        <v>0.33534000000000003</v>
      </c>
    </row>
    <row r="3345" spans="1:4" x14ac:dyDescent="0.35">
      <c r="A3345" t="str">
        <f t="shared" si="52"/>
        <v>50Sharpe Ratio</v>
      </c>
      <c r="B3345">
        <v>50</v>
      </c>
      <c r="C3345" t="s">
        <v>1</v>
      </c>
      <c r="D3345" s="6">
        <v>0.56699999999999995</v>
      </c>
    </row>
    <row r="3346" spans="1:4" x14ac:dyDescent="0.35">
      <c r="A3346" t="str">
        <f t="shared" si="52"/>
        <v>50Total Trades</v>
      </c>
      <c r="B3346">
        <v>50</v>
      </c>
      <c r="C3346" t="s">
        <v>28</v>
      </c>
      <c r="D3346" s="6">
        <v>354</v>
      </c>
    </row>
    <row r="3347" spans="1:4" x14ac:dyDescent="0.35">
      <c r="A3347" t="str">
        <f t="shared" si="52"/>
        <v>50Average Win</v>
      </c>
      <c r="B3347">
        <v>50</v>
      </c>
      <c r="C3347" t="s">
        <v>25</v>
      </c>
      <c r="D3347" s="6">
        <v>0.03</v>
      </c>
    </row>
    <row r="3348" spans="1:4" x14ac:dyDescent="0.35">
      <c r="A3348" t="str">
        <f t="shared" si="52"/>
        <v>50Average Loss</v>
      </c>
      <c r="B3348">
        <v>50</v>
      </c>
      <c r="C3348" t="s">
        <v>29</v>
      </c>
      <c r="D3348" s="6">
        <v>-1.0500000000000001E-2</v>
      </c>
    </row>
    <row r="3349" spans="1:4" x14ac:dyDescent="0.35">
      <c r="A3349" t="str">
        <f t="shared" si="52"/>
        <v>50Compounding Annual Return</v>
      </c>
      <c r="B3349">
        <v>50</v>
      </c>
      <c r="C3349" t="s">
        <v>30</v>
      </c>
      <c r="D3349" s="6">
        <v>6.2799999999999995E-2</v>
      </c>
    </row>
    <row r="3350" spans="1:4" x14ac:dyDescent="0.35">
      <c r="A3350" t="str">
        <f t="shared" si="52"/>
        <v>50Drawdown</v>
      </c>
      <c r="B3350">
        <v>50</v>
      </c>
      <c r="C3350" t="s">
        <v>8</v>
      </c>
      <c r="D3350" s="6">
        <v>7.5999999999999998E-2</v>
      </c>
    </row>
    <row r="3351" spans="1:4" x14ac:dyDescent="0.35">
      <c r="A3351" t="str">
        <f t="shared" si="52"/>
        <v>50Expectancy</v>
      </c>
      <c r="B3351">
        <v>50</v>
      </c>
      <c r="C3351" t="s">
        <v>31</v>
      </c>
      <c r="D3351" s="6">
        <v>0.40400000000000003</v>
      </c>
    </row>
    <row r="3352" spans="1:4" x14ac:dyDescent="0.35">
      <c r="A3352" t="str">
        <f t="shared" si="52"/>
        <v>50Net Profit</v>
      </c>
      <c r="B3352">
        <v>50</v>
      </c>
      <c r="C3352" t="s">
        <v>32</v>
      </c>
      <c r="D3352" s="6">
        <v>3.9989999999999998E-2</v>
      </c>
    </row>
    <row r="3353" spans="1:4" x14ac:dyDescent="0.35">
      <c r="A3353" t="str">
        <f t="shared" si="52"/>
        <v>50Loss Rate</v>
      </c>
      <c r="B3353">
        <v>50</v>
      </c>
      <c r="C3353" t="s">
        <v>33</v>
      </c>
      <c r="D3353" s="6">
        <v>0.64</v>
      </c>
    </row>
    <row r="3354" spans="1:4" x14ac:dyDescent="0.35">
      <c r="A3354" t="str">
        <f t="shared" si="52"/>
        <v>50Win Rate</v>
      </c>
      <c r="B3354">
        <v>50</v>
      </c>
      <c r="C3354" t="s">
        <v>34</v>
      </c>
      <c r="D3354" s="6">
        <v>0.36</v>
      </c>
    </row>
    <row r="3355" spans="1:4" x14ac:dyDescent="0.35">
      <c r="A3355" t="str">
        <f t="shared" si="52"/>
        <v>50Profit-Loss Ratio</v>
      </c>
      <c r="B3355">
        <v>50</v>
      </c>
      <c r="C3355" t="s">
        <v>26</v>
      </c>
      <c r="D3355" s="6">
        <v>2.86</v>
      </c>
    </row>
    <row r="3356" spans="1:4" x14ac:dyDescent="0.35">
      <c r="A3356" t="str">
        <f t="shared" si="52"/>
        <v>50Alpha</v>
      </c>
      <c r="B3356">
        <v>50</v>
      </c>
      <c r="C3356" t="s">
        <v>23</v>
      </c>
      <c r="D3356" s="6">
        <v>2.7E-2</v>
      </c>
    </row>
    <row r="3357" spans="1:4" x14ac:dyDescent="0.35">
      <c r="A3357" t="str">
        <f t="shared" si="52"/>
        <v>50Beta</v>
      </c>
      <c r="B3357">
        <v>50</v>
      </c>
      <c r="C3357" t="s">
        <v>24</v>
      </c>
      <c r="D3357" s="6">
        <v>0.312</v>
      </c>
    </row>
    <row r="3358" spans="1:4" x14ac:dyDescent="0.35">
      <c r="A3358" t="str">
        <f t="shared" si="52"/>
        <v>50Annual Standard Deviation</v>
      </c>
      <c r="B3358">
        <v>50</v>
      </c>
      <c r="C3358" t="s">
        <v>35</v>
      </c>
      <c r="D3358" s="6">
        <v>8.2000000000000003E-2</v>
      </c>
    </row>
    <row r="3359" spans="1:4" x14ac:dyDescent="0.35">
      <c r="A3359" t="str">
        <f t="shared" si="52"/>
        <v>50Annual Variance</v>
      </c>
      <c r="B3359">
        <v>50</v>
      </c>
      <c r="C3359" t="s">
        <v>36</v>
      </c>
      <c r="D3359" s="6">
        <v>7.0000000000000001E-3</v>
      </c>
    </row>
    <row r="3360" spans="1:4" x14ac:dyDescent="0.35">
      <c r="A3360" t="str">
        <f t="shared" si="52"/>
        <v>50Information Ratio</v>
      </c>
      <c r="B3360">
        <v>50</v>
      </c>
      <c r="C3360" t="s">
        <v>37</v>
      </c>
      <c r="D3360" s="6">
        <v>-0.189</v>
      </c>
    </row>
    <row r="3361" spans="1:4" x14ac:dyDescent="0.35">
      <c r="A3361" t="str">
        <f t="shared" si="52"/>
        <v>50Tracking Error</v>
      </c>
      <c r="B3361">
        <v>50</v>
      </c>
      <c r="C3361" t="s">
        <v>38</v>
      </c>
      <c r="D3361" s="6">
        <v>9.1999999999999998E-2</v>
      </c>
    </row>
    <row r="3362" spans="1:4" x14ac:dyDescent="0.35">
      <c r="A3362" t="str">
        <f t="shared" si="52"/>
        <v>50Treynor Ratio</v>
      </c>
      <c r="B3362">
        <v>50</v>
      </c>
      <c r="C3362" t="s">
        <v>39</v>
      </c>
      <c r="D3362" s="6">
        <v>0.14899999999999999</v>
      </c>
    </row>
    <row r="3363" spans="1:4" x14ac:dyDescent="0.35">
      <c r="A3363" t="str">
        <f t="shared" si="52"/>
        <v>50Total Fees</v>
      </c>
      <c r="B3363">
        <v>50</v>
      </c>
      <c r="C3363" t="s">
        <v>40</v>
      </c>
      <c r="D3363" s="6">
        <v>0</v>
      </c>
    </row>
    <row r="3364" spans="1:4" x14ac:dyDescent="0.35">
      <c r="A3364" t="str">
        <f t="shared" si="52"/>
        <v>50Estimated Strategy Capacity</v>
      </c>
      <c r="B3364">
        <v>50</v>
      </c>
      <c r="C3364" t="s">
        <v>41</v>
      </c>
      <c r="D3364" s="6">
        <v>20000000</v>
      </c>
    </row>
    <row r="3365" spans="1:4" x14ac:dyDescent="0.35">
      <c r="A3365" t="str">
        <f t="shared" si="52"/>
        <v>49PSR</v>
      </c>
      <c r="B3365">
        <v>49</v>
      </c>
      <c r="C3365" t="s">
        <v>27</v>
      </c>
      <c r="D3365" s="6">
        <v>0.32308999999999999</v>
      </c>
    </row>
    <row r="3366" spans="1:4" x14ac:dyDescent="0.35">
      <c r="A3366" t="str">
        <f t="shared" si="52"/>
        <v>49Sharpe Ratio</v>
      </c>
      <c r="B3366">
        <v>49</v>
      </c>
      <c r="C3366" t="s">
        <v>1</v>
      </c>
      <c r="D3366" s="6">
        <v>0.52</v>
      </c>
    </row>
    <row r="3367" spans="1:4" x14ac:dyDescent="0.35">
      <c r="A3367" t="str">
        <f t="shared" si="52"/>
        <v>49Total Trades</v>
      </c>
      <c r="B3367">
        <v>49</v>
      </c>
      <c r="C3367" t="s">
        <v>28</v>
      </c>
      <c r="D3367" s="6">
        <v>354</v>
      </c>
    </row>
    <row r="3368" spans="1:4" x14ac:dyDescent="0.35">
      <c r="A3368" t="str">
        <f t="shared" si="52"/>
        <v>49Average Win</v>
      </c>
      <c r="B3368">
        <v>49</v>
      </c>
      <c r="C3368" t="s">
        <v>25</v>
      </c>
      <c r="D3368" s="6">
        <v>3.0000000000000001E-3</v>
      </c>
    </row>
    <row r="3369" spans="1:4" x14ac:dyDescent="0.35">
      <c r="A3369" t="str">
        <f t="shared" si="52"/>
        <v>49Average Loss</v>
      </c>
      <c r="B3369">
        <v>49</v>
      </c>
      <c r="C3369" t="s">
        <v>29</v>
      </c>
      <c r="D3369" s="6">
        <v>-1.1000000000000001E-3</v>
      </c>
    </row>
    <row r="3370" spans="1:4" x14ac:dyDescent="0.35">
      <c r="A3370" t="str">
        <f t="shared" si="52"/>
        <v>49Compounding Annual Return</v>
      </c>
      <c r="B3370">
        <v>49</v>
      </c>
      <c r="C3370" t="s">
        <v>30</v>
      </c>
      <c r="D3370" s="6">
        <v>6.2199999999999998E-3</v>
      </c>
    </row>
    <row r="3371" spans="1:4" x14ac:dyDescent="0.35">
      <c r="A3371" t="str">
        <f t="shared" si="52"/>
        <v>49Drawdown</v>
      </c>
      <c r="B3371">
        <v>49</v>
      </c>
      <c r="C3371" t="s">
        <v>8</v>
      </c>
      <c r="D3371" s="6">
        <v>8.0000000000000002E-3</v>
      </c>
    </row>
    <row r="3372" spans="1:4" x14ac:dyDescent="0.35">
      <c r="A3372" t="str">
        <f t="shared" si="52"/>
        <v>49Expectancy</v>
      </c>
      <c r="B3372">
        <v>49</v>
      </c>
      <c r="C3372" t="s">
        <v>31</v>
      </c>
      <c r="D3372" s="6">
        <v>0.38500000000000001</v>
      </c>
    </row>
    <row r="3373" spans="1:4" x14ac:dyDescent="0.35">
      <c r="A3373" t="str">
        <f t="shared" si="52"/>
        <v>49Net Profit</v>
      </c>
      <c r="B3373">
        <v>49</v>
      </c>
      <c r="C3373" t="s">
        <v>32</v>
      </c>
      <c r="D3373" s="6">
        <v>4.0000000000000001E-3</v>
      </c>
    </row>
    <row r="3374" spans="1:4" x14ac:dyDescent="0.35">
      <c r="A3374" t="str">
        <f t="shared" si="52"/>
        <v>49Loss Rate</v>
      </c>
      <c r="B3374">
        <v>49</v>
      </c>
      <c r="C3374" t="s">
        <v>33</v>
      </c>
      <c r="D3374" s="6">
        <v>0.64</v>
      </c>
    </row>
    <row r="3375" spans="1:4" x14ac:dyDescent="0.35">
      <c r="A3375" t="str">
        <f t="shared" si="52"/>
        <v>49Win Rate</v>
      </c>
      <c r="B3375">
        <v>49</v>
      </c>
      <c r="C3375" t="s">
        <v>34</v>
      </c>
      <c r="D3375" s="6">
        <v>0.36</v>
      </c>
    </row>
    <row r="3376" spans="1:4" x14ac:dyDescent="0.35">
      <c r="A3376" t="str">
        <f t="shared" si="52"/>
        <v>49Profit-Loss Ratio</v>
      </c>
      <c r="B3376">
        <v>49</v>
      </c>
      <c r="C3376" t="s">
        <v>26</v>
      </c>
      <c r="D3376" s="6">
        <v>2.81</v>
      </c>
    </row>
    <row r="3377" spans="1:4" x14ac:dyDescent="0.35">
      <c r="A3377" t="str">
        <f t="shared" si="52"/>
        <v>49Alpha</v>
      </c>
      <c r="B3377">
        <v>49</v>
      </c>
      <c r="C3377" t="s">
        <v>23</v>
      </c>
      <c r="D3377" s="6">
        <v>2E-3</v>
      </c>
    </row>
    <row r="3378" spans="1:4" x14ac:dyDescent="0.35">
      <c r="A3378" t="str">
        <f t="shared" si="52"/>
        <v>49Beta</v>
      </c>
      <c r="B3378">
        <v>49</v>
      </c>
      <c r="C3378" t="s">
        <v>24</v>
      </c>
      <c r="D3378" s="6">
        <v>3.2000000000000001E-2</v>
      </c>
    </row>
    <row r="3379" spans="1:4" x14ac:dyDescent="0.35">
      <c r="A3379" t="str">
        <f t="shared" si="52"/>
        <v>49Annual Standard Deviation</v>
      </c>
      <c r="B3379">
        <v>49</v>
      </c>
      <c r="C3379" t="s">
        <v>35</v>
      </c>
      <c r="D3379" s="6">
        <v>8.0000000000000002E-3</v>
      </c>
    </row>
    <row r="3380" spans="1:4" x14ac:dyDescent="0.35">
      <c r="A3380" t="str">
        <f t="shared" si="52"/>
        <v>49Annual Variance</v>
      </c>
      <c r="B3380">
        <v>49</v>
      </c>
      <c r="C3380" t="s">
        <v>36</v>
      </c>
      <c r="D3380" s="6">
        <v>0</v>
      </c>
    </row>
    <row r="3381" spans="1:4" x14ac:dyDescent="0.35">
      <c r="A3381" t="str">
        <f t="shared" si="52"/>
        <v>49Information Ratio</v>
      </c>
      <c r="B3381">
        <v>49</v>
      </c>
      <c r="C3381" t="s">
        <v>37</v>
      </c>
      <c r="D3381" s="6">
        <v>-0.91400000000000003</v>
      </c>
    </row>
    <row r="3382" spans="1:4" x14ac:dyDescent="0.35">
      <c r="A3382" t="str">
        <f t="shared" si="52"/>
        <v>49Tracking Error</v>
      </c>
      <c r="B3382">
        <v>49</v>
      </c>
      <c r="C3382" t="s">
        <v>38</v>
      </c>
      <c r="D3382" s="6">
        <v>6.5000000000000002E-2</v>
      </c>
    </row>
    <row r="3383" spans="1:4" x14ac:dyDescent="0.35">
      <c r="A3383" t="str">
        <f t="shared" si="52"/>
        <v>49Treynor Ratio</v>
      </c>
      <c r="B3383">
        <v>49</v>
      </c>
      <c r="C3383" t="s">
        <v>39</v>
      </c>
      <c r="D3383" s="6">
        <v>0.13500000000000001</v>
      </c>
    </row>
    <row r="3384" spans="1:4" x14ac:dyDescent="0.35">
      <c r="A3384" t="str">
        <f t="shared" si="52"/>
        <v>49Total Fees</v>
      </c>
      <c r="B3384">
        <v>49</v>
      </c>
      <c r="C3384" t="s">
        <v>40</v>
      </c>
      <c r="D3384" s="6">
        <v>0</v>
      </c>
    </row>
    <row r="3385" spans="1:4" x14ac:dyDescent="0.35">
      <c r="A3385" t="str">
        <f t="shared" si="52"/>
        <v>49Estimated Strategy Capacity</v>
      </c>
      <c r="B3385">
        <v>49</v>
      </c>
      <c r="C3385" t="s">
        <v>41</v>
      </c>
      <c r="D3385" s="6">
        <v>190000000</v>
      </c>
    </row>
    <row r="3386" spans="1:4" x14ac:dyDescent="0.35">
      <c r="A3386" t="str">
        <f t="shared" si="52"/>
        <v>45PSR</v>
      </c>
      <c r="B3386">
        <v>45</v>
      </c>
      <c r="C3386" s="9" t="s">
        <v>27</v>
      </c>
      <c r="D3386" s="8">
        <v>0.60199000000000003</v>
      </c>
    </row>
    <row r="3387" spans="1:4" x14ac:dyDescent="0.35">
      <c r="A3387" t="str">
        <f t="shared" si="52"/>
        <v>45Sharpe Ratio</v>
      </c>
      <c r="B3387">
        <v>45</v>
      </c>
      <c r="C3387" s="9" t="s">
        <v>1</v>
      </c>
      <c r="D3387" s="8">
        <v>1.7250000000000001</v>
      </c>
    </row>
    <row r="3388" spans="1:4" x14ac:dyDescent="0.35">
      <c r="A3388" t="str">
        <f t="shared" si="52"/>
        <v>45Total Trades</v>
      </c>
      <c r="B3388">
        <v>45</v>
      </c>
      <c r="C3388" s="9" t="s">
        <v>28</v>
      </c>
      <c r="D3388" s="8">
        <v>397</v>
      </c>
    </row>
    <row r="3389" spans="1:4" x14ac:dyDescent="0.35">
      <c r="A3389" t="str">
        <f t="shared" si="52"/>
        <v>45Average Win</v>
      </c>
      <c r="B3389">
        <v>45</v>
      </c>
      <c r="C3389" s="9" t="s">
        <v>25</v>
      </c>
      <c r="D3389" s="8">
        <v>0.1353</v>
      </c>
    </row>
    <row r="3390" spans="1:4" x14ac:dyDescent="0.35">
      <c r="A3390" t="str">
        <f t="shared" si="52"/>
        <v>45Average Loss</v>
      </c>
      <c r="B3390">
        <v>45</v>
      </c>
      <c r="C3390" s="9" t="s">
        <v>29</v>
      </c>
      <c r="D3390" s="8">
        <v>-9.1300000000000006E-2</v>
      </c>
    </row>
    <row r="3391" spans="1:4" x14ac:dyDescent="0.35">
      <c r="A3391" t="str">
        <f t="shared" si="52"/>
        <v>45Compounding Annual Return</v>
      </c>
      <c r="B3391">
        <v>45</v>
      </c>
      <c r="C3391" s="9" t="s">
        <v>30</v>
      </c>
      <c r="D3391" s="8">
        <v>1.0329299999999999</v>
      </c>
    </row>
    <row r="3392" spans="1:4" x14ac:dyDescent="0.35">
      <c r="A3392" t="str">
        <f t="shared" si="52"/>
        <v>45Drawdown</v>
      </c>
      <c r="B3392">
        <v>45</v>
      </c>
      <c r="C3392" s="9" t="s">
        <v>8</v>
      </c>
      <c r="D3392" s="8">
        <v>0.29799999999999999</v>
      </c>
    </row>
    <row r="3393" spans="1:4" x14ac:dyDescent="0.35">
      <c r="A3393" t="str">
        <f t="shared" si="52"/>
        <v>45Expectancy</v>
      </c>
      <c r="B3393">
        <v>45</v>
      </c>
      <c r="C3393" s="9" t="s">
        <v>31</v>
      </c>
      <c r="D3393" s="8">
        <v>0.52700000000000002</v>
      </c>
    </row>
    <row r="3394" spans="1:4" x14ac:dyDescent="0.35">
      <c r="A3394" t="str">
        <f t="shared" si="52"/>
        <v>45Net Profit</v>
      </c>
      <c r="B3394">
        <v>45</v>
      </c>
      <c r="C3394" s="9" t="s">
        <v>32</v>
      </c>
      <c r="D3394" s="8">
        <v>0.58194000000000001</v>
      </c>
    </row>
    <row r="3395" spans="1:4" x14ac:dyDescent="0.35">
      <c r="A3395" t="str">
        <f t="shared" ref="A3395:A3458" si="53">B3395&amp;C3395</f>
        <v>45Loss Rate</v>
      </c>
      <c r="B3395">
        <v>45</v>
      </c>
      <c r="C3395" s="9" t="s">
        <v>33</v>
      </c>
      <c r="D3395" s="8">
        <v>0.38</v>
      </c>
    </row>
    <row r="3396" spans="1:4" x14ac:dyDescent="0.35">
      <c r="A3396" t="str">
        <f t="shared" si="53"/>
        <v>45Win Rate</v>
      </c>
      <c r="B3396">
        <v>45</v>
      </c>
      <c r="C3396" s="9" t="s">
        <v>34</v>
      </c>
      <c r="D3396" s="8">
        <v>0.62</v>
      </c>
    </row>
    <row r="3397" spans="1:4" x14ac:dyDescent="0.35">
      <c r="A3397" t="str">
        <f t="shared" si="53"/>
        <v>45Profit-Loss Ratio</v>
      </c>
      <c r="B3397">
        <v>45</v>
      </c>
      <c r="C3397" s="9" t="s">
        <v>26</v>
      </c>
      <c r="D3397" s="8">
        <v>1.48</v>
      </c>
    </row>
    <row r="3398" spans="1:4" x14ac:dyDescent="0.35">
      <c r="A3398" t="str">
        <f t="shared" si="53"/>
        <v>45Alpha</v>
      </c>
      <c r="B3398">
        <v>45</v>
      </c>
      <c r="C3398" s="9" t="s">
        <v>23</v>
      </c>
      <c r="D3398" s="8">
        <v>0.627</v>
      </c>
    </row>
    <row r="3399" spans="1:4" x14ac:dyDescent="0.35">
      <c r="A3399" t="str">
        <f t="shared" si="53"/>
        <v>45Beta</v>
      </c>
      <c r="B3399">
        <v>45</v>
      </c>
      <c r="C3399" s="9" t="s">
        <v>24</v>
      </c>
      <c r="D3399" s="8">
        <v>3.202</v>
      </c>
    </row>
    <row r="3400" spans="1:4" x14ac:dyDescent="0.35">
      <c r="A3400" t="str">
        <f t="shared" si="53"/>
        <v>45Annual Standard Deviation</v>
      </c>
      <c r="B3400">
        <v>45</v>
      </c>
      <c r="C3400" s="9" t="s">
        <v>35</v>
      </c>
      <c r="D3400" s="8">
        <v>0.48099999999999998</v>
      </c>
    </row>
    <row r="3401" spans="1:4" x14ac:dyDescent="0.35">
      <c r="A3401" t="str">
        <f t="shared" si="53"/>
        <v>45Annual Variance</v>
      </c>
      <c r="B3401">
        <v>45</v>
      </c>
      <c r="C3401" s="9" t="s">
        <v>36</v>
      </c>
      <c r="D3401" s="8">
        <v>0.23200000000000001</v>
      </c>
    </row>
    <row r="3402" spans="1:4" x14ac:dyDescent="0.35">
      <c r="A3402" t="str">
        <f t="shared" si="53"/>
        <v>45Information Ratio</v>
      </c>
      <c r="B3402">
        <v>45</v>
      </c>
      <c r="C3402" s="9" t="s">
        <v>37</v>
      </c>
      <c r="D3402" s="8">
        <v>1.6819999999999999</v>
      </c>
    </row>
    <row r="3403" spans="1:4" x14ac:dyDescent="0.35">
      <c r="A3403" t="str">
        <f t="shared" si="53"/>
        <v>45Tracking Error</v>
      </c>
      <c r="B3403">
        <v>45</v>
      </c>
      <c r="C3403" s="9" t="s">
        <v>38</v>
      </c>
      <c r="D3403" s="8">
        <v>0.45600000000000002</v>
      </c>
    </row>
    <row r="3404" spans="1:4" x14ac:dyDescent="0.35">
      <c r="A3404" t="str">
        <f t="shared" si="53"/>
        <v>45Treynor Ratio</v>
      </c>
      <c r="B3404">
        <v>45</v>
      </c>
      <c r="C3404" s="9" t="s">
        <v>39</v>
      </c>
      <c r="D3404" s="8">
        <v>0.25900000000000001</v>
      </c>
    </row>
    <row r="3405" spans="1:4" x14ac:dyDescent="0.35">
      <c r="A3405" t="str">
        <f t="shared" si="53"/>
        <v>45Total Fees</v>
      </c>
      <c r="B3405">
        <v>45</v>
      </c>
      <c r="C3405" s="9" t="s">
        <v>40</v>
      </c>
      <c r="D3405" s="8">
        <v>0</v>
      </c>
    </row>
    <row r="3406" spans="1:4" x14ac:dyDescent="0.35">
      <c r="A3406" t="str">
        <f t="shared" si="53"/>
        <v>45Estimated Strategy Capacity</v>
      </c>
      <c r="B3406">
        <v>45</v>
      </c>
      <c r="C3406" s="9" t="s">
        <v>41</v>
      </c>
      <c r="D3406" s="8">
        <v>71000000</v>
      </c>
    </row>
    <row r="3407" spans="1:4" x14ac:dyDescent="0.35">
      <c r="A3407" t="str">
        <f t="shared" si="53"/>
        <v>44PSR</v>
      </c>
      <c r="B3407">
        <v>44</v>
      </c>
      <c r="C3407" s="9" t="s">
        <v>27</v>
      </c>
      <c r="D3407" s="8">
        <v>0.56145999999999996</v>
      </c>
    </row>
    <row r="3408" spans="1:4" x14ac:dyDescent="0.35">
      <c r="A3408" t="str">
        <f t="shared" si="53"/>
        <v>44Sharpe Ratio</v>
      </c>
      <c r="B3408">
        <v>44</v>
      </c>
      <c r="C3408" s="9" t="s">
        <v>1</v>
      </c>
      <c r="D3408" s="8">
        <v>1.2270000000000001</v>
      </c>
    </row>
    <row r="3409" spans="1:4" x14ac:dyDescent="0.35">
      <c r="A3409" t="str">
        <f t="shared" si="53"/>
        <v>44Total Trades</v>
      </c>
      <c r="B3409">
        <v>44</v>
      </c>
      <c r="C3409" s="9" t="s">
        <v>28</v>
      </c>
      <c r="D3409" s="8">
        <v>397</v>
      </c>
    </row>
    <row r="3410" spans="1:4" x14ac:dyDescent="0.35">
      <c r="A3410" t="str">
        <f t="shared" si="53"/>
        <v>44Average Win</v>
      </c>
      <c r="B3410">
        <v>44</v>
      </c>
      <c r="C3410" s="9" t="s">
        <v>25</v>
      </c>
      <c r="D3410" s="8">
        <v>2.8400000000000002E-2</v>
      </c>
    </row>
    <row r="3411" spans="1:4" x14ac:dyDescent="0.35">
      <c r="A3411" t="str">
        <f t="shared" si="53"/>
        <v>44Average Loss</v>
      </c>
      <c r="B3411">
        <v>44</v>
      </c>
      <c r="C3411" s="9" t="s">
        <v>29</v>
      </c>
      <c r="D3411" s="8">
        <v>-2.1700000000000001E-2</v>
      </c>
    </row>
    <row r="3412" spans="1:4" x14ac:dyDescent="0.35">
      <c r="A3412" t="str">
        <f t="shared" si="53"/>
        <v>44Compounding Annual Return</v>
      </c>
      <c r="B3412">
        <v>44</v>
      </c>
      <c r="C3412" s="9" t="s">
        <v>30</v>
      </c>
      <c r="D3412" s="8">
        <v>0.18567</v>
      </c>
    </row>
    <row r="3413" spans="1:4" x14ac:dyDescent="0.35">
      <c r="A3413" t="str">
        <f t="shared" si="53"/>
        <v>44Drawdown</v>
      </c>
      <c r="B3413">
        <v>44</v>
      </c>
      <c r="C3413" s="9" t="s">
        <v>8</v>
      </c>
      <c r="D3413" s="8">
        <v>6.9000000000000006E-2</v>
      </c>
    </row>
    <row r="3414" spans="1:4" x14ac:dyDescent="0.35">
      <c r="A3414" t="str">
        <f t="shared" si="53"/>
        <v>44Expectancy</v>
      </c>
      <c r="B3414">
        <v>44</v>
      </c>
      <c r="C3414" s="9" t="s">
        <v>31</v>
      </c>
      <c r="D3414" s="8">
        <v>0.42299999999999999</v>
      </c>
    </row>
    <row r="3415" spans="1:4" x14ac:dyDescent="0.35">
      <c r="A3415" t="str">
        <f t="shared" si="53"/>
        <v>44Net Profit</v>
      </c>
      <c r="B3415">
        <v>44</v>
      </c>
      <c r="C3415" s="9" t="s">
        <v>32</v>
      </c>
      <c r="D3415" s="8">
        <v>0.11638999999999999</v>
      </c>
    </row>
    <row r="3416" spans="1:4" x14ac:dyDescent="0.35">
      <c r="A3416" t="str">
        <f t="shared" si="53"/>
        <v>44Loss Rate</v>
      </c>
      <c r="B3416">
        <v>44</v>
      </c>
      <c r="C3416" s="9" t="s">
        <v>33</v>
      </c>
      <c r="D3416" s="8">
        <v>0.38</v>
      </c>
    </row>
    <row r="3417" spans="1:4" x14ac:dyDescent="0.35">
      <c r="A3417" t="str">
        <f t="shared" si="53"/>
        <v>44Win Rate</v>
      </c>
      <c r="B3417">
        <v>44</v>
      </c>
      <c r="C3417" s="9" t="s">
        <v>34</v>
      </c>
      <c r="D3417" s="8">
        <v>0.62</v>
      </c>
    </row>
    <row r="3418" spans="1:4" x14ac:dyDescent="0.35">
      <c r="A3418" t="str">
        <f t="shared" si="53"/>
        <v>44Profit-Loss Ratio</v>
      </c>
      <c r="B3418">
        <v>44</v>
      </c>
      <c r="C3418" s="9" t="s">
        <v>26</v>
      </c>
      <c r="D3418" s="8">
        <v>1.31</v>
      </c>
    </row>
    <row r="3419" spans="1:4" x14ac:dyDescent="0.35">
      <c r="A3419" t="str">
        <f t="shared" si="53"/>
        <v>44Alpha</v>
      </c>
      <c r="B3419">
        <v>44</v>
      </c>
      <c r="C3419" s="9" t="s">
        <v>23</v>
      </c>
      <c r="D3419" s="8">
        <v>8.6999999999999994E-2</v>
      </c>
    </row>
    <row r="3420" spans="1:4" x14ac:dyDescent="0.35">
      <c r="A3420" t="str">
        <f t="shared" si="53"/>
        <v>44Beta</v>
      </c>
      <c r="B3420">
        <v>44</v>
      </c>
      <c r="C3420" s="9" t="s">
        <v>24</v>
      </c>
      <c r="D3420" s="8">
        <v>0.69499999999999995</v>
      </c>
    </row>
    <row r="3421" spans="1:4" x14ac:dyDescent="0.35">
      <c r="A3421" t="str">
        <f t="shared" si="53"/>
        <v>44Annual Standard Deviation</v>
      </c>
      <c r="B3421">
        <v>44</v>
      </c>
      <c r="C3421" s="9" t="s">
        <v>35</v>
      </c>
      <c r="D3421" s="8">
        <v>0.107</v>
      </c>
    </row>
    <row r="3422" spans="1:4" x14ac:dyDescent="0.35">
      <c r="A3422" t="str">
        <f t="shared" si="53"/>
        <v>44Annual Variance</v>
      </c>
      <c r="B3422">
        <v>44</v>
      </c>
      <c r="C3422" s="9" t="s">
        <v>36</v>
      </c>
      <c r="D3422" s="8">
        <v>1.2E-2</v>
      </c>
    </row>
    <row r="3423" spans="1:4" x14ac:dyDescent="0.35">
      <c r="A3423" t="str">
        <f t="shared" si="53"/>
        <v>44Information Ratio</v>
      </c>
      <c r="B3423">
        <v>44</v>
      </c>
      <c r="C3423" s="9" t="s">
        <v>37</v>
      </c>
      <c r="D3423" s="8">
        <v>0.68799999999999994</v>
      </c>
    </row>
    <row r="3424" spans="1:4" x14ac:dyDescent="0.35">
      <c r="A3424" t="str">
        <f t="shared" si="53"/>
        <v>44Tracking Error</v>
      </c>
      <c r="B3424">
        <v>44</v>
      </c>
      <c r="C3424" s="9" t="s">
        <v>38</v>
      </c>
      <c r="D3424" s="8">
        <v>9.9000000000000005E-2</v>
      </c>
    </row>
    <row r="3425" spans="1:4" x14ac:dyDescent="0.35">
      <c r="A3425" t="str">
        <f t="shared" si="53"/>
        <v>44Treynor Ratio</v>
      </c>
      <c r="B3425">
        <v>44</v>
      </c>
      <c r="C3425" s="9" t="s">
        <v>39</v>
      </c>
      <c r="D3425" s="8">
        <v>0.189</v>
      </c>
    </row>
    <row r="3426" spans="1:4" x14ac:dyDescent="0.35">
      <c r="A3426" t="str">
        <f t="shared" si="53"/>
        <v>44Total Fees</v>
      </c>
      <c r="B3426">
        <v>44</v>
      </c>
      <c r="C3426" s="9" t="s">
        <v>40</v>
      </c>
      <c r="D3426" s="8">
        <v>0</v>
      </c>
    </row>
    <row r="3427" spans="1:4" x14ac:dyDescent="0.35">
      <c r="A3427" t="str">
        <f t="shared" si="53"/>
        <v>44Estimated Strategy Capacity</v>
      </c>
      <c r="B3427">
        <v>44</v>
      </c>
      <c r="C3427" s="9" t="s">
        <v>41</v>
      </c>
      <c r="D3427" s="8">
        <v>250000000</v>
      </c>
    </row>
    <row r="3428" spans="1:4" x14ac:dyDescent="0.35">
      <c r="A3428" t="str">
        <f t="shared" si="53"/>
        <v>43PSR</v>
      </c>
      <c r="B3428">
        <v>43</v>
      </c>
      <c r="C3428" s="9" t="s">
        <v>27</v>
      </c>
      <c r="D3428" s="8">
        <v>0.54886000000000001</v>
      </c>
    </row>
    <row r="3429" spans="1:4" x14ac:dyDescent="0.35">
      <c r="A3429" t="str">
        <f t="shared" si="53"/>
        <v>43Sharpe Ratio</v>
      </c>
      <c r="B3429">
        <v>43</v>
      </c>
      <c r="C3429" s="9" t="s">
        <v>1</v>
      </c>
      <c r="D3429" s="8">
        <v>1.1279999999999999</v>
      </c>
    </row>
    <row r="3430" spans="1:4" x14ac:dyDescent="0.35">
      <c r="A3430" t="str">
        <f t="shared" si="53"/>
        <v>43Total Trades</v>
      </c>
      <c r="B3430">
        <v>43</v>
      </c>
      <c r="C3430" s="9" t="s">
        <v>28</v>
      </c>
      <c r="D3430" s="8">
        <v>397</v>
      </c>
    </row>
    <row r="3431" spans="1:4" x14ac:dyDescent="0.35">
      <c r="A3431" t="str">
        <f t="shared" si="53"/>
        <v>43Average Win</v>
      </c>
      <c r="B3431">
        <v>43</v>
      </c>
      <c r="C3431" s="9" t="s">
        <v>25</v>
      </c>
      <c r="D3431" s="8">
        <v>2.8999999999999998E-3</v>
      </c>
    </row>
    <row r="3432" spans="1:4" x14ac:dyDescent="0.35">
      <c r="A3432" t="str">
        <f t="shared" si="53"/>
        <v>43Average Loss</v>
      </c>
      <c r="B3432">
        <v>43</v>
      </c>
      <c r="C3432" s="9" t="s">
        <v>29</v>
      </c>
      <c r="D3432" s="8">
        <v>-2.3E-3</v>
      </c>
    </row>
    <row r="3433" spans="1:4" x14ac:dyDescent="0.35">
      <c r="A3433" t="str">
        <f t="shared" si="53"/>
        <v>43Compounding Annual Return</v>
      </c>
      <c r="B3433">
        <v>43</v>
      </c>
      <c r="C3433" s="9" t="s">
        <v>30</v>
      </c>
      <c r="D3433" s="8">
        <v>1.806E-2</v>
      </c>
    </row>
    <row r="3434" spans="1:4" x14ac:dyDescent="0.35">
      <c r="A3434" t="str">
        <f t="shared" si="53"/>
        <v>43Drawdown</v>
      </c>
      <c r="B3434">
        <v>43</v>
      </c>
      <c r="C3434" s="9" t="s">
        <v>8</v>
      </c>
      <c r="D3434" s="8">
        <v>7.0000000000000001E-3</v>
      </c>
    </row>
    <row r="3435" spans="1:4" x14ac:dyDescent="0.35">
      <c r="A3435" t="str">
        <f t="shared" si="53"/>
        <v>43Expectancy</v>
      </c>
      <c r="B3435">
        <v>43</v>
      </c>
      <c r="C3435" s="9" t="s">
        <v>31</v>
      </c>
      <c r="D3435" s="8">
        <v>0.39600000000000002</v>
      </c>
    </row>
    <row r="3436" spans="1:4" x14ac:dyDescent="0.35">
      <c r="A3436" t="str">
        <f t="shared" si="53"/>
        <v>43Net Profit</v>
      </c>
      <c r="B3436">
        <v>43</v>
      </c>
      <c r="C3436" s="9" t="s">
        <v>32</v>
      </c>
      <c r="D3436" s="8">
        <v>1.1639999999999999E-2</v>
      </c>
    </row>
    <row r="3437" spans="1:4" x14ac:dyDescent="0.35">
      <c r="A3437" t="str">
        <f t="shared" si="53"/>
        <v>43Loss Rate</v>
      </c>
      <c r="B3437">
        <v>43</v>
      </c>
      <c r="C3437" s="9" t="s">
        <v>33</v>
      </c>
      <c r="D3437" s="8">
        <v>0.38</v>
      </c>
    </row>
    <row r="3438" spans="1:4" x14ac:dyDescent="0.35">
      <c r="A3438" t="str">
        <f t="shared" si="53"/>
        <v>43Win Rate</v>
      </c>
      <c r="B3438">
        <v>43</v>
      </c>
      <c r="C3438" s="9" t="s">
        <v>34</v>
      </c>
      <c r="D3438" s="8">
        <v>0.62</v>
      </c>
    </row>
    <row r="3439" spans="1:4" x14ac:dyDescent="0.35">
      <c r="A3439" t="str">
        <f t="shared" si="53"/>
        <v>43Profit-Loss Ratio</v>
      </c>
      <c r="B3439">
        <v>43</v>
      </c>
      <c r="C3439" s="9" t="s">
        <v>26</v>
      </c>
      <c r="D3439" s="8">
        <v>1.27</v>
      </c>
    </row>
    <row r="3440" spans="1:4" x14ac:dyDescent="0.35">
      <c r="A3440" t="str">
        <f t="shared" si="53"/>
        <v>43Alpha</v>
      </c>
      <c r="B3440">
        <v>43</v>
      </c>
      <c r="C3440" s="9" t="s">
        <v>23</v>
      </c>
      <c r="D3440" s="8">
        <v>8.0000000000000002E-3</v>
      </c>
    </row>
    <row r="3441" spans="1:4" x14ac:dyDescent="0.35">
      <c r="A3441" t="str">
        <f t="shared" si="53"/>
        <v>43Beta</v>
      </c>
      <c r="B3441">
        <v>43</v>
      </c>
      <c r="C3441" s="9" t="s">
        <v>24</v>
      </c>
      <c r="D3441" s="8">
        <v>7.0999999999999994E-2</v>
      </c>
    </row>
    <row r="3442" spans="1:4" x14ac:dyDescent="0.35">
      <c r="A3442" t="str">
        <f t="shared" si="53"/>
        <v>43Annual Standard Deviation</v>
      </c>
      <c r="B3442">
        <v>43</v>
      </c>
      <c r="C3442" s="9" t="s">
        <v>35</v>
      </c>
      <c r="D3442" s="8">
        <v>1.0999999999999999E-2</v>
      </c>
    </row>
    <row r="3443" spans="1:4" x14ac:dyDescent="0.35">
      <c r="A3443" t="str">
        <f t="shared" si="53"/>
        <v>43Annual Variance</v>
      </c>
      <c r="B3443">
        <v>43</v>
      </c>
      <c r="C3443" s="9" t="s">
        <v>36</v>
      </c>
      <c r="D3443" s="8">
        <v>0</v>
      </c>
    </row>
    <row r="3444" spans="1:4" x14ac:dyDescent="0.35">
      <c r="A3444" t="str">
        <f t="shared" si="53"/>
        <v>43Information Ratio</v>
      </c>
      <c r="B3444">
        <v>43</v>
      </c>
      <c r="C3444" s="9" t="s">
        <v>37</v>
      </c>
      <c r="D3444" s="8">
        <v>-0.81499999999999995</v>
      </c>
    </row>
    <row r="3445" spans="1:4" x14ac:dyDescent="0.35">
      <c r="A3445" t="str">
        <f t="shared" si="53"/>
        <v>43Tracking Error</v>
      </c>
      <c r="B3445">
        <v>43</v>
      </c>
      <c r="C3445" s="9" t="s">
        <v>38</v>
      </c>
      <c r="D3445" s="8">
        <v>6.3E-2</v>
      </c>
    </row>
    <row r="3446" spans="1:4" x14ac:dyDescent="0.35">
      <c r="A3446" t="str">
        <f t="shared" si="53"/>
        <v>43Treynor Ratio</v>
      </c>
      <c r="B3446">
        <v>43</v>
      </c>
      <c r="C3446" s="9" t="s">
        <v>39</v>
      </c>
      <c r="D3446" s="8">
        <v>0.17599999999999999</v>
      </c>
    </row>
    <row r="3447" spans="1:4" x14ac:dyDescent="0.35">
      <c r="A3447" t="str">
        <f t="shared" si="53"/>
        <v>43Total Fees</v>
      </c>
      <c r="B3447">
        <v>43</v>
      </c>
      <c r="C3447" s="9" t="s">
        <v>40</v>
      </c>
      <c r="D3447" s="8">
        <v>0</v>
      </c>
    </row>
    <row r="3448" spans="1:4" x14ac:dyDescent="0.35">
      <c r="A3448" t="str">
        <f t="shared" si="53"/>
        <v>43Estimated Strategy Capacity</v>
      </c>
      <c r="B3448">
        <v>43</v>
      </c>
      <c r="C3448" s="9" t="s">
        <v>41</v>
      </c>
      <c r="D3448" s="8">
        <v>2200000000</v>
      </c>
    </row>
    <row r="3449" spans="1:4" x14ac:dyDescent="0.35">
      <c r="A3449" t="str">
        <f t="shared" si="53"/>
        <v>42PSR</v>
      </c>
      <c r="B3449">
        <v>42</v>
      </c>
      <c r="C3449" s="9" t="s">
        <v>27</v>
      </c>
      <c r="D3449" s="8">
        <v>0.77578000000000003</v>
      </c>
    </row>
    <row r="3450" spans="1:4" x14ac:dyDescent="0.35">
      <c r="A3450" t="str">
        <f t="shared" si="53"/>
        <v>42Sharpe Ratio</v>
      </c>
      <c r="B3450">
        <v>42</v>
      </c>
      <c r="C3450" s="9" t="s">
        <v>1</v>
      </c>
      <c r="D3450" s="8">
        <v>2.246</v>
      </c>
    </row>
    <row r="3451" spans="1:4" x14ac:dyDescent="0.35">
      <c r="A3451" t="str">
        <f t="shared" si="53"/>
        <v>42Total Trades</v>
      </c>
      <c r="B3451">
        <v>42</v>
      </c>
      <c r="C3451" s="9" t="s">
        <v>28</v>
      </c>
      <c r="D3451" s="8">
        <v>590</v>
      </c>
    </row>
    <row r="3452" spans="1:4" x14ac:dyDescent="0.35">
      <c r="A3452" t="str">
        <f t="shared" si="53"/>
        <v>42Average Win</v>
      </c>
      <c r="B3452">
        <v>42</v>
      </c>
      <c r="C3452" s="9" t="s">
        <v>25</v>
      </c>
      <c r="D3452" s="8">
        <v>7.6399999999999996E-2</v>
      </c>
    </row>
    <row r="3453" spans="1:4" x14ac:dyDescent="0.35">
      <c r="A3453" t="str">
        <f t="shared" si="53"/>
        <v>42Average Loss</v>
      </c>
      <c r="B3453">
        <v>42</v>
      </c>
      <c r="C3453" s="9" t="s">
        <v>29</v>
      </c>
      <c r="D3453" s="8">
        <v>-3.6499999999999998E-2</v>
      </c>
    </row>
    <row r="3454" spans="1:4" x14ac:dyDescent="0.35">
      <c r="A3454" t="str">
        <f t="shared" si="53"/>
        <v>42Compounding Annual Return</v>
      </c>
      <c r="B3454">
        <v>42</v>
      </c>
      <c r="C3454" s="9" t="s">
        <v>30</v>
      </c>
      <c r="D3454" s="8">
        <v>1.1390100000000001</v>
      </c>
    </row>
    <row r="3455" spans="1:4" x14ac:dyDescent="0.35">
      <c r="A3455" t="str">
        <f t="shared" si="53"/>
        <v>42Drawdown</v>
      </c>
      <c r="B3455">
        <v>42</v>
      </c>
      <c r="C3455" s="9" t="s">
        <v>8</v>
      </c>
      <c r="D3455" s="8">
        <v>0.224</v>
      </c>
    </row>
    <row r="3456" spans="1:4" x14ac:dyDescent="0.35">
      <c r="A3456" t="str">
        <f t="shared" si="53"/>
        <v>42Expectancy</v>
      </c>
      <c r="B3456">
        <v>42</v>
      </c>
      <c r="C3456" s="9" t="s">
        <v>31</v>
      </c>
      <c r="D3456" s="8">
        <v>0.79</v>
      </c>
    </row>
    <row r="3457" spans="1:4" x14ac:dyDescent="0.35">
      <c r="A3457" t="str">
        <f t="shared" si="53"/>
        <v>42Net Profit</v>
      </c>
      <c r="B3457">
        <v>42</v>
      </c>
      <c r="C3457" s="9" t="s">
        <v>32</v>
      </c>
      <c r="D3457" s="8">
        <v>0.63482000000000005</v>
      </c>
    </row>
    <row r="3458" spans="1:4" x14ac:dyDescent="0.35">
      <c r="A3458" t="str">
        <f t="shared" si="53"/>
        <v>42Loss Rate</v>
      </c>
      <c r="B3458">
        <v>42</v>
      </c>
      <c r="C3458" s="9" t="s">
        <v>33</v>
      </c>
      <c r="D3458" s="8">
        <v>0.42</v>
      </c>
    </row>
    <row r="3459" spans="1:4" x14ac:dyDescent="0.35">
      <c r="A3459" t="str">
        <f t="shared" ref="A3459:A3522" si="54">B3459&amp;C3459</f>
        <v>42Win Rate</v>
      </c>
      <c r="B3459">
        <v>42</v>
      </c>
      <c r="C3459" s="9" t="s">
        <v>34</v>
      </c>
      <c r="D3459" s="8">
        <v>0.57999999999999996</v>
      </c>
    </row>
    <row r="3460" spans="1:4" x14ac:dyDescent="0.35">
      <c r="A3460" t="str">
        <f t="shared" si="54"/>
        <v>42Profit-Loss Ratio</v>
      </c>
      <c r="B3460">
        <v>42</v>
      </c>
      <c r="C3460" s="9" t="s">
        <v>26</v>
      </c>
      <c r="D3460" s="8">
        <v>2.09</v>
      </c>
    </row>
    <row r="3461" spans="1:4" x14ac:dyDescent="0.35">
      <c r="A3461" t="str">
        <f t="shared" si="54"/>
        <v>42Alpha</v>
      </c>
      <c r="B3461">
        <v>42</v>
      </c>
      <c r="C3461" s="9" t="s">
        <v>23</v>
      </c>
      <c r="D3461" s="8">
        <v>0.68400000000000005</v>
      </c>
    </row>
    <row r="3462" spans="1:4" x14ac:dyDescent="0.35">
      <c r="A3462" t="str">
        <f t="shared" si="54"/>
        <v>42Beta</v>
      </c>
      <c r="B3462">
        <v>42</v>
      </c>
      <c r="C3462" s="9" t="s">
        <v>24</v>
      </c>
      <c r="D3462" s="8">
        <v>1.798</v>
      </c>
    </row>
    <row r="3463" spans="1:4" x14ac:dyDescent="0.35">
      <c r="A3463" t="str">
        <f t="shared" si="54"/>
        <v>42Annual Standard Deviation</v>
      </c>
      <c r="B3463">
        <v>42</v>
      </c>
      <c r="C3463" s="9" t="s">
        <v>35</v>
      </c>
      <c r="D3463" s="8">
        <v>0.35499999999999998</v>
      </c>
    </row>
    <row r="3464" spans="1:4" x14ac:dyDescent="0.35">
      <c r="A3464" t="str">
        <f t="shared" si="54"/>
        <v>42Annual Variance</v>
      </c>
      <c r="B3464">
        <v>42</v>
      </c>
      <c r="C3464" s="9" t="s">
        <v>36</v>
      </c>
      <c r="D3464" s="8">
        <v>0.126</v>
      </c>
    </row>
    <row r="3465" spans="1:4" x14ac:dyDescent="0.35">
      <c r="A3465" t="str">
        <f t="shared" si="54"/>
        <v>42Information Ratio</v>
      </c>
      <c r="B3465">
        <v>42</v>
      </c>
      <c r="C3465" s="9" t="s">
        <v>37</v>
      </c>
      <c r="D3465" s="8">
        <v>2.169</v>
      </c>
    </row>
    <row r="3466" spans="1:4" x14ac:dyDescent="0.35">
      <c r="A3466" t="str">
        <f t="shared" si="54"/>
        <v>42Tracking Error</v>
      </c>
      <c r="B3466">
        <v>42</v>
      </c>
      <c r="C3466" s="9" t="s">
        <v>38</v>
      </c>
      <c r="D3466" s="8">
        <v>0.33900000000000002</v>
      </c>
    </row>
    <row r="3467" spans="1:4" x14ac:dyDescent="0.35">
      <c r="A3467" t="str">
        <f t="shared" si="54"/>
        <v>42Treynor Ratio</v>
      </c>
      <c r="B3467">
        <v>42</v>
      </c>
      <c r="C3467" s="9" t="s">
        <v>39</v>
      </c>
      <c r="D3467" s="8">
        <v>0.44400000000000001</v>
      </c>
    </row>
    <row r="3468" spans="1:4" x14ac:dyDescent="0.35">
      <c r="A3468" t="str">
        <f t="shared" si="54"/>
        <v>42Total Fees</v>
      </c>
      <c r="B3468">
        <v>42</v>
      </c>
      <c r="C3468" s="9" t="s">
        <v>40</v>
      </c>
      <c r="D3468" s="8">
        <v>0</v>
      </c>
    </row>
    <row r="3469" spans="1:4" x14ac:dyDescent="0.35">
      <c r="A3469" t="str">
        <f t="shared" si="54"/>
        <v>42Estimated Strategy Capacity</v>
      </c>
      <c r="B3469">
        <v>42</v>
      </c>
      <c r="C3469" s="9" t="s">
        <v>41</v>
      </c>
      <c r="D3469" s="8">
        <v>12000000</v>
      </c>
    </row>
    <row r="3470" spans="1:4" x14ac:dyDescent="0.35">
      <c r="A3470" t="str">
        <f t="shared" si="54"/>
        <v>41PSR</v>
      </c>
      <c r="B3470">
        <v>41</v>
      </c>
      <c r="C3470" s="9" t="s">
        <v>27</v>
      </c>
      <c r="D3470" s="8">
        <v>0.69308999999999998</v>
      </c>
    </row>
    <row r="3471" spans="1:4" x14ac:dyDescent="0.35">
      <c r="A3471" t="str">
        <f t="shared" si="54"/>
        <v>41Sharpe Ratio</v>
      </c>
      <c r="B3471">
        <v>41</v>
      </c>
      <c r="C3471" s="9" t="s">
        <v>1</v>
      </c>
      <c r="D3471" s="8">
        <v>1.5669999999999999</v>
      </c>
    </row>
    <row r="3472" spans="1:4" x14ac:dyDescent="0.35">
      <c r="A3472" t="str">
        <f t="shared" si="54"/>
        <v>41Total Trades</v>
      </c>
      <c r="B3472">
        <v>41</v>
      </c>
      <c r="C3472" s="9" t="s">
        <v>28</v>
      </c>
      <c r="D3472" s="8">
        <v>590</v>
      </c>
    </row>
    <row r="3473" spans="1:4" x14ac:dyDescent="0.35">
      <c r="A3473" t="str">
        <f t="shared" si="54"/>
        <v>41Average Win</v>
      </c>
      <c r="B3473">
        <v>41</v>
      </c>
      <c r="C3473" s="9" t="s">
        <v>25</v>
      </c>
      <c r="D3473" s="8">
        <v>1.9E-2</v>
      </c>
    </row>
    <row r="3474" spans="1:4" x14ac:dyDescent="0.35">
      <c r="A3474" t="str">
        <f t="shared" si="54"/>
        <v>41Average Loss</v>
      </c>
      <c r="B3474">
        <v>41</v>
      </c>
      <c r="C3474" s="9" t="s">
        <v>29</v>
      </c>
      <c r="D3474" s="8">
        <v>-1.06E-2</v>
      </c>
    </row>
    <row r="3475" spans="1:4" x14ac:dyDescent="0.35">
      <c r="A3475" t="str">
        <f t="shared" si="54"/>
        <v>41Compounding Annual Return</v>
      </c>
      <c r="B3475">
        <v>41</v>
      </c>
      <c r="C3475" s="9" t="s">
        <v>30</v>
      </c>
      <c r="D3475" s="8">
        <v>0.20308999999999999</v>
      </c>
    </row>
    <row r="3476" spans="1:4" x14ac:dyDescent="0.35">
      <c r="A3476" t="str">
        <f t="shared" si="54"/>
        <v>41Drawdown</v>
      </c>
      <c r="B3476">
        <v>41</v>
      </c>
      <c r="C3476" s="9" t="s">
        <v>8</v>
      </c>
      <c r="D3476" s="8">
        <v>6.8000000000000005E-2</v>
      </c>
    </row>
    <row r="3477" spans="1:4" x14ac:dyDescent="0.35">
      <c r="A3477" t="str">
        <f t="shared" si="54"/>
        <v>41Expectancy</v>
      </c>
      <c r="B3477">
        <v>41</v>
      </c>
      <c r="C3477" s="9" t="s">
        <v>31</v>
      </c>
      <c r="D3477" s="8">
        <v>0.61099999999999999</v>
      </c>
    </row>
    <row r="3478" spans="1:4" x14ac:dyDescent="0.35">
      <c r="A3478" t="str">
        <f t="shared" si="54"/>
        <v>41Net Profit</v>
      </c>
      <c r="B3478">
        <v>41</v>
      </c>
      <c r="C3478" s="9" t="s">
        <v>32</v>
      </c>
      <c r="D3478" s="8">
        <v>0.12695999999999999</v>
      </c>
    </row>
    <row r="3479" spans="1:4" x14ac:dyDescent="0.35">
      <c r="A3479" t="str">
        <f t="shared" si="54"/>
        <v>41Loss Rate</v>
      </c>
      <c r="B3479">
        <v>41</v>
      </c>
      <c r="C3479" s="9" t="s">
        <v>33</v>
      </c>
      <c r="D3479" s="8">
        <v>0.42</v>
      </c>
    </row>
    <row r="3480" spans="1:4" x14ac:dyDescent="0.35">
      <c r="A3480" t="str">
        <f t="shared" si="54"/>
        <v>41Win Rate</v>
      </c>
      <c r="B3480">
        <v>41</v>
      </c>
      <c r="C3480" s="9" t="s">
        <v>34</v>
      </c>
      <c r="D3480" s="8">
        <v>0.57999999999999996</v>
      </c>
    </row>
    <row r="3481" spans="1:4" x14ac:dyDescent="0.35">
      <c r="A3481" t="str">
        <f t="shared" si="54"/>
        <v>41Profit-Loss Ratio</v>
      </c>
      <c r="B3481">
        <v>41</v>
      </c>
      <c r="C3481" s="9" t="s">
        <v>26</v>
      </c>
      <c r="D3481" s="8">
        <v>1.78</v>
      </c>
    </row>
    <row r="3482" spans="1:4" x14ac:dyDescent="0.35">
      <c r="A3482" t="str">
        <f t="shared" si="54"/>
        <v>41Alpha</v>
      </c>
      <c r="B3482">
        <v>41</v>
      </c>
      <c r="C3482" s="9" t="s">
        <v>23</v>
      </c>
      <c r="D3482" s="8">
        <v>0.111</v>
      </c>
    </row>
    <row r="3483" spans="1:4" x14ac:dyDescent="0.35">
      <c r="A3483" t="str">
        <f t="shared" si="54"/>
        <v>41Beta</v>
      </c>
      <c r="B3483">
        <v>41</v>
      </c>
      <c r="C3483" s="9" t="s">
        <v>24</v>
      </c>
      <c r="D3483" s="8">
        <v>0.47899999999999998</v>
      </c>
    </row>
    <row r="3484" spans="1:4" x14ac:dyDescent="0.35">
      <c r="A3484" t="str">
        <f t="shared" si="54"/>
        <v>41Annual Standard Deviation</v>
      </c>
      <c r="B3484">
        <v>41</v>
      </c>
      <c r="C3484" s="9" t="s">
        <v>35</v>
      </c>
      <c r="D3484" s="8">
        <v>0.09</v>
      </c>
    </row>
    <row r="3485" spans="1:4" x14ac:dyDescent="0.35">
      <c r="A3485" t="str">
        <f t="shared" si="54"/>
        <v>41Annual Variance</v>
      </c>
      <c r="B3485">
        <v>41</v>
      </c>
      <c r="C3485" s="9" t="s">
        <v>36</v>
      </c>
      <c r="D3485" s="8">
        <v>8.0000000000000002E-3</v>
      </c>
    </row>
    <row r="3486" spans="1:4" x14ac:dyDescent="0.35">
      <c r="A3486" t="str">
        <f t="shared" si="54"/>
        <v>41Information Ratio</v>
      </c>
      <c r="B3486">
        <v>41</v>
      </c>
      <c r="C3486" s="9" t="s">
        <v>37</v>
      </c>
      <c r="D3486" s="8">
        <v>0.85099999999999998</v>
      </c>
    </row>
    <row r="3487" spans="1:4" x14ac:dyDescent="0.35">
      <c r="A3487" t="str">
        <f t="shared" si="54"/>
        <v>41Tracking Error</v>
      </c>
      <c r="B3487">
        <v>41</v>
      </c>
      <c r="C3487" s="9" t="s">
        <v>38</v>
      </c>
      <c r="D3487" s="8">
        <v>9.0999999999999998E-2</v>
      </c>
    </row>
    <row r="3488" spans="1:4" x14ac:dyDescent="0.35">
      <c r="A3488" t="str">
        <f t="shared" si="54"/>
        <v>41Treynor Ratio</v>
      </c>
      <c r="B3488">
        <v>41</v>
      </c>
      <c r="C3488" s="9" t="s">
        <v>39</v>
      </c>
      <c r="D3488" s="8">
        <v>0.29499999999999998</v>
      </c>
    </row>
    <row r="3489" spans="1:4" x14ac:dyDescent="0.35">
      <c r="A3489" t="str">
        <f t="shared" si="54"/>
        <v>41Total Fees</v>
      </c>
      <c r="B3489">
        <v>41</v>
      </c>
      <c r="C3489" s="9" t="s">
        <v>40</v>
      </c>
      <c r="D3489" s="8">
        <v>0</v>
      </c>
    </row>
    <row r="3490" spans="1:4" x14ac:dyDescent="0.35">
      <c r="A3490" t="str">
        <f t="shared" si="54"/>
        <v>41Estimated Strategy Capacity</v>
      </c>
      <c r="B3490">
        <v>41</v>
      </c>
      <c r="C3490" s="9" t="s">
        <v>41</v>
      </c>
      <c r="D3490" s="8">
        <v>39000000</v>
      </c>
    </row>
    <row r="3491" spans="1:4" x14ac:dyDescent="0.35">
      <c r="A3491" t="str">
        <f t="shared" si="54"/>
        <v>39PSR</v>
      </c>
      <c r="B3491">
        <v>39</v>
      </c>
      <c r="C3491" s="9" t="s">
        <v>27</v>
      </c>
      <c r="D3491" s="8">
        <v>3.5349999999999999E-2</v>
      </c>
    </row>
    <row r="3492" spans="1:4" x14ac:dyDescent="0.35">
      <c r="A3492" t="str">
        <f t="shared" si="54"/>
        <v>39Sharpe Ratio</v>
      </c>
      <c r="B3492">
        <v>39</v>
      </c>
      <c r="C3492" s="9" t="s">
        <v>1</v>
      </c>
      <c r="D3492" s="8">
        <v>-0.45200000000000001</v>
      </c>
    </row>
    <row r="3493" spans="1:4" x14ac:dyDescent="0.35">
      <c r="A3493" t="str">
        <f t="shared" si="54"/>
        <v>39Total Trades</v>
      </c>
      <c r="B3493">
        <v>39</v>
      </c>
      <c r="C3493" s="9" t="s">
        <v>28</v>
      </c>
      <c r="D3493" s="8">
        <v>922</v>
      </c>
    </row>
    <row r="3494" spans="1:4" x14ac:dyDescent="0.35">
      <c r="A3494" t="str">
        <f t="shared" si="54"/>
        <v>39Average Win</v>
      </c>
      <c r="B3494">
        <v>39</v>
      </c>
      <c r="C3494" s="9" t="s">
        <v>25</v>
      </c>
      <c r="D3494" s="8">
        <v>0.1065</v>
      </c>
    </row>
    <row r="3495" spans="1:4" x14ac:dyDescent="0.35">
      <c r="A3495" t="str">
        <f t="shared" si="54"/>
        <v>39Average Loss</v>
      </c>
      <c r="B3495">
        <v>39</v>
      </c>
      <c r="C3495" s="9" t="s">
        <v>29</v>
      </c>
      <c r="D3495" s="8">
        <v>-8.4699999999999998E-2</v>
      </c>
    </row>
    <row r="3496" spans="1:4" x14ac:dyDescent="0.35">
      <c r="A3496" t="str">
        <f t="shared" si="54"/>
        <v>39Compounding Annual Return</v>
      </c>
      <c r="B3496">
        <v>39</v>
      </c>
      <c r="C3496" s="9" t="s">
        <v>30</v>
      </c>
      <c r="D3496" s="8">
        <v>-0.99119999999999997</v>
      </c>
    </row>
    <row r="3497" spans="1:4" x14ac:dyDescent="0.35">
      <c r="A3497" t="str">
        <f t="shared" si="54"/>
        <v>39Drawdown</v>
      </c>
      <c r="B3497">
        <v>39</v>
      </c>
      <c r="C3497" s="9" t="s">
        <v>8</v>
      </c>
      <c r="D3497" s="8">
        <v>0.96399999999999997</v>
      </c>
    </row>
    <row r="3498" spans="1:4" x14ac:dyDescent="0.35">
      <c r="A3498" t="str">
        <f t="shared" si="54"/>
        <v>39Expectancy</v>
      </c>
      <c r="B3498">
        <v>39</v>
      </c>
      <c r="C3498" s="9" t="s">
        <v>31</v>
      </c>
      <c r="D3498" s="8">
        <v>-0.503</v>
      </c>
    </row>
    <row r="3499" spans="1:4" x14ac:dyDescent="0.35">
      <c r="A3499" t="str">
        <f t="shared" si="54"/>
        <v>39Net Profit</v>
      </c>
      <c r="B3499">
        <v>39</v>
      </c>
      <c r="C3499" s="9" t="s">
        <v>32</v>
      </c>
      <c r="D3499" s="8">
        <v>-0.95309999999999995</v>
      </c>
    </row>
    <row r="3500" spans="1:4" x14ac:dyDescent="0.35">
      <c r="A3500" t="str">
        <f t="shared" si="54"/>
        <v>39Loss Rate</v>
      </c>
      <c r="B3500">
        <v>39</v>
      </c>
      <c r="C3500" s="9" t="s">
        <v>33</v>
      </c>
      <c r="D3500" s="8">
        <v>0.78</v>
      </c>
    </row>
    <row r="3501" spans="1:4" x14ac:dyDescent="0.35">
      <c r="A3501" t="str">
        <f t="shared" si="54"/>
        <v>39Win Rate</v>
      </c>
      <c r="B3501">
        <v>39</v>
      </c>
      <c r="C3501" s="9" t="s">
        <v>34</v>
      </c>
      <c r="D3501" s="8">
        <v>0.22</v>
      </c>
    </row>
    <row r="3502" spans="1:4" x14ac:dyDescent="0.35">
      <c r="A3502" t="str">
        <f t="shared" si="54"/>
        <v>39Profit-Loss Ratio</v>
      </c>
      <c r="B3502">
        <v>39</v>
      </c>
      <c r="C3502" s="9" t="s">
        <v>26</v>
      </c>
      <c r="D3502" s="8">
        <v>1.26</v>
      </c>
    </row>
    <row r="3503" spans="1:4" x14ac:dyDescent="0.35">
      <c r="A3503" t="str">
        <f t="shared" si="54"/>
        <v>39Alpha</v>
      </c>
      <c r="B3503">
        <v>39</v>
      </c>
      <c r="C3503" s="9" t="s">
        <v>23</v>
      </c>
      <c r="D3503" s="8">
        <v>-1.38</v>
      </c>
    </row>
    <row r="3504" spans="1:4" x14ac:dyDescent="0.35">
      <c r="A3504" t="str">
        <f t="shared" si="54"/>
        <v>39Beta</v>
      </c>
      <c r="B3504">
        <v>39</v>
      </c>
      <c r="C3504" s="9" t="s">
        <v>24</v>
      </c>
      <c r="D3504" s="8">
        <v>10.227</v>
      </c>
    </row>
    <row r="3505" spans="1:4" x14ac:dyDescent="0.35">
      <c r="A3505" t="str">
        <f t="shared" si="54"/>
        <v>39Annual Standard Deviation</v>
      </c>
      <c r="B3505">
        <v>39</v>
      </c>
      <c r="C3505" s="9" t="s">
        <v>35</v>
      </c>
      <c r="D3505" s="8">
        <v>1.754</v>
      </c>
    </row>
    <row r="3506" spans="1:4" x14ac:dyDescent="0.35">
      <c r="A3506" t="str">
        <f t="shared" si="54"/>
        <v>39Annual Variance</v>
      </c>
      <c r="B3506">
        <v>39</v>
      </c>
      <c r="C3506" s="9" t="s">
        <v>36</v>
      </c>
      <c r="D3506" s="8">
        <v>3.0760000000000001</v>
      </c>
    </row>
    <row r="3507" spans="1:4" x14ac:dyDescent="0.35">
      <c r="A3507" t="str">
        <f t="shared" si="54"/>
        <v>39Information Ratio</v>
      </c>
      <c r="B3507">
        <v>39</v>
      </c>
      <c r="C3507" s="9" t="s">
        <v>37</v>
      </c>
      <c r="D3507" s="8">
        <v>-0.49199999999999999</v>
      </c>
    </row>
    <row r="3508" spans="1:4" x14ac:dyDescent="0.35">
      <c r="A3508" t="str">
        <f t="shared" si="54"/>
        <v>39Tracking Error</v>
      </c>
      <c r="B3508">
        <v>39</v>
      </c>
      <c r="C3508" s="9" t="s">
        <v>38</v>
      </c>
      <c r="D3508" s="8">
        <v>1.7290000000000001</v>
      </c>
    </row>
    <row r="3509" spans="1:4" x14ac:dyDescent="0.35">
      <c r="A3509" t="str">
        <f t="shared" si="54"/>
        <v>39Treynor Ratio</v>
      </c>
      <c r="B3509">
        <v>39</v>
      </c>
      <c r="C3509" s="9" t="s">
        <v>39</v>
      </c>
      <c r="D3509" s="8">
        <v>-7.6999999999999999E-2</v>
      </c>
    </row>
    <row r="3510" spans="1:4" x14ac:dyDescent="0.35">
      <c r="A3510" t="str">
        <f t="shared" si="54"/>
        <v>39Total Fees</v>
      </c>
      <c r="B3510">
        <v>39</v>
      </c>
      <c r="C3510" s="9" t="s">
        <v>40</v>
      </c>
      <c r="D3510" s="8">
        <v>0</v>
      </c>
    </row>
    <row r="3511" spans="1:4" x14ac:dyDescent="0.35">
      <c r="A3511" t="str">
        <f t="shared" si="54"/>
        <v>39Estimated Strategy Capacity</v>
      </c>
      <c r="B3511">
        <v>39</v>
      </c>
      <c r="C3511" s="9" t="s">
        <v>41</v>
      </c>
      <c r="D3511" s="8">
        <v>28000000</v>
      </c>
    </row>
    <row r="3512" spans="1:4" x14ac:dyDescent="0.35">
      <c r="A3512" t="str">
        <f t="shared" si="54"/>
        <v>40PSR</v>
      </c>
      <c r="B3512">
        <v>40</v>
      </c>
      <c r="C3512" s="9" t="s">
        <v>27</v>
      </c>
      <c r="D3512" s="8">
        <v>0.66532000000000002</v>
      </c>
    </row>
    <row r="3513" spans="1:4" x14ac:dyDescent="0.35">
      <c r="A3513" t="str">
        <f t="shared" si="54"/>
        <v>40Sharpe Ratio</v>
      </c>
      <c r="B3513">
        <v>40</v>
      </c>
      <c r="C3513" s="9" t="s">
        <v>1</v>
      </c>
      <c r="D3513" s="8">
        <v>1.4119999999999999</v>
      </c>
    </row>
    <row r="3514" spans="1:4" x14ac:dyDescent="0.35">
      <c r="A3514" t="str">
        <f t="shared" si="54"/>
        <v>40Total Trades</v>
      </c>
      <c r="B3514">
        <v>40</v>
      </c>
      <c r="C3514" s="9" t="s">
        <v>28</v>
      </c>
      <c r="D3514" s="8">
        <v>590</v>
      </c>
    </row>
    <row r="3515" spans="1:4" x14ac:dyDescent="0.35">
      <c r="A3515" t="str">
        <f t="shared" si="54"/>
        <v>40Average Win</v>
      </c>
      <c r="B3515">
        <v>40</v>
      </c>
      <c r="C3515" s="9" t="s">
        <v>25</v>
      </c>
      <c r="D3515" s="8">
        <v>2E-3</v>
      </c>
    </row>
    <row r="3516" spans="1:4" x14ac:dyDescent="0.35">
      <c r="A3516" t="str">
        <f t="shared" si="54"/>
        <v>40Average Loss</v>
      </c>
      <c r="B3516">
        <v>40</v>
      </c>
      <c r="C3516" s="9" t="s">
        <v>29</v>
      </c>
      <c r="D3516" s="8">
        <v>-1.1999999999999999E-3</v>
      </c>
    </row>
    <row r="3517" spans="1:4" x14ac:dyDescent="0.35">
      <c r="A3517" t="str">
        <f t="shared" si="54"/>
        <v>40Compounding Annual Return</v>
      </c>
      <c r="B3517">
        <v>40</v>
      </c>
      <c r="C3517" s="9" t="s">
        <v>30</v>
      </c>
      <c r="D3517" s="8">
        <v>1.9709999999999998E-2</v>
      </c>
    </row>
    <row r="3518" spans="1:4" x14ac:dyDescent="0.35">
      <c r="A3518" t="str">
        <f t="shared" si="54"/>
        <v>40Drawdown</v>
      </c>
      <c r="B3518">
        <v>40</v>
      </c>
      <c r="C3518" s="9" t="s">
        <v>8</v>
      </c>
      <c r="D3518" s="8">
        <v>8.0000000000000002E-3</v>
      </c>
    </row>
    <row r="3519" spans="1:4" x14ac:dyDescent="0.35">
      <c r="A3519" t="str">
        <f t="shared" si="54"/>
        <v>40Expectancy</v>
      </c>
      <c r="B3519">
        <v>40</v>
      </c>
      <c r="C3519" s="9" t="s">
        <v>31</v>
      </c>
      <c r="D3519" s="8">
        <v>0.56299999999999994</v>
      </c>
    </row>
    <row r="3520" spans="1:4" x14ac:dyDescent="0.35">
      <c r="A3520" t="str">
        <f t="shared" si="54"/>
        <v>40Net Profit</v>
      </c>
      <c r="B3520">
        <v>40</v>
      </c>
      <c r="C3520" s="9" t="s">
        <v>32</v>
      </c>
      <c r="D3520" s="8">
        <v>1.2699999999999999E-2</v>
      </c>
    </row>
    <row r="3521" spans="1:4" x14ac:dyDescent="0.35">
      <c r="A3521" t="str">
        <f t="shared" si="54"/>
        <v>40Loss Rate</v>
      </c>
      <c r="B3521">
        <v>40</v>
      </c>
      <c r="C3521" s="9" t="s">
        <v>33</v>
      </c>
      <c r="D3521" s="8">
        <v>0.42</v>
      </c>
    </row>
    <row r="3522" spans="1:4" x14ac:dyDescent="0.35">
      <c r="A3522" t="str">
        <f t="shared" si="54"/>
        <v>40Win Rate</v>
      </c>
      <c r="B3522">
        <v>40</v>
      </c>
      <c r="C3522" s="9" t="s">
        <v>34</v>
      </c>
      <c r="D3522" s="8">
        <v>0.57999999999999996</v>
      </c>
    </row>
    <row r="3523" spans="1:4" x14ac:dyDescent="0.35">
      <c r="A3523" t="str">
        <f t="shared" ref="A3523:A3586" si="55">B3523&amp;C3523</f>
        <v>40Profit-Loss Ratio</v>
      </c>
      <c r="B3523">
        <v>40</v>
      </c>
      <c r="C3523" s="9" t="s">
        <v>26</v>
      </c>
      <c r="D3523" s="8">
        <v>1.7</v>
      </c>
    </row>
    <row r="3524" spans="1:4" x14ac:dyDescent="0.35">
      <c r="A3524" t="str">
        <f t="shared" si="55"/>
        <v>40Alpha</v>
      </c>
      <c r="B3524">
        <v>40</v>
      </c>
      <c r="C3524" s="9" t="s">
        <v>23</v>
      </c>
      <c r="D3524" s="8">
        <v>0.01</v>
      </c>
    </row>
    <row r="3525" spans="1:4" x14ac:dyDescent="0.35">
      <c r="A3525" t="str">
        <f t="shared" si="55"/>
        <v>40Beta</v>
      </c>
      <c r="B3525">
        <v>40</v>
      </c>
      <c r="C3525" s="9" t="s">
        <v>24</v>
      </c>
      <c r="D3525" s="8">
        <v>5.1999999999999998E-2</v>
      </c>
    </row>
    <row r="3526" spans="1:4" x14ac:dyDescent="0.35">
      <c r="A3526" t="str">
        <f t="shared" si="55"/>
        <v>40Annual Standard Deviation</v>
      </c>
      <c r="B3526">
        <v>40</v>
      </c>
      <c r="C3526" s="9" t="s">
        <v>35</v>
      </c>
      <c r="D3526" s="8">
        <v>0.01</v>
      </c>
    </row>
    <row r="3527" spans="1:4" x14ac:dyDescent="0.35">
      <c r="A3527" t="str">
        <f t="shared" si="55"/>
        <v>40Annual Variance</v>
      </c>
      <c r="B3527">
        <v>40</v>
      </c>
      <c r="C3527" s="9" t="s">
        <v>36</v>
      </c>
      <c r="D3527" s="8">
        <v>0</v>
      </c>
    </row>
    <row r="3528" spans="1:4" x14ac:dyDescent="0.35">
      <c r="A3528" t="str">
        <f t="shared" si="55"/>
        <v>40Information Ratio</v>
      </c>
      <c r="B3528">
        <v>40</v>
      </c>
      <c r="C3528" s="9" t="s">
        <v>37</v>
      </c>
      <c r="D3528" s="8">
        <v>-0.78300000000000003</v>
      </c>
    </row>
    <row r="3529" spans="1:4" x14ac:dyDescent="0.35">
      <c r="A3529" t="str">
        <f t="shared" si="55"/>
        <v>40Tracking Error</v>
      </c>
      <c r="B3529">
        <v>40</v>
      </c>
      <c r="C3529" s="9" t="s">
        <v>38</v>
      </c>
      <c r="D3529" s="8">
        <v>6.4000000000000001E-2</v>
      </c>
    </row>
    <row r="3530" spans="1:4" x14ac:dyDescent="0.35">
      <c r="A3530" t="str">
        <f t="shared" si="55"/>
        <v>40Treynor Ratio</v>
      </c>
      <c r="B3530">
        <v>40</v>
      </c>
      <c r="C3530" s="9" t="s">
        <v>39</v>
      </c>
      <c r="D3530" s="8">
        <v>0.26300000000000001</v>
      </c>
    </row>
    <row r="3531" spans="1:4" x14ac:dyDescent="0.35">
      <c r="A3531" t="str">
        <f t="shared" si="55"/>
        <v>40Total Fees</v>
      </c>
      <c r="B3531">
        <v>40</v>
      </c>
      <c r="C3531" s="9" t="s">
        <v>40</v>
      </c>
      <c r="D3531" s="8">
        <v>0</v>
      </c>
    </row>
    <row r="3532" spans="1:4" x14ac:dyDescent="0.35">
      <c r="A3532" t="str">
        <f t="shared" si="55"/>
        <v>40Estimated Strategy Capacity</v>
      </c>
      <c r="B3532">
        <v>40</v>
      </c>
      <c r="C3532" s="9" t="s">
        <v>41</v>
      </c>
      <c r="D3532" s="8">
        <v>340000000</v>
      </c>
    </row>
    <row r="3533" spans="1:4" x14ac:dyDescent="0.35">
      <c r="A3533" t="str">
        <f t="shared" si="55"/>
        <v>40AUDUSD 8G</v>
      </c>
      <c r="B3533">
        <v>40</v>
      </c>
      <c r="C3533" t="s">
        <v>44</v>
      </c>
      <c r="D3533" s="6">
        <v>0</v>
      </c>
    </row>
    <row r="3534" spans="1:4" x14ac:dyDescent="0.35">
      <c r="A3534" t="str">
        <f t="shared" si="55"/>
        <v>38PSR</v>
      </c>
      <c r="B3534">
        <v>38</v>
      </c>
      <c r="C3534" s="9" t="s">
        <v>27</v>
      </c>
      <c r="D3534" s="8">
        <v>4.2520000000000002E-2</v>
      </c>
    </row>
    <row r="3535" spans="1:4" x14ac:dyDescent="0.35">
      <c r="A3535" t="str">
        <f t="shared" si="55"/>
        <v>38Sharpe Ratio</v>
      </c>
      <c r="B3535">
        <v>38</v>
      </c>
      <c r="C3535" s="9" t="s">
        <v>1</v>
      </c>
      <c r="D3535" s="8">
        <v>-0.71299999999999997</v>
      </c>
    </row>
    <row r="3536" spans="1:4" x14ac:dyDescent="0.35">
      <c r="A3536" t="str">
        <f t="shared" si="55"/>
        <v>38Total Trades</v>
      </c>
      <c r="B3536">
        <v>38</v>
      </c>
      <c r="C3536" s="9" t="s">
        <v>28</v>
      </c>
      <c r="D3536" s="8">
        <v>961</v>
      </c>
    </row>
    <row r="3537" spans="1:4" x14ac:dyDescent="0.35">
      <c r="A3537" t="str">
        <f t="shared" si="55"/>
        <v>38Average Win</v>
      </c>
      <c r="B3537">
        <v>38</v>
      </c>
      <c r="C3537" s="9" t="s">
        <v>25</v>
      </c>
      <c r="D3537" s="8">
        <v>1.4200000000000001E-2</v>
      </c>
    </row>
    <row r="3538" spans="1:4" x14ac:dyDescent="0.35">
      <c r="A3538" t="str">
        <f t="shared" si="55"/>
        <v>38Average Loss</v>
      </c>
      <c r="B3538">
        <v>38</v>
      </c>
      <c r="C3538" s="9" t="s">
        <v>29</v>
      </c>
      <c r="D3538" s="8">
        <v>-1.8200000000000001E-2</v>
      </c>
    </row>
    <row r="3539" spans="1:4" x14ac:dyDescent="0.35">
      <c r="A3539" t="str">
        <f t="shared" si="55"/>
        <v>38Compounding Annual Return</v>
      </c>
      <c r="B3539">
        <v>38</v>
      </c>
      <c r="C3539" s="9" t="s">
        <v>30</v>
      </c>
      <c r="D3539" s="8">
        <v>-0.26854</v>
      </c>
    </row>
    <row r="3540" spans="1:4" x14ac:dyDescent="0.35">
      <c r="A3540" t="str">
        <f t="shared" si="55"/>
        <v>38Drawdown</v>
      </c>
      <c r="B3540">
        <v>38</v>
      </c>
      <c r="C3540" s="9" t="s">
        <v>8</v>
      </c>
      <c r="D3540" s="8">
        <v>0.27600000000000002</v>
      </c>
    </row>
    <row r="3541" spans="1:4" x14ac:dyDescent="0.35">
      <c r="A3541" t="str">
        <f t="shared" si="55"/>
        <v>38Expectancy</v>
      </c>
      <c r="B3541">
        <v>38</v>
      </c>
      <c r="C3541" s="9" t="s">
        <v>31</v>
      </c>
      <c r="D3541" s="8">
        <v>-0.33100000000000002</v>
      </c>
    </row>
    <row r="3542" spans="1:4" x14ac:dyDescent="0.35">
      <c r="A3542" t="str">
        <f t="shared" si="55"/>
        <v>38Net Profit</v>
      </c>
      <c r="B3542">
        <v>38</v>
      </c>
      <c r="C3542" s="9" t="s">
        <v>32</v>
      </c>
      <c r="D3542" s="8">
        <v>-0.18303</v>
      </c>
    </row>
    <row r="3543" spans="1:4" x14ac:dyDescent="0.35">
      <c r="A3543" t="str">
        <f t="shared" si="55"/>
        <v>38Loss Rate</v>
      </c>
      <c r="B3543">
        <v>38</v>
      </c>
      <c r="C3543" s="9" t="s">
        <v>33</v>
      </c>
      <c r="D3543" s="8">
        <v>0.62</v>
      </c>
    </row>
    <row r="3544" spans="1:4" x14ac:dyDescent="0.35">
      <c r="A3544" t="str">
        <f t="shared" si="55"/>
        <v>38Win Rate</v>
      </c>
      <c r="B3544">
        <v>38</v>
      </c>
      <c r="C3544" s="9" t="s">
        <v>34</v>
      </c>
      <c r="D3544" s="8">
        <v>0.38</v>
      </c>
    </row>
    <row r="3545" spans="1:4" x14ac:dyDescent="0.35">
      <c r="A3545" t="str">
        <f t="shared" si="55"/>
        <v>38Profit-Loss Ratio</v>
      </c>
      <c r="B3545">
        <v>38</v>
      </c>
      <c r="C3545" s="9" t="s">
        <v>26</v>
      </c>
      <c r="D3545" s="8">
        <v>0.78</v>
      </c>
    </row>
    <row r="3546" spans="1:4" x14ac:dyDescent="0.35">
      <c r="A3546" t="str">
        <f t="shared" si="55"/>
        <v>38Alpha</v>
      </c>
      <c r="B3546">
        <v>38</v>
      </c>
      <c r="C3546" s="9" t="s">
        <v>23</v>
      </c>
      <c r="D3546" s="8">
        <v>-0.27</v>
      </c>
    </row>
    <row r="3547" spans="1:4" x14ac:dyDescent="0.35">
      <c r="A3547" t="str">
        <f t="shared" si="55"/>
        <v>38Beta</v>
      </c>
      <c r="B3547">
        <v>38</v>
      </c>
      <c r="C3547" s="9" t="s">
        <v>24</v>
      </c>
      <c r="D3547" s="8">
        <v>1.546</v>
      </c>
    </row>
    <row r="3548" spans="1:4" x14ac:dyDescent="0.35">
      <c r="A3548" t="str">
        <f t="shared" si="55"/>
        <v>38Annual Standard Deviation</v>
      </c>
      <c r="B3548">
        <v>38</v>
      </c>
      <c r="C3548" s="9" t="s">
        <v>35</v>
      </c>
      <c r="D3548" s="8">
        <v>0.24</v>
      </c>
    </row>
    <row r="3549" spans="1:4" x14ac:dyDescent="0.35">
      <c r="A3549" t="str">
        <f t="shared" si="55"/>
        <v>38Annual Variance</v>
      </c>
      <c r="B3549">
        <v>38</v>
      </c>
      <c r="C3549" s="9" t="s">
        <v>36</v>
      </c>
      <c r="D3549" s="8">
        <v>5.8000000000000003E-2</v>
      </c>
    </row>
    <row r="3550" spans="1:4" x14ac:dyDescent="0.35">
      <c r="A3550" t="str">
        <f t="shared" si="55"/>
        <v>38Information Ratio</v>
      </c>
      <c r="B3550">
        <v>38</v>
      </c>
      <c r="C3550" s="9" t="s">
        <v>37</v>
      </c>
      <c r="D3550" s="8">
        <v>-1.069</v>
      </c>
    </row>
    <row r="3551" spans="1:4" x14ac:dyDescent="0.35">
      <c r="A3551" t="str">
        <f t="shared" si="55"/>
        <v>38Tracking Error</v>
      </c>
      <c r="B3551">
        <v>38</v>
      </c>
      <c r="C3551" s="9" t="s">
        <v>38</v>
      </c>
      <c r="D3551" s="8">
        <v>0.22</v>
      </c>
    </row>
    <row r="3552" spans="1:4" x14ac:dyDescent="0.35">
      <c r="A3552" t="str">
        <f t="shared" si="55"/>
        <v>38Treynor Ratio</v>
      </c>
      <c r="B3552">
        <v>38</v>
      </c>
      <c r="C3552" s="9" t="s">
        <v>39</v>
      </c>
      <c r="D3552" s="8">
        <v>-0.111</v>
      </c>
    </row>
    <row r="3553" spans="1:4" x14ac:dyDescent="0.35">
      <c r="A3553" t="str">
        <f t="shared" si="55"/>
        <v>38Total Fees</v>
      </c>
      <c r="B3553">
        <v>38</v>
      </c>
      <c r="C3553" s="9" t="s">
        <v>40</v>
      </c>
      <c r="D3553" s="8">
        <v>0</v>
      </c>
    </row>
    <row r="3554" spans="1:4" x14ac:dyDescent="0.35">
      <c r="A3554" t="str">
        <f t="shared" si="55"/>
        <v>38Estimated Strategy Capacity</v>
      </c>
      <c r="B3554">
        <v>38</v>
      </c>
      <c r="C3554" s="9" t="s">
        <v>41</v>
      </c>
      <c r="D3554" s="8">
        <v>2100000000</v>
      </c>
    </row>
    <row r="3555" spans="1:4" x14ac:dyDescent="0.35">
      <c r="A3555" t="str">
        <f t="shared" si="55"/>
        <v>37PSR</v>
      </c>
      <c r="B3555">
        <v>37</v>
      </c>
      <c r="C3555" s="9" t="s">
        <v>27</v>
      </c>
      <c r="D3555" s="8">
        <v>3.0470000000000001E-2</v>
      </c>
    </row>
    <row r="3556" spans="1:4" x14ac:dyDescent="0.35">
      <c r="A3556" t="str">
        <f t="shared" si="55"/>
        <v>37Sharpe Ratio</v>
      </c>
      <c r="B3556">
        <v>37</v>
      </c>
      <c r="C3556" s="9" t="s">
        <v>1</v>
      </c>
      <c r="D3556" s="8">
        <v>-0.90300000000000002</v>
      </c>
    </row>
    <row r="3557" spans="1:4" x14ac:dyDescent="0.35">
      <c r="A3557" t="str">
        <f t="shared" si="55"/>
        <v>37Total Trades</v>
      </c>
      <c r="B3557">
        <v>37</v>
      </c>
      <c r="C3557" s="9" t="s">
        <v>28</v>
      </c>
      <c r="D3557" s="8">
        <v>961</v>
      </c>
    </row>
    <row r="3558" spans="1:4" x14ac:dyDescent="0.35">
      <c r="A3558" t="str">
        <f t="shared" si="55"/>
        <v>37Average Win</v>
      </c>
      <c r="B3558">
        <v>37</v>
      </c>
      <c r="C3558" s="9" t="s">
        <v>25</v>
      </c>
      <c r="D3558" s="8">
        <v>1.2999999999999999E-3</v>
      </c>
    </row>
    <row r="3559" spans="1:4" x14ac:dyDescent="0.35">
      <c r="A3559" t="str">
        <f t="shared" si="55"/>
        <v>37Average Loss</v>
      </c>
      <c r="B3559">
        <v>37</v>
      </c>
      <c r="C3559" s="9" t="s">
        <v>29</v>
      </c>
      <c r="D3559" s="8">
        <v>-1.6999999999999999E-3</v>
      </c>
    </row>
    <row r="3560" spans="1:4" x14ac:dyDescent="0.35">
      <c r="A3560" t="str">
        <f t="shared" si="55"/>
        <v>37Compounding Annual Return</v>
      </c>
      <c r="B3560">
        <v>37</v>
      </c>
      <c r="C3560" s="9" t="s">
        <v>30</v>
      </c>
      <c r="D3560" s="8">
        <v>-2.8170000000000001E-2</v>
      </c>
    </row>
    <row r="3561" spans="1:4" x14ac:dyDescent="0.35">
      <c r="A3561" t="str">
        <f t="shared" si="55"/>
        <v>37Drawdown</v>
      </c>
      <c r="B3561">
        <v>37</v>
      </c>
      <c r="C3561" s="9" t="s">
        <v>8</v>
      </c>
      <c r="D3561" s="8">
        <v>2.9000000000000001E-2</v>
      </c>
    </row>
    <row r="3562" spans="1:4" x14ac:dyDescent="0.35">
      <c r="A3562" t="str">
        <f t="shared" si="55"/>
        <v>37Expectancy</v>
      </c>
      <c r="B3562">
        <v>37</v>
      </c>
      <c r="C3562" s="9" t="s">
        <v>31</v>
      </c>
      <c r="D3562" s="8">
        <v>-0.33300000000000002</v>
      </c>
    </row>
    <row r="3563" spans="1:4" x14ac:dyDescent="0.35">
      <c r="A3563" t="str">
        <f t="shared" si="55"/>
        <v>37Net Profit</v>
      </c>
      <c r="B3563">
        <v>37</v>
      </c>
      <c r="C3563" s="9" t="s">
        <v>32</v>
      </c>
      <c r="D3563" s="8">
        <v>-1.83E-2</v>
      </c>
    </row>
    <row r="3564" spans="1:4" x14ac:dyDescent="0.35">
      <c r="A3564" t="str">
        <f t="shared" si="55"/>
        <v>37Loss Rate</v>
      </c>
      <c r="B3564">
        <v>37</v>
      </c>
      <c r="C3564" s="9" t="s">
        <v>33</v>
      </c>
      <c r="D3564" s="8">
        <v>0.62</v>
      </c>
    </row>
    <row r="3565" spans="1:4" x14ac:dyDescent="0.35">
      <c r="A3565" t="str">
        <f t="shared" si="55"/>
        <v>37Win Rate</v>
      </c>
      <c r="B3565">
        <v>37</v>
      </c>
      <c r="C3565" s="9" t="s">
        <v>34</v>
      </c>
      <c r="D3565" s="8">
        <v>0.38</v>
      </c>
    </row>
    <row r="3566" spans="1:4" x14ac:dyDescent="0.35">
      <c r="A3566" t="str">
        <f t="shared" si="55"/>
        <v>37Profit-Loss Ratio</v>
      </c>
      <c r="B3566">
        <v>37</v>
      </c>
      <c r="C3566" s="9" t="s">
        <v>26</v>
      </c>
      <c r="D3566" s="8">
        <v>0.78</v>
      </c>
    </row>
    <row r="3567" spans="1:4" x14ac:dyDescent="0.35">
      <c r="A3567" t="str">
        <f t="shared" si="55"/>
        <v>37Alpha</v>
      </c>
      <c r="B3567">
        <v>37</v>
      </c>
      <c r="C3567" s="9" t="s">
        <v>23</v>
      </c>
      <c r="D3567" s="8">
        <v>-2.7E-2</v>
      </c>
    </row>
    <row r="3568" spans="1:4" x14ac:dyDescent="0.35">
      <c r="A3568" t="str">
        <f t="shared" si="55"/>
        <v>37Beta</v>
      </c>
      <c r="B3568">
        <v>37</v>
      </c>
      <c r="C3568" s="9" t="s">
        <v>24</v>
      </c>
      <c r="D3568" s="8">
        <v>0.13800000000000001</v>
      </c>
    </row>
    <row r="3569" spans="1:4" x14ac:dyDescent="0.35">
      <c r="A3569" t="str">
        <f t="shared" si="55"/>
        <v>37Annual Standard Deviation</v>
      </c>
      <c r="B3569">
        <v>37</v>
      </c>
      <c r="C3569" s="9" t="s">
        <v>35</v>
      </c>
      <c r="D3569" s="8">
        <v>2.1000000000000001E-2</v>
      </c>
    </row>
    <row r="3570" spans="1:4" x14ac:dyDescent="0.35">
      <c r="A3570" t="str">
        <f t="shared" si="55"/>
        <v>37Annual Variance</v>
      </c>
      <c r="B3570">
        <v>37</v>
      </c>
      <c r="C3570" s="9" t="s">
        <v>36</v>
      </c>
      <c r="D3570" s="8">
        <v>0</v>
      </c>
    </row>
    <row r="3571" spans="1:4" x14ac:dyDescent="0.35">
      <c r="A3571" t="str">
        <f t="shared" si="55"/>
        <v>37Information Ratio</v>
      </c>
      <c r="B3571">
        <v>37</v>
      </c>
      <c r="C3571" s="9" t="s">
        <v>37</v>
      </c>
      <c r="D3571" s="8">
        <v>-1.2609999999999999</v>
      </c>
    </row>
    <row r="3572" spans="1:4" x14ac:dyDescent="0.35">
      <c r="A3572" t="str">
        <f t="shared" si="55"/>
        <v>37Tracking Error</v>
      </c>
      <c r="B3572">
        <v>37</v>
      </c>
      <c r="C3572" s="9" t="s">
        <v>38</v>
      </c>
      <c r="D3572" s="8">
        <v>6.0999999999999999E-2</v>
      </c>
    </row>
    <row r="3573" spans="1:4" x14ac:dyDescent="0.35">
      <c r="A3573" t="str">
        <f t="shared" si="55"/>
        <v>37Treynor Ratio</v>
      </c>
      <c r="B3573">
        <v>37</v>
      </c>
      <c r="C3573" s="9" t="s">
        <v>39</v>
      </c>
      <c r="D3573" s="8">
        <v>-0.14000000000000001</v>
      </c>
    </row>
    <row r="3574" spans="1:4" x14ac:dyDescent="0.35">
      <c r="A3574" t="str">
        <f t="shared" si="55"/>
        <v>37Total Fees</v>
      </c>
      <c r="B3574">
        <v>37</v>
      </c>
      <c r="C3574" s="9" t="s">
        <v>40</v>
      </c>
      <c r="D3574" s="8">
        <v>0</v>
      </c>
    </row>
    <row r="3575" spans="1:4" x14ac:dyDescent="0.35">
      <c r="A3575" t="str">
        <f t="shared" si="55"/>
        <v>37Estimated Strategy Capacity</v>
      </c>
      <c r="B3575">
        <v>37</v>
      </c>
      <c r="C3575" s="9" t="s">
        <v>41</v>
      </c>
      <c r="D3575" s="8">
        <v>25000000000</v>
      </c>
    </row>
    <row r="3576" spans="1:4" x14ac:dyDescent="0.35">
      <c r="A3576" t="str">
        <f t="shared" si="55"/>
        <v>27PSR</v>
      </c>
      <c r="B3576">
        <v>27</v>
      </c>
      <c r="C3576" s="9" t="s">
        <v>27</v>
      </c>
      <c r="D3576" s="8">
        <v>0.11261</v>
      </c>
    </row>
    <row r="3577" spans="1:4" x14ac:dyDescent="0.35">
      <c r="A3577" t="str">
        <f t="shared" si="55"/>
        <v>27Sharpe Ratio</v>
      </c>
      <c r="B3577">
        <v>27</v>
      </c>
      <c r="C3577" s="9" t="s">
        <v>1</v>
      </c>
      <c r="D3577" s="8">
        <v>-0.25700000000000001</v>
      </c>
    </row>
    <row r="3578" spans="1:4" x14ac:dyDescent="0.35">
      <c r="A3578" t="str">
        <f t="shared" si="55"/>
        <v>27Total Trades</v>
      </c>
      <c r="B3578">
        <v>27</v>
      </c>
      <c r="C3578" s="9" t="s">
        <v>28</v>
      </c>
      <c r="D3578" s="8">
        <v>111</v>
      </c>
    </row>
    <row r="3579" spans="1:4" x14ac:dyDescent="0.35">
      <c r="A3579" t="str">
        <f t="shared" si="55"/>
        <v>27Average Win</v>
      </c>
      <c r="B3579">
        <v>27</v>
      </c>
      <c r="C3579" s="9" t="s">
        <v>25</v>
      </c>
      <c r="D3579" s="8">
        <v>1.23E-2</v>
      </c>
    </row>
    <row r="3580" spans="1:4" x14ac:dyDescent="0.35">
      <c r="A3580" t="str">
        <f t="shared" si="55"/>
        <v>27Average Loss</v>
      </c>
      <c r="B3580">
        <v>27</v>
      </c>
      <c r="C3580" s="9" t="s">
        <v>29</v>
      </c>
      <c r="D3580" s="8">
        <v>-4.2200000000000001E-2</v>
      </c>
    </row>
    <row r="3581" spans="1:4" x14ac:dyDescent="0.35">
      <c r="A3581" t="str">
        <f t="shared" si="55"/>
        <v>27Compounding Annual Return</v>
      </c>
      <c r="B3581">
        <v>27</v>
      </c>
      <c r="C3581" s="9" t="s">
        <v>30</v>
      </c>
      <c r="D3581" s="8">
        <v>-0.1183</v>
      </c>
    </row>
    <row r="3582" spans="1:4" x14ac:dyDescent="0.35">
      <c r="A3582" t="str">
        <f t="shared" si="55"/>
        <v>27Drawdown</v>
      </c>
      <c r="B3582">
        <v>27</v>
      </c>
      <c r="C3582" s="9" t="s">
        <v>8</v>
      </c>
      <c r="D3582" s="8">
        <v>0.255</v>
      </c>
    </row>
    <row r="3583" spans="1:4" x14ac:dyDescent="0.35">
      <c r="A3583" t="str">
        <f t="shared" si="55"/>
        <v>27Expectancy</v>
      </c>
      <c r="B3583">
        <v>27</v>
      </c>
      <c r="C3583" s="9" t="s">
        <v>31</v>
      </c>
      <c r="D3583" s="8">
        <v>-0.56999999999999995</v>
      </c>
    </row>
    <row r="3584" spans="1:4" x14ac:dyDescent="0.35">
      <c r="A3584" t="str">
        <f t="shared" si="55"/>
        <v>27Net Profit</v>
      </c>
      <c r="B3584">
        <v>27</v>
      </c>
      <c r="C3584" s="9" t="s">
        <v>32</v>
      </c>
      <c r="D3584" s="8">
        <v>-7.8170000000000003E-2</v>
      </c>
    </row>
    <row r="3585" spans="1:4" x14ac:dyDescent="0.35">
      <c r="A3585" t="str">
        <f t="shared" si="55"/>
        <v>27Loss Rate</v>
      </c>
      <c r="B3585">
        <v>27</v>
      </c>
      <c r="C3585" s="9" t="s">
        <v>33</v>
      </c>
      <c r="D3585" s="8">
        <v>0.67</v>
      </c>
    </row>
    <row r="3586" spans="1:4" x14ac:dyDescent="0.35">
      <c r="A3586" t="str">
        <f t="shared" si="55"/>
        <v>27Win Rate</v>
      </c>
      <c r="B3586">
        <v>27</v>
      </c>
      <c r="C3586" s="9" t="s">
        <v>34</v>
      </c>
      <c r="D3586" s="8">
        <v>0.33</v>
      </c>
    </row>
    <row r="3587" spans="1:4" x14ac:dyDescent="0.35">
      <c r="A3587" t="str">
        <f t="shared" ref="A3587:A3650" si="56">B3587&amp;C3587</f>
        <v>27Profit-Loss Ratio</v>
      </c>
      <c r="B3587">
        <v>27</v>
      </c>
      <c r="C3587" s="9" t="s">
        <v>26</v>
      </c>
      <c r="D3587" s="8">
        <v>0.28999999999999998</v>
      </c>
    </row>
    <row r="3588" spans="1:4" x14ac:dyDescent="0.35">
      <c r="A3588" t="str">
        <f t="shared" si="56"/>
        <v>27Alpha</v>
      </c>
      <c r="B3588">
        <v>27</v>
      </c>
      <c r="C3588" s="9" t="s">
        <v>23</v>
      </c>
      <c r="D3588" s="8">
        <v>-0.114</v>
      </c>
    </row>
    <row r="3589" spans="1:4" x14ac:dyDescent="0.35">
      <c r="A3589" t="str">
        <f t="shared" si="56"/>
        <v>27Beta</v>
      </c>
      <c r="B3589">
        <v>27</v>
      </c>
      <c r="C3589" s="9" t="s">
        <v>24</v>
      </c>
      <c r="D3589" s="8">
        <v>0.86099999999999999</v>
      </c>
    </row>
    <row r="3590" spans="1:4" x14ac:dyDescent="0.35">
      <c r="A3590" t="str">
        <f t="shared" si="56"/>
        <v>27Annual Standard Deviation</v>
      </c>
      <c r="B3590">
        <v>27</v>
      </c>
      <c r="C3590" s="9" t="s">
        <v>35</v>
      </c>
      <c r="D3590" s="8">
        <v>0.23</v>
      </c>
    </row>
    <row r="3591" spans="1:4" x14ac:dyDescent="0.35">
      <c r="A3591" t="str">
        <f t="shared" si="56"/>
        <v>27Annual Variance</v>
      </c>
      <c r="B3591">
        <v>27</v>
      </c>
      <c r="C3591" s="9" t="s">
        <v>36</v>
      </c>
      <c r="D3591" s="8">
        <v>5.2999999999999999E-2</v>
      </c>
    </row>
    <row r="3592" spans="1:4" x14ac:dyDescent="0.35">
      <c r="A3592" t="str">
        <f t="shared" si="56"/>
        <v>27Information Ratio</v>
      </c>
      <c r="B3592">
        <v>27</v>
      </c>
      <c r="C3592" s="9" t="s">
        <v>37</v>
      </c>
      <c r="D3592" s="8">
        <v>-0.55100000000000005</v>
      </c>
    </row>
    <row r="3593" spans="1:4" x14ac:dyDescent="0.35">
      <c r="A3593" t="str">
        <f t="shared" si="56"/>
        <v>27Tracking Error</v>
      </c>
      <c r="B3593">
        <v>27</v>
      </c>
      <c r="C3593" s="9" t="s">
        <v>38</v>
      </c>
      <c r="D3593" s="8">
        <v>0.223</v>
      </c>
    </row>
    <row r="3594" spans="1:4" x14ac:dyDescent="0.35">
      <c r="A3594" t="str">
        <f t="shared" si="56"/>
        <v>27Treynor Ratio</v>
      </c>
      <c r="B3594">
        <v>27</v>
      </c>
      <c r="C3594" s="9" t="s">
        <v>39</v>
      </c>
      <c r="D3594" s="8">
        <v>-6.9000000000000006E-2</v>
      </c>
    </row>
    <row r="3595" spans="1:4" x14ac:dyDescent="0.35">
      <c r="A3595" t="str">
        <f t="shared" si="56"/>
        <v>27Total Fees</v>
      </c>
      <c r="B3595">
        <v>27</v>
      </c>
      <c r="C3595" s="9" t="s">
        <v>40</v>
      </c>
      <c r="D3595" s="8">
        <v>0</v>
      </c>
    </row>
    <row r="3596" spans="1:4" x14ac:dyDescent="0.35">
      <c r="A3596" t="str">
        <f t="shared" si="56"/>
        <v>27Estimated Strategy Capacity</v>
      </c>
      <c r="B3596">
        <v>27</v>
      </c>
      <c r="C3596" s="9" t="s">
        <v>41</v>
      </c>
      <c r="D3596" s="8">
        <v>6300000</v>
      </c>
    </row>
    <row r="3597" spans="1:4" x14ac:dyDescent="0.35">
      <c r="A3597" t="str">
        <f t="shared" si="56"/>
        <v>26PSR</v>
      </c>
      <c r="B3597">
        <v>26</v>
      </c>
      <c r="C3597" s="9" t="s">
        <v>27</v>
      </c>
      <c r="D3597" s="8">
        <v>9.3100000000000002E-2</v>
      </c>
    </row>
    <row r="3598" spans="1:4" x14ac:dyDescent="0.35">
      <c r="A3598" t="str">
        <f t="shared" si="56"/>
        <v>26Sharpe Ratio</v>
      </c>
      <c r="B3598">
        <v>26</v>
      </c>
      <c r="C3598" s="9" t="s">
        <v>1</v>
      </c>
      <c r="D3598" s="8">
        <v>-0.374</v>
      </c>
    </row>
    <row r="3599" spans="1:4" x14ac:dyDescent="0.35">
      <c r="A3599" t="str">
        <f t="shared" si="56"/>
        <v>26Total Trades</v>
      </c>
      <c r="B3599">
        <v>26</v>
      </c>
      <c r="C3599" s="9" t="s">
        <v>28</v>
      </c>
      <c r="D3599" s="8">
        <v>111</v>
      </c>
    </row>
    <row r="3600" spans="1:4" x14ac:dyDescent="0.35">
      <c r="A3600" t="str">
        <f t="shared" si="56"/>
        <v>26Average Win</v>
      </c>
      <c r="B3600">
        <v>26</v>
      </c>
      <c r="C3600" s="9" t="s">
        <v>25</v>
      </c>
      <c r="D3600" s="8">
        <v>2.3999999999999998E-3</v>
      </c>
    </row>
    <row r="3601" spans="1:4" x14ac:dyDescent="0.35">
      <c r="A3601" t="str">
        <f t="shared" si="56"/>
        <v>26Average Loss</v>
      </c>
      <c r="B3601">
        <v>26</v>
      </c>
      <c r="C3601" s="9" t="s">
        <v>29</v>
      </c>
      <c r="D3601" s="8">
        <v>-8.3000000000000001E-3</v>
      </c>
    </row>
    <row r="3602" spans="1:4" x14ac:dyDescent="0.35">
      <c r="A3602" t="str">
        <f t="shared" si="56"/>
        <v>26Compounding Annual Return</v>
      </c>
      <c r="B3602">
        <v>26</v>
      </c>
      <c r="C3602" s="9" t="s">
        <v>30</v>
      </c>
      <c r="D3602" s="8">
        <v>-2.4080000000000001E-2</v>
      </c>
    </row>
    <row r="3603" spans="1:4" x14ac:dyDescent="0.35">
      <c r="A3603" t="str">
        <f t="shared" si="56"/>
        <v>26Drawdown</v>
      </c>
      <c r="B3603">
        <v>26</v>
      </c>
      <c r="C3603" s="9" t="s">
        <v>8</v>
      </c>
      <c r="D3603" s="8">
        <v>5.3999999999999999E-2</v>
      </c>
    </row>
    <row r="3604" spans="1:4" x14ac:dyDescent="0.35">
      <c r="A3604" t="str">
        <f t="shared" si="56"/>
        <v>26Expectancy</v>
      </c>
      <c r="B3604">
        <v>26</v>
      </c>
      <c r="C3604" s="9" t="s">
        <v>31</v>
      </c>
      <c r="D3604" s="8">
        <v>-0.57199999999999995</v>
      </c>
    </row>
    <row r="3605" spans="1:4" x14ac:dyDescent="0.35">
      <c r="A3605" t="str">
        <f t="shared" si="56"/>
        <v>26Net Profit</v>
      </c>
      <c r="B3605">
        <v>26</v>
      </c>
      <c r="C3605" s="9" t="s">
        <v>32</v>
      </c>
      <c r="D3605" s="8">
        <v>-1.5630000000000002E-2</v>
      </c>
    </row>
    <row r="3606" spans="1:4" x14ac:dyDescent="0.35">
      <c r="A3606" t="str">
        <f t="shared" si="56"/>
        <v>26Loss Rate</v>
      </c>
      <c r="B3606">
        <v>26</v>
      </c>
      <c r="C3606" s="9" t="s">
        <v>33</v>
      </c>
      <c r="D3606" s="8">
        <v>0.67</v>
      </c>
    </row>
    <row r="3607" spans="1:4" x14ac:dyDescent="0.35">
      <c r="A3607" t="str">
        <f t="shared" si="56"/>
        <v>26Win Rate</v>
      </c>
      <c r="B3607">
        <v>26</v>
      </c>
      <c r="C3607" s="9" t="s">
        <v>34</v>
      </c>
      <c r="D3607" s="8">
        <v>0.33</v>
      </c>
    </row>
    <row r="3608" spans="1:4" x14ac:dyDescent="0.35">
      <c r="A3608" t="str">
        <f t="shared" si="56"/>
        <v>26Profit-Loss Ratio</v>
      </c>
      <c r="B3608">
        <v>26</v>
      </c>
      <c r="C3608" s="9" t="s">
        <v>26</v>
      </c>
      <c r="D3608" s="8">
        <v>0.28000000000000003</v>
      </c>
    </row>
    <row r="3609" spans="1:4" x14ac:dyDescent="0.35">
      <c r="A3609" t="str">
        <f t="shared" si="56"/>
        <v>26Alpha</v>
      </c>
      <c r="B3609">
        <v>26</v>
      </c>
      <c r="C3609" s="9" t="s">
        <v>23</v>
      </c>
      <c r="D3609" s="8">
        <v>-2.5999999999999999E-2</v>
      </c>
    </row>
    <row r="3610" spans="1:4" x14ac:dyDescent="0.35">
      <c r="A3610" t="str">
        <f t="shared" si="56"/>
        <v>26Beta</v>
      </c>
      <c r="B3610">
        <v>26</v>
      </c>
      <c r="C3610" s="9" t="s">
        <v>24</v>
      </c>
      <c r="D3610" s="8">
        <v>0.158</v>
      </c>
    </row>
    <row r="3611" spans="1:4" x14ac:dyDescent="0.35">
      <c r="A3611" t="str">
        <f t="shared" si="56"/>
        <v>26Annual Standard Deviation</v>
      </c>
      <c r="B3611">
        <v>26</v>
      </c>
      <c r="C3611" s="9" t="s">
        <v>35</v>
      </c>
      <c r="D3611" s="8">
        <v>4.2000000000000003E-2</v>
      </c>
    </row>
    <row r="3612" spans="1:4" x14ac:dyDescent="0.35">
      <c r="A3612" t="str">
        <f t="shared" si="56"/>
        <v>26Annual Variance</v>
      </c>
      <c r="B3612">
        <v>26</v>
      </c>
      <c r="C3612" s="9" t="s">
        <v>36</v>
      </c>
      <c r="D3612" s="8">
        <v>2E-3</v>
      </c>
    </row>
    <row r="3613" spans="1:4" x14ac:dyDescent="0.35">
      <c r="A3613" t="str">
        <f t="shared" si="56"/>
        <v>26Information Ratio</v>
      </c>
      <c r="B3613">
        <v>26</v>
      </c>
      <c r="C3613" s="9" t="s">
        <v>37</v>
      </c>
      <c r="D3613" s="8">
        <v>-1.1419999999999999</v>
      </c>
    </row>
    <row r="3614" spans="1:4" x14ac:dyDescent="0.35">
      <c r="A3614" t="str">
        <f t="shared" si="56"/>
        <v>26Tracking Error</v>
      </c>
      <c r="B3614">
        <v>26</v>
      </c>
      <c r="C3614" s="9" t="s">
        <v>38</v>
      </c>
      <c r="D3614" s="8">
        <v>7.0000000000000007E-2</v>
      </c>
    </row>
    <row r="3615" spans="1:4" x14ac:dyDescent="0.35">
      <c r="A3615" t="str">
        <f t="shared" si="56"/>
        <v>26Treynor Ratio</v>
      </c>
      <c r="B3615">
        <v>26</v>
      </c>
      <c r="C3615" s="9" t="s">
        <v>39</v>
      </c>
      <c r="D3615" s="8">
        <v>-0.1</v>
      </c>
    </row>
    <row r="3616" spans="1:4" x14ac:dyDescent="0.35">
      <c r="A3616" t="str">
        <f t="shared" si="56"/>
        <v>26Total Fees</v>
      </c>
      <c r="B3616">
        <v>26</v>
      </c>
      <c r="C3616" s="9" t="s">
        <v>40</v>
      </c>
      <c r="D3616" s="8">
        <v>0</v>
      </c>
    </row>
    <row r="3617" spans="1:4" x14ac:dyDescent="0.35">
      <c r="A3617" t="str">
        <f t="shared" si="56"/>
        <v>26Estimated Strategy Capacity</v>
      </c>
      <c r="B3617">
        <v>26</v>
      </c>
      <c r="C3617" s="9" t="s">
        <v>41</v>
      </c>
      <c r="D3617" s="8">
        <v>25000000</v>
      </c>
    </row>
    <row r="3618" spans="1:4" x14ac:dyDescent="0.35">
      <c r="A3618" t="str">
        <f t="shared" si="56"/>
        <v>25PSR</v>
      </c>
      <c r="B3618">
        <v>25</v>
      </c>
      <c r="C3618" s="9" t="s">
        <v>27</v>
      </c>
      <c r="D3618" s="8">
        <v>8.9389999999999997E-2</v>
      </c>
    </row>
    <row r="3619" spans="1:4" x14ac:dyDescent="0.35">
      <c r="A3619" t="str">
        <f t="shared" si="56"/>
        <v>25Sharpe Ratio</v>
      </c>
      <c r="B3619">
        <v>25</v>
      </c>
      <c r="C3619" s="9" t="s">
        <v>1</v>
      </c>
      <c r="D3619" s="8">
        <v>-0.39900000000000002</v>
      </c>
    </row>
    <row r="3620" spans="1:4" x14ac:dyDescent="0.35">
      <c r="A3620" t="str">
        <f t="shared" si="56"/>
        <v>25Total Trades</v>
      </c>
      <c r="B3620">
        <v>25</v>
      </c>
      <c r="C3620" s="9" t="s">
        <v>28</v>
      </c>
      <c r="D3620" s="8">
        <v>111</v>
      </c>
    </row>
    <row r="3621" spans="1:4" x14ac:dyDescent="0.35">
      <c r="A3621" t="str">
        <f t="shared" si="56"/>
        <v>25Average Win</v>
      </c>
      <c r="B3621">
        <v>25</v>
      </c>
      <c r="C3621" s="9" t="s">
        <v>25</v>
      </c>
      <c r="D3621" s="8">
        <v>2.0000000000000001E-4</v>
      </c>
    </row>
    <row r="3622" spans="1:4" x14ac:dyDescent="0.35">
      <c r="A3622" t="str">
        <f t="shared" si="56"/>
        <v>25Average Loss</v>
      </c>
      <c r="B3622">
        <v>25</v>
      </c>
      <c r="C3622" s="9" t="s">
        <v>29</v>
      </c>
      <c r="D3622" s="8">
        <v>-8.0000000000000004E-4</v>
      </c>
    </row>
    <row r="3623" spans="1:4" x14ac:dyDescent="0.35">
      <c r="A3623" t="str">
        <f t="shared" si="56"/>
        <v>25Compounding Annual Return</v>
      </c>
      <c r="B3623">
        <v>25</v>
      </c>
      <c r="C3623" s="9" t="s">
        <v>30</v>
      </c>
      <c r="D3623" s="8">
        <v>-2.4199999999999998E-3</v>
      </c>
    </row>
    <row r="3624" spans="1:4" x14ac:dyDescent="0.35">
      <c r="A3624" t="str">
        <f t="shared" si="56"/>
        <v>25Drawdown</v>
      </c>
      <c r="B3624">
        <v>25</v>
      </c>
      <c r="C3624" s="9" t="s">
        <v>8</v>
      </c>
      <c r="D3624" s="8">
        <v>5.0000000000000001E-3</v>
      </c>
    </row>
    <row r="3625" spans="1:4" x14ac:dyDescent="0.35">
      <c r="A3625" t="str">
        <f t="shared" si="56"/>
        <v>25Expectancy</v>
      </c>
      <c r="B3625">
        <v>25</v>
      </c>
      <c r="C3625" s="9" t="s">
        <v>31</v>
      </c>
      <c r="D3625" s="8">
        <v>-0.57299999999999995</v>
      </c>
    </row>
    <row r="3626" spans="1:4" x14ac:dyDescent="0.35">
      <c r="A3626" t="str">
        <f t="shared" si="56"/>
        <v>25Net Profit</v>
      </c>
      <c r="B3626">
        <v>25</v>
      </c>
      <c r="C3626" s="9" t="s">
        <v>32</v>
      </c>
      <c r="D3626" s="8">
        <v>-1.56E-3</v>
      </c>
    </row>
    <row r="3627" spans="1:4" x14ac:dyDescent="0.35">
      <c r="A3627" t="str">
        <f t="shared" si="56"/>
        <v>25Loss Rate</v>
      </c>
      <c r="B3627">
        <v>25</v>
      </c>
      <c r="C3627" s="9" t="s">
        <v>33</v>
      </c>
      <c r="D3627" s="8">
        <v>0.67</v>
      </c>
    </row>
    <row r="3628" spans="1:4" x14ac:dyDescent="0.35">
      <c r="A3628" t="str">
        <f t="shared" si="56"/>
        <v>25Win Rate</v>
      </c>
      <c r="B3628">
        <v>25</v>
      </c>
      <c r="C3628" s="9" t="s">
        <v>34</v>
      </c>
      <c r="D3628" s="8">
        <v>0.33</v>
      </c>
    </row>
    <row r="3629" spans="1:4" x14ac:dyDescent="0.35">
      <c r="A3629" t="str">
        <f t="shared" si="56"/>
        <v>25Profit-Loss Ratio</v>
      </c>
      <c r="B3629">
        <v>25</v>
      </c>
      <c r="C3629" s="9" t="s">
        <v>26</v>
      </c>
      <c r="D3629" s="8">
        <v>0.28000000000000003</v>
      </c>
    </row>
    <row r="3630" spans="1:4" x14ac:dyDescent="0.35">
      <c r="A3630" t="str">
        <f t="shared" si="56"/>
        <v>25Alpha</v>
      </c>
      <c r="B3630">
        <v>25</v>
      </c>
      <c r="C3630" s="9" t="s">
        <v>23</v>
      </c>
      <c r="D3630" s="8">
        <v>-3.0000000000000001E-3</v>
      </c>
    </row>
    <row r="3631" spans="1:4" x14ac:dyDescent="0.35">
      <c r="A3631" t="str">
        <f t="shared" si="56"/>
        <v>25Beta</v>
      </c>
      <c r="B3631">
        <v>25</v>
      </c>
      <c r="C3631" s="9" t="s">
        <v>24</v>
      </c>
      <c r="D3631" s="8">
        <v>1.6E-2</v>
      </c>
    </row>
    <row r="3632" spans="1:4" x14ac:dyDescent="0.35">
      <c r="A3632" t="str">
        <f t="shared" si="56"/>
        <v>25Annual Standard Deviation</v>
      </c>
      <c r="B3632">
        <v>25</v>
      </c>
      <c r="C3632" s="9" t="s">
        <v>35</v>
      </c>
      <c r="D3632" s="8">
        <v>4.0000000000000001E-3</v>
      </c>
    </row>
    <row r="3633" spans="1:4" x14ac:dyDescent="0.35">
      <c r="A3633" t="str">
        <f t="shared" si="56"/>
        <v>25Annual Variance</v>
      </c>
      <c r="B3633">
        <v>25</v>
      </c>
      <c r="C3633" s="9" t="s">
        <v>36</v>
      </c>
      <c r="D3633" s="8">
        <v>0</v>
      </c>
    </row>
    <row r="3634" spans="1:4" x14ac:dyDescent="0.35">
      <c r="A3634" t="str">
        <f t="shared" si="56"/>
        <v>25Information Ratio</v>
      </c>
      <c r="B3634">
        <v>25</v>
      </c>
      <c r="C3634" s="9" t="s">
        <v>37</v>
      </c>
      <c r="D3634" s="8">
        <v>-0.99299999999999999</v>
      </c>
    </row>
    <row r="3635" spans="1:4" x14ac:dyDescent="0.35">
      <c r="A3635" t="str">
        <f t="shared" si="56"/>
        <v>25Tracking Error</v>
      </c>
      <c r="B3635">
        <v>25</v>
      </c>
      <c r="C3635" s="9" t="s">
        <v>38</v>
      </c>
      <c r="D3635" s="8">
        <v>6.6000000000000003E-2</v>
      </c>
    </row>
    <row r="3636" spans="1:4" x14ac:dyDescent="0.35">
      <c r="A3636" t="str">
        <f t="shared" si="56"/>
        <v>25Treynor Ratio</v>
      </c>
      <c r="B3636">
        <v>25</v>
      </c>
      <c r="C3636" s="9" t="s">
        <v>39</v>
      </c>
      <c r="D3636" s="8">
        <v>-0.107</v>
      </c>
    </row>
    <row r="3637" spans="1:4" x14ac:dyDescent="0.35">
      <c r="A3637" t="str">
        <f t="shared" si="56"/>
        <v>25Total Fees</v>
      </c>
      <c r="B3637">
        <v>25</v>
      </c>
      <c r="C3637" s="9" t="s">
        <v>40</v>
      </c>
      <c r="D3637" s="8">
        <v>0</v>
      </c>
    </row>
    <row r="3638" spans="1:4" x14ac:dyDescent="0.35">
      <c r="A3638" t="str">
        <f t="shared" si="56"/>
        <v>25Estimated Strategy Capacity</v>
      </c>
      <c r="B3638">
        <v>25</v>
      </c>
      <c r="C3638" s="9" t="s">
        <v>41</v>
      </c>
      <c r="D3638" s="8">
        <v>200000000</v>
      </c>
    </row>
    <row r="3639" spans="1:4" x14ac:dyDescent="0.35">
      <c r="A3639" t="str">
        <f t="shared" si="56"/>
        <v>24PSR</v>
      </c>
      <c r="B3639">
        <v>24</v>
      </c>
      <c r="C3639" s="9" t="s">
        <v>27</v>
      </c>
      <c r="D3639" s="8">
        <v>4.0000000000000003E-5</v>
      </c>
    </row>
    <row r="3640" spans="1:4" x14ac:dyDescent="0.35">
      <c r="A3640" t="str">
        <f t="shared" si="56"/>
        <v>24Sharpe Ratio</v>
      </c>
      <c r="B3640">
        <v>24</v>
      </c>
      <c r="C3640" s="9" t="s">
        <v>1</v>
      </c>
      <c r="D3640" s="8">
        <v>-1.4019999999999999</v>
      </c>
    </row>
    <row r="3641" spans="1:4" x14ac:dyDescent="0.35">
      <c r="A3641" t="str">
        <f t="shared" si="56"/>
        <v>24Total Trades</v>
      </c>
      <c r="B3641">
        <v>24</v>
      </c>
      <c r="C3641" s="9" t="s">
        <v>28</v>
      </c>
      <c r="D3641" s="8">
        <v>152</v>
      </c>
    </row>
    <row r="3642" spans="1:4" x14ac:dyDescent="0.35">
      <c r="A3642" t="str">
        <f t="shared" si="56"/>
        <v>24Average Win</v>
      </c>
      <c r="B3642">
        <v>24</v>
      </c>
      <c r="C3642" s="9" t="s">
        <v>25</v>
      </c>
      <c r="D3642" s="8">
        <v>0</v>
      </c>
    </row>
    <row r="3643" spans="1:4" x14ac:dyDescent="0.35">
      <c r="A3643" t="str">
        <f t="shared" si="56"/>
        <v>24Average Loss</v>
      </c>
      <c r="B3643">
        <v>24</v>
      </c>
      <c r="C3643" s="9" t="s">
        <v>29</v>
      </c>
      <c r="D3643" s="8">
        <v>-0.10249999999999999</v>
      </c>
    </row>
    <row r="3644" spans="1:4" x14ac:dyDescent="0.35">
      <c r="A3644" t="str">
        <f t="shared" si="56"/>
        <v>24Compounding Annual Return</v>
      </c>
      <c r="B3644">
        <v>24</v>
      </c>
      <c r="C3644" s="9" t="s">
        <v>30</v>
      </c>
      <c r="D3644" s="8">
        <v>-0.77117000000000002</v>
      </c>
    </row>
    <row r="3645" spans="1:4" x14ac:dyDescent="0.35">
      <c r="A3645" t="str">
        <f t="shared" si="56"/>
        <v>24Drawdown</v>
      </c>
      <c r="B3645">
        <v>24</v>
      </c>
      <c r="C3645" s="9" t="s">
        <v>8</v>
      </c>
      <c r="D3645" s="8">
        <v>0.63700000000000001</v>
      </c>
    </row>
    <row r="3646" spans="1:4" x14ac:dyDescent="0.35">
      <c r="A3646" t="str">
        <f t="shared" si="56"/>
        <v>24Expectancy</v>
      </c>
      <c r="B3646">
        <v>24</v>
      </c>
      <c r="C3646" s="9" t="s">
        <v>31</v>
      </c>
      <c r="D3646" s="8">
        <v>-1</v>
      </c>
    </row>
    <row r="3647" spans="1:4" x14ac:dyDescent="0.35">
      <c r="A3647" t="str">
        <f t="shared" si="56"/>
        <v>24Net Profit</v>
      </c>
      <c r="B3647">
        <v>24</v>
      </c>
      <c r="C3647" s="9" t="s">
        <v>32</v>
      </c>
      <c r="D3647" s="8">
        <v>-0.61456999999999995</v>
      </c>
    </row>
    <row r="3648" spans="1:4" x14ac:dyDescent="0.35">
      <c r="A3648" t="str">
        <f t="shared" si="56"/>
        <v>24Loss Rate</v>
      </c>
      <c r="B3648">
        <v>24</v>
      </c>
      <c r="C3648" s="9" t="s">
        <v>33</v>
      </c>
      <c r="D3648" s="8">
        <v>1</v>
      </c>
    </row>
    <row r="3649" spans="1:4" x14ac:dyDescent="0.35">
      <c r="A3649" t="str">
        <f t="shared" si="56"/>
        <v>24Win Rate</v>
      </c>
      <c r="B3649">
        <v>24</v>
      </c>
      <c r="C3649" s="9" t="s">
        <v>34</v>
      </c>
      <c r="D3649" s="8">
        <v>0</v>
      </c>
    </row>
    <row r="3650" spans="1:4" x14ac:dyDescent="0.35">
      <c r="A3650" t="str">
        <f t="shared" si="56"/>
        <v>24Profit-Loss Ratio</v>
      </c>
      <c r="B3650">
        <v>24</v>
      </c>
      <c r="C3650" s="9" t="s">
        <v>26</v>
      </c>
      <c r="D3650" s="8">
        <v>0</v>
      </c>
    </row>
    <row r="3651" spans="1:4" x14ac:dyDescent="0.35">
      <c r="A3651" t="str">
        <f t="shared" ref="A3651:A3714" si="57">B3651&amp;C3651</f>
        <v>24Alpha</v>
      </c>
      <c r="B3651">
        <v>24</v>
      </c>
      <c r="C3651" s="9" t="s">
        <v>23</v>
      </c>
      <c r="D3651" s="8">
        <v>-0.59099999999999997</v>
      </c>
    </row>
    <row r="3652" spans="1:4" x14ac:dyDescent="0.35">
      <c r="A3652" t="str">
        <f t="shared" si="57"/>
        <v>24Beta</v>
      </c>
      <c r="B3652">
        <v>24</v>
      </c>
      <c r="C3652" s="9" t="s">
        <v>24</v>
      </c>
      <c r="D3652" s="8">
        <v>-0.182</v>
      </c>
    </row>
    <row r="3653" spans="1:4" x14ac:dyDescent="0.35">
      <c r="A3653" t="str">
        <f t="shared" si="57"/>
        <v>24Annual Standard Deviation</v>
      </c>
      <c r="B3653">
        <v>24</v>
      </c>
      <c r="C3653" s="9" t="s">
        <v>35</v>
      </c>
      <c r="D3653" s="8">
        <v>0.42899999999999999</v>
      </c>
    </row>
    <row r="3654" spans="1:4" x14ac:dyDescent="0.35">
      <c r="A3654" t="str">
        <f t="shared" si="57"/>
        <v>24Annual Variance</v>
      </c>
      <c r="B3654">
        <v>24</v>
      </c>
      <c r="C3654" s="9" t="s">
        <v>36</v>
      </c>
      <c r="D3654" s="8">
        <v>0.184</v>
      </c>
    </row>
    <row r="3655" spans="1:4" x14ac:dyDescent="0.35">
      <c r="A3655" t="str">
        <f t="shared" si="57"/>
        <v>24Information Ratio</v>
      </c>
      <c r="B3655">
        <v>24</v>
      </c>
      <c r="C3655" s="9" t="s">
        <v>37</v>
      </c>
      <c r="D3655" s="8">
        <v>-1.526</v>
      </c>
    </row>
    <row r="3656" spans="1:4" x14ac:dyDescent="0.35">
      <c r="A3656" t="str">
        <f t="shared" si="57"/>
        <v>24Tracking Error</v>
      </c>
      <c r="B3656">
        <v>24</v>
      </c>
      <c r="C3656" s="9" t="s">
        <v>38</v>
      </c>
      <c r="D3656" s="8">
        <v>0.436</v>
      </c>
    </row>
    <row r="3657" spans="1:4" x14ac:dyDescent="0.35">
      <c r="A3657" t="str">
        <f t="shared" si="57"/>
        <v>24Treynor Ratio</v>
      </c>
      <c r="B3657">
        <v>24</v>
      </c>
      <c r="C3657" s="9" t="s">
        <v>39</v>
      </c>
      <c r="D3657" s="8">
        <v>3.302</v>
      </c>
    </row>
    <row r="3658" spans="1:4" x14ac:dyDescent="0.35">
      <c r="A3658" t="str">
        <f t="shared" si="57"/>
        <v>24Total Fees</v>
      </c>
      <c r="B3658">
        <v>24</v>
      </c>
      <c r="C3658" s="9" t="s">
        <v>40</v>
      </c>
      <c r="D3658" s="8">
        <v>0</v>
      </c>
    </row>
    <row r="3659" spans="1:4" x14ac:dyDescent="0.35">
      <c r="A3659" t="str">
        <f t="shared" si="57"/>
        <v>24Estimated Strategy Capacity</v>
      </c>
      <c r="B3659">
        <v>24</v>
      </c>
      <c r="C3659" s="9" t="s">
        <v>41</v>
      </c>
      <c r="D3659" s="8">
        <v>54000000</v>
      </c>
    </row>
    <row r="3660" spans="1:4" x14ac:dyDescent="0.35">
      <c r="A3660" t="str">
        <f t="shared" si="57"/>
        <v>23PSR</v>
      </c>
      <c r="B3660">
        <v>23</v>
      </c>
      <c r="C3660" s="9" t="s">
        <v>27</v>
      </c>
      <c r="D3660" s="8">
        <v>1.0000000000000001E-5</v>
      </c>
    </row>
    <row r="3661" spans="1:4" x14ac:dyDescent="0.35">
      <c r="A3661" t="str">
        <f t="shared" si="57"/>
        <v>23Sharpe Ratio</v>
      </c>
      <c r="B3661">
        <v>23</v>
      </c>
      <c r="C3661" s="9" t="s">
        <v>1</v>
      </c>
      <c r="D3661" s="8">
        <v>-2.0590000000000002</v>
      </c>
    </row>
    <row r="3662" spans="1:4" x14ac:dyDescent="0.35">
      <c r="A3662" t="str">
        <f t="shared" si="57"/>
        <v>23Total Trades</v>
      </c>
      <c r="B3662">
        <v>23</v>
      </c>
      <c r="C3662" s="9" t="s">
        <v>28</v>
      </c>
      <c r="D3662" s="8">
        <v>153</v>
      </c>
    </row>
    <row r="3663" spans="1:4" x14ac:dyDescent="0.35">
      <c r="A3663" t="str">
        <f t="shared" si="57"/>
        <v>23Average Win</v>
      </c>
      <c r="B3663">
        <v>23</v>
      </c>
      <c r="C3663" s="9" t="s">
        <v>25</v>
      </c>
      <c r="D3663" s="8">
        <v>0</v>
      </c>
    </row>
    <row r="3664" spans="1:4" x14ac:dyDescent="0.35">
      <c r="A3664" t="str">
        <f t="shared" si="57"/>
        <v>23Average Loss</v>
      </c>
      <c r="B3664">
        <v>23</v>
      </c>
      <c r="C3664" s="9" t="s">
        <v>29</v>
      </c>
      <c r="D3664" s="8">
        <v>-2.58E-2</v>
      </c>
    </row>
    <row r="3665" spans="1:4" x14ac:dyDescent="0.35">
      <c r="A3665" t="str">
        <f t="shared" si="57"/>
        <v>23Compounding Annual Return</v>
      </c>
      <c r="B3665">
        <v>23</v>
      </c>
      <c r="C3665" s="9" t="s">
        <v>30</v>
      </c>
      <c r="D3665" s="8">
        <v>-0.18892</v>
      </c>
    </row>
    <row r="3666" spans="1:4" x14ac:dyDescent="0.35">
      <c r="A3666" t="str">
        <f t="shared" si="57"/>
        <v>23Drawdown</v>
      </c>
      <c r="B3666">
        <v>23</v>
      </c>
      <c r="C3666" s="9" t="s">
        <v>8</v>
      </c>
      <c r="D3666" s="8">
        <v>0.13700000000000001</v>
      </c>
    </row>
    <row r="3667" spans="1:4" x14ac:dyDescent="0.35">
      <c r="A3667" t="str">
        <f t="shared" si="57"/>
        <v>23Expectancy</v>
      </c>
      <c r="B3667">
        <v>23</v>
      </c>
      <c r="C3667" s="9" t="s">
        <v>31</v>
      </c>
      <c r="D3667" s="8">
        <v>-1</v>
      </c>
    </row>
    <row r="3668" spans="1:4" x14ac:dyDescent="0.35">
      <c r="A3668" t="str">
        <f t="shared" si="57"/>
        <v>23Net Profit</v>
      </c>
      <c r="B3668">
        <v>23</v>
      </c>
      <c r="C3668" s="9" t="s">
        <v>32</v>
      </c>
      <c r="D3668" s="8">
        <v>-0.12659999999999999</v>
      </c>
    </row>
    <row r="3669" spans="1:4" x14ac:dyDescent="0.35">
      <c r="A3669" t="str">
        <f t="shared" si="57"/>
        <v>23Loss Rate</v>
      </c>
      <c r="B3669">
        <v>23</v>
      </c>
      <c r="C3669" s="9" t="s">
        <v>33</v>
      </c>
      <c r="D3669" s="8">
        <v>1</v>
      </c>
    </row>
    <row r="3670" spans="1:4" x14ac:dyDescent="0.35">
      <c r="A3670" t="str">
        <f t="shared" si="57"/>
        <v>23Win Rate</v>
      </c>
      <c r="B3670">
        <v>23</v>
      </c>
      <c r="C3670" s="9" t="s">
        <v>34</v>
      </c>
      <c r="D3670" s="8">
        <v>0</v>
      </c>
    </row>
    <row r="3671" spans="1:4" x14ac:dyDescent="0.35">
      <c r="A3671" t="str">
        <f t="shared" si="57"/>
        <v>23Profit-Loss Ratio</v>
      </c>
      <c r="B3671">
        <v>23</v>
      </c>
      <c r="C3671" s="9" t="s">
        <v>26</v>
      </c>
      <c r="D3671" s="8">
        <v>0</v>
      </c>
    </row>
    <row r="3672" spans="1:4" x14ac:dyDescent="0.35">
      <c r="A3672" t="str">
        <f t="shared" si="57"/>
        <v>23Alpha</v>
      </c>
      <c r="B3672">
        <v>23</v>
      </c>
      <c r="C3672" s="9" t="s">
        <v>23</v>
      </c>
      <c r="D3672" s="8">
        <v>-0.13</v>
      </c>
    </row>
    <row r="3673" spans="1:4" x14ac:dyDescent="0.35">
      <c r="A3673" t="str">
        <f t="shared" si="57"/>
        <v>23Beta</v>
      </c>
      <c r="B3673">
        <v>23</v>
      </c>
      <c r="C3673" s="9" t="s">
        <v>24</v>
      </c>
      <c r="D3673" s="8">
        <v>-5.8999999999999997E-2</v>
      </c>
    </row>
    <row r="3674" spans="1:4" x14ac:dyDescent="0.35">
      <c r="A3674" t="str">
        <f t="shared" si="57"/>
        <v>23Annual Standard Deviation</v>
      </c>
      <c r="B3674">
        <v>23</v>
      </c>
      <c r="C3674" s="9" t="s">
        <v>35</v>
      </c>
      <c r="D3674" s="8">
        <v>6.5000000000000002E-2</v>
      </c>
    </row>
    <row r="3675" spans="1:4" x14ac:dyDescent="0.35">
      <c r="A3675" t="str">
        <f t="shared" si="57"/>
        <v>23Annual Variance</v>
      </c>
      <c r="B3675">
        <v>23</v>
      </c>
      <c r="C3675" s="9" t="s">
        <v>36</v>
      </c>
      <c r="D3675" s="8">
        <v>4.0000000000000001E-3</v>
      </c>
    </row>
    <row r="3676" spans="1:4" x14ac:dyDescent="0.35">
      <c r="A3676" t="str">
        <f t="shared" si="57"/>
        <v>23Information Ratio</v>
      </c>
      <c r="B3676">
        <v>23</v>
      </c>
      <c r="C3676" s="9" t="s">
        <v>37</v>
      </c>
      <c r="D3676" s="8">
        <v>-2.0569999999999999</v>
      </c>
    </row>
    <row r="3677" spans="1:4" x14ac:dyDescent="0.35">
      <c r="A3677" t="str">
        <f t="shared" si="57"/>
        <v>23Tracking Error</v>
      </c>
      <c r="B3677">
        <v>23</v>
      </c>
      <c r="C3677" s="9" t="s">
        <v>38</v>
      </c>
      <c r="D3677" s="8">
        <v>9.6000000000000002E-2</v>
      </c>
    </row>
    <row r="3678" spans="1:4" x14ac:dyDescent="0.35">
      <c r="A3678" t="str">
        <f t="shared" si="57"/>
        <v>23Treynor Ratio</v>
      </c>
      <c r="B3678">
        <v>23</v>
      </c>
      <c r="C3678" s="9" t="s">
        <v>39</v>
      </c>
      <c r="D3678" s="8">
        <v>2.254</v>
      </c>
    </row>
    <row r="3679" spans="1:4" x14ac:dyDescent="0.35">
      <c r="A3679" t="str">
        <f t="shared" si="57"/>
        <v>23Total Fees</v>
      </c>
      <c r="B3679">
        <v>23</v>
      </c>
      <c r="C3679" s="9" t="s">
        <v>40</v>
      </c>
      <c r="D3679" s="8">
        <v>0</v>
      </c>
    </row>
    <row r="3680" spans="1:4" x14ac:dyDescent="0.35">
      <c r="A3680" t="str">
        <f t="shared" si="57"/>
        <v>23Estimated Strategy Capacity</v>
      </c>
      <c r="B3680">
        <v>23</v>
      </c>
      <c r="C3680" s="9" t="s">
        <v>41</v>
      </c>
      <c r="D3680" s="8">
        <v>690000000</v>
      </c>
    </row>
    <row r="3681" spans="1:4" x14ac:dyDescent="0.35">
      <c r="A3681" t="str">
        <f t="shared" si="57"/>
        <v>22PSR</v>
      </c>
      <c r="B3681">
        <v>22</v>
      </c>
      <c r="C3681" s="9" t="s">
        <v>27</v>
      </c>
      <c r="D3681" s="8">
        <v>1.0000000000000001E-5</v>
      </c>
    </row>
    <row r="3682" spans="1:4" x14ac:dyDescent="0.35">
      <c r="A3682" t="str">
        <f t="shared" si="57"/>
        <v>22Sharpe Ratio</v>
      </c>
      <c r="B3682">
        <v>22</v>
      </c>
      <c r="C3682" s="9" t="s">
        <v>1</v>
      </c>
      <c r="D3682" s="8">
        <v>-2.1930000000000001</v>
      </c>
    </row>
    <row r="3683" spans="1:4" x14ac:dyDescent="0.35">
      <c r="A3683" t="str">
        <f t="shared" si="57"/>
        <v>22Total Trades</v>
      </c>
      <c r="B3683">
        <v>22</v>
      </c>
      <c r="C3683" s="9" t="s">
        <v>28</v>
      </c>
      <c r="D3683" s="8">
        <v>153</v>
      </c>
    </row>
    <row r="3684" spans="1:4" x14ac:dyDescent="0.35">
      <c r="A3684" t="str">
        <f t="shared" si="57"/>
        <v>22Average Win</v>
      </c>
      <c r="B3684">
        <v>22</v>
      </c>
      <c r="C3684" s="9" t="s">
        <v>25</v>
      </c>
      <c r="D3684" s="8">
        <v>0</v>
      </c>
    </row>
    <row r="3685" spans="1:4" x14ac:dyDescent="0.35">
      <c r="A3685" t="str">
        <f t="shared" si="57"/>
        <v>22Average Loss</v>
      </c>
      <c r="B3685">
        <v>22</v>
      </c>
      <c r="C3685" s="9" t="s">
        <v>29</v>
      </c>
      <c r="D3685" s="8">
        <v>-2.5000000000000001E-3</v>
      </c>
    </row>
    <row r="3686" spans="1:4" x14ac:dyDescent="0.35">
      <c r="A3686" t="str">
        <f t="shared" si="57"/>
        <v>22Compounding Annual Return</v>
      </c>
      <c r="B3686">
        <v>22</v>
      </c>
      <c r="C3686" s="9" t="s">
        <v>30</v>
      </c>
      <c r="D3686" s="8">
        <v>-1.9519999999999999E-2</v>
      </c>
    </row>
    <row r="3687" spans="1:4" x14ac:dyDescent="0.35">
      <c r="A3687" t="str">
        <f t="shared" si="57"/>
        <v>22Drawdown</v>
      </c>
      <c r="B3687">
        <v>22</v>
      </c>
      <c r="C3687" s="9" t="s">
        <v>8</v>
      </c>
      <c r="D3687" s="8">
        <v>1.4E-2</v>
      </c>
    </row>
    <row r="3688" spans="1:4" x14ac:dyDescent="0.35">
      <c r="A3688" t="str">
        <f t="shared" si="57"/>
        <v>22Expectancy</v>
      </c>
      <c r="B3688">
        <v>22</v>
      </c>
      <c r="C3688" s="9" t="s">
        <v>31</v>
      </c>
      <c r="D3688" s="8">
        <v>-1</v>
      </c>
    </row>
    <row r="3689" spans="1:4" x14ac:dyDescent="0.35">
      <c r="A3689" t="str">
        <f t="shared" si="57"/>
        <v>22Net Profit</v>
      </c>
      <c r="B3689">
        <v>22</v>
      </c>
      <c r="C3689" s="9" t="s">
        <v>32</v>
      </c>
      <c r="D3689" s="8">
        <v>-1.2659999999999999E-2</v>
      </c>
    </row>
    <row r="3690" spans="1:4" x14ac:dyDescent="0.35">
      <c r="A3690" t="str">
        <f t="shared" si="57"/>
        <v>22Loss Rate</v>
      </c>
      <c r="B3690">
        <v>22</v>
      </c>
      <c r="C3690" s="9" t="s">
        <v>33</v>
      </c>
      <c r="D3690" s="8">
        <v>1</v>
      </c>
    </row>
    <row r="3691" spans="1:4" x14ac:dyDescent="0.35">
      <c r="A3691" t="str">
        <f t="shared" si="57"/>
        <v>22Win Rate</v>
      </c>
      <c r="B3691">
        <v>22</v>
      </c>
      <c r="C3691" s="9" t="s">
        <v>34</v>
      </c>
      <c r="D3691" s="8">
        <v>0</v>
      </c>
    </row>
    <row r="3692" spans="1:4" x14ac:dyDescent="0.35">
      <c r="A3692" t="str">
        <f t="shared" si="57"/>
        <v>22Profit-Loss Ratio</v>
      </c>
      <c r="B3692">
        <v>22</v>
      </c>
      <c r="C3692" s="9" t="s">
        <v>26</v>
      </c>
      <c r="D3692" s="8">
        <v>0</v>
      </c>
    </row>
    <row r="3693" spans="1:4" x14ac:dyDescent="0.35">
      <c r="A3693" t="str">
        <f t="shared" si="57"/>
        <v>22Alpha</v>
      </c>
      <c r="B3693">
        <v>22</v>
      </c>
      <c r="C3693" s="9" t="s">
        <v>23</v>
      </c>
      <c r="D3693" s="8">
        <v>-1.2999999999999999E-2</v>
      </c>
    </row>
    <row r="3694" spans="1:4" x14ac:dyDescent="0.35">
      <c r="A3694" t="str">
        <f t="shared" si="57"/>
        <v>22Beta</v>
      </c>
      <c r="B3694">
        <v>22</v>
      </c>
      <c r="C3694" s="9" t="s">
        <v>24</v>
      </c>
      <c r="D3694" s="8">
        <v>-6.0000000000000001E-3</v>
      </c>
    </row>
    <row r="3695" spans="1:4" x14ac:dyDescent="0.35">
      <c r="A3695" t="str">
        <f t="shared" si="57"/>
        <v>22Annual Standard Deviation</v>
      </c>
      <c r="B3695">
        <v>22</v>
      </c>
      <c r="C3695" s="9" t="s">
        <v>35</v>
      </c>
      <c r="D3695" s="8">
        <v>6.0000000000000001E-3</v>
      </c>
    </row>
    <row r="3696" spans="1:4" x14ac:dyDescent="0.35">
      <c r="A3696" t="str">
        <f t="shared" si="57"/>
        <v>22Annual Variance</v>
      </c>
      <c r="B3696">
        <v>22</v>
      </c>
      <c r="C3696" s="9" t="s">
        <v>36</v>
      </c>
      <c r="D3696" s="8">
        <v>0</v>
      </c>
    </row>
    <row r="3697" spans="1:4" x14ac:dyDescent="0.35">
      <c r="A3697" t="str">
        <f t="shared" si="57"/>
        <v>22Information Ratio</v>
      </c>
      <c r="B3697">
        <v>22</v>
      </c>
      <c r="C3697" s="9" t="s">
        <v>37</v>
      </c>
      <c r="D3697" s="8">
        <v>-1.1459999999999999</v>
      </c>
    </row>
    <row r="3698" spans="1:4" x14ac:dyDescent="0.35">
      <c r="A3698" t="str">
        <f t="shared" si="57"/>
        <v>22Tracking Error</v>
      </c>
      <c r="B3698">
        <v>22</v>
      </c>
      <c r="C3698" s="9" t="s">
        <v>38</v>
      </c>
      <c r="D3698" s="8">
        <v>6.7000000000000004E-2</v>
      </c>
    </row>
    <row r="3699" spans="1:4" x14ac:dyDescent="0.35">
      <c r="A3699" t="str">
        <f t="shared" si="57"/>
        <v>22Treynor Ratio</v>
      </c>
      <c r="B3699">
        <v>22</v>
      </c>
      <c r="C3699" s="9" t="s">
        <v>39</v>
      </c>
      <c r="D3699" s="8">
        <v>2.2679999999999998</v>
      </c>
    </row>
    <row r="3700" spans="1:4" x14ac:dyDescent="0.35">
      <c r="A3700" t="str">
        <f t="shared" si="57"/>
        <v>22Total Fees</v>
      </c>
      <c r="B3700">
        <v>22</v>
      </c>
      <c r="C3700" s="9" t="s">
        <v>40</v>
      </c>
      <c r="D3700" s="8">
        <v>0</v>
      </c>
    </row>
    <row r="3701" spans="1:4" x14ac:dyDescent="0.35">
      <c r="A3701" t="str">
        <f t="shared" si="57"/>
        <v>22Estimated Strategy Capacity</v>
      </c>
      <c r="B3701">
        <v>22</v>
      </c>
      <c r="C3701" s="9" t="s">
        <v>41</v>
      </c>
      <c r="D3701" s="8">
        <v>7700000000</v>
      </c>
    </row>
    <row r="3702" spans="1:4" x14ac:dyDescent="0.35">
      <c r="A3702" t="str">
        <f t="shared" si="57"/>
        <v>19PSR</v>
      </c>
      <c r="B3702">
        <v>19</v>
      </c>
      <c r="C3702" t="s">
        <v>27</v>
      </c>
      <c r="D3702" s="6">
        <v>0.32308999999999999</v>
      </c>
    </row>
    <row r="3703" spans="1:4" x14ac:dyDescent="0.35">
      <c r="A3703" t="str">
        <f t="shared" si="57"/>
        <v>19Sharpe Ratio</v>
      </c>
      <c r="B3703">
        <v>19</v>
      </c>
      <c r="C3703" t="s">
        <v>1</v>
      </c>
      <c r="D3703" s="6">
        <v>0.52</v>
      </c>
    </row>
    <row r="3704" spans="1:4" x14ac:dyDescent="0.35">
      <c r="A3704" t="str">
        <f t="shared" si="57"/>
        <v>19Total Trades</v>
      </c>
      <c r="B3704">
        <v>19</v>
      </c>
      <c r="C3704" t="s">
        <v>28</v>
      </c>
      <c r="D3704" s="6">
        <v>354</v>
      </c>
    </row>
    <row r="3705" spans="1:4" x14ac:dyDescent="0.35">
      <c r="A3705" t="str">
        <f t="shared" si="57"/>
        <v>19Average Win</v>
      </c>
      <c r="B3705">
        <v>19</v>
      </c>
      <c r="C3705" t="s">
        <v>25</v>
      </c>
      <c r="D3705" s="6">
        <v>3.0000000000000001E-3</v>
      </c>
    </row>
    <row r="3706" spans="1:4" x14ac:dyDescent="0.35">
      <c r="A3706" t="str">
        <f t="shared" si="57"/>
        <v>19Average Loss</v>
      </c>
      <c r="B3706">
        <v>19</v>
      </c>
      <c r="C3706" t="s">
        <v>29</v>
      </c>
      <c r="D3706" s="6">
        <v>-1.1000000000000001E-3</v>
      </c>
    </row>
    <row r="3707" spans="1:4" x14ac:dyDescent="0.35">
      <c r="A3707" t="str">
        <f t="shared" si="57"/>
        <v>19Compounding Annual Return</v>
      </c>
      <c r="B3707">
        <v>19</v>
      </c>
      <c r="C3707" t="s">
        <v>30</v>
      </c>
      <c r="D3707" s="6">
        <v>6.2199999999999998E-3</v>
      </c>
    </row>
    <row r="3708" spans="1:4" x14ac:dyDescent="0.35">
      <c r="A3708" t="str">
        <f t="shared" si="57"/>
        <v>19Drawdown</v>
      </c>
      <c r="B3708">
        <v>19</v>
      </c>
      <c r="C3708" t="s">
        <v>8</v>
      </c>
      <c r="D3708" s="6">
        <v>8.0000000000000002E-3</v>
      </c>
    </row>
    <row r="3709" spans="1:4" x14ac:dyDescent="0.35">
      <c r="A3709" t="str">
        <f t="shared" si="57"/>
        <v>19Expectancy</v>
      </c>
      <c r="B3709">
        <v>19</v>
      </c>
      <c r="C3709" t="s">
        <v>31</v>
      </c>
      <c r="D3709" s="6">
        <v>0.38500000000000001</v>
      </c>
    </row>
    <row r="3710" spans="1:4" x14ac:dyDescent="0.35">
      <c r="A3710" t="str">
        <f t="shared" si="57"/>
        <v>19Net Profit</v>
      </c>
      <c r="B3710">
        <v>19</v>
      </c>
      <c r="C3710" t="s">
        <v>32</v>
      </c>
      <c r="D3710" s="6">
        <v>4.0000000000000001E-3</v>
      </c>
    </row>
    <row r="3711" spans="1:4" x14ac:dyDescent="0.35">
      <c r="A3711" t="str">
        <f t="shared" si="57"/>
        <v>19Loss Rate</v>
      </c>
      <c r="B3711">
        <v>19</v>
      </c>
      <c r="C3711" t="s">
        <v>33</v>
      </c>
      <c r="D3711" s="6">
        <v>0.64</v>
      </c>
    </row>
    <row r="3712" spans="1:4" x14ac:dyDescent="0.35">
      <c r="A3712" t="str">
        <f t="shared" si="57"/>
        <v>19Win Rate</v>
      </c>
      <c r="B3712">
        <v>19</v>
      </c>
      <c r="C3712" t="s">
        <v>34</v>
      </c>
      <c r="D3712" s="6">
        <v>0.36</v>
      </c>
    </row>
    <row r="3713" spans="1:4" x14ac:dyDescent="0.35">
      <c r="A3713" t="str">
        <f t="shared" si="57"/>
        <v>19Profit-Loss Ratio</v>
      </c>
      <c r="B3713">
        <v>19</v>
      </c>
      <c r="C3713" t="s">
        <v>26</v>
      </c>
      <c r="D3713" s="6">
        <v>2.81</v>
      </c>
    </row>
    <row r="3714" spans="1:4" x14ac:dyDescent="0.35">
      <c r="A3714" t="str">
        <f t="shared" si="57"/>
        <v>19Alpha</v>
      </c>
      <c r="B3714">
        <v>19</v>
      </c>
      <c r="C3714" t="s">
        <v>23</v>
      </c>
      <c r="D3714" s="6">
        <v>2E-3</v>
      </c>
    </row>
    <row r="3715" spans="1:4" x14ac:dyDescent="0.35">
      <c r="A3715" t="str">
        <f t="shared" ref="A3715:A3724" si="58">B3715&amp;C3715</f>
        <v>19Beta</v>
      </c>
      <c r="B3715">
        <v>19</v>
      </c>
      <c r="C3715" t="s">
        <v>24</v>
      </c>
      <c r="D3715" s="6">
        <v>3.2000000000000001E-2</v>
      </c>
    </row>
    <row r="3716" spans="1:4" x14ac:dyDescent="0.35">
      <c r="A3716" t="str">
        <f t="shared" si="58"/>
        <v>19Annual Standard Deviation</v>
      </c>
      <c r="B3716">
        <v>19</v>
      </c>
      <c r="C3716" t="s">
        <v>35</v>
      </c>
      <c r="D3716" s="6">
        <v>8.0000000000000002E-3</v>
      </c>
    </row>
    <row r="3717" spans="1:4" x14ac:dyDescent="0.35">
      <c r="A3717" t="str">
        <f t="shared" si="58"/>
        <v>19Annual Variance</v>
      </c>
      <c r="B3717">
        <v>19</v>
      </c>
      <c r="C3717" t="s">
        <v>36</v>
      </c>
      <c r="D3717" s="6">
        <v>0</v>
      </c>
    </row>
    <row r="3718" spans="1:4" x14ac:dyDescent="0.35">
      <c r="A3718" t="str">
        <f t="shared" si="58"/>
        <v>19Information Ratio</v>
      </c>
      <c r="B3718">
        <v>19</v>
      </c>
      <c r="C3718" t="s">
        <v>37</v>
      </c>
      <c r="D3718" s="6">
        <v>-0.91400000000000003</v>
      </c>
    </row>
    <row r="3719" spans="1:4" x14ac:dyDescent="0.35">
      <c r="A3719" t="str">
        <f t="shared" si="58"/>
        <v>19Tracking Error</v>
      </c>
      <c r="B3719">
        <v>19</v>
      </c>
      <c r="C3719" t="s">
        <v>38</v>
      </c>
      <c r="D3719" s="6">
        <v>6.5000000000000002E-2</v>
      </c>
    </row>
    <row r="3720" spans="1:4" x14ac:dyDescent="0.35">
      <c r="A3720" t="str">
        <f t="shared" si="58"/>
        <v>19Treynor Ratio</v>
      </c>
      <c r="B3720">
        <v>19</v>
      </c>
      <c r="C3720" t="s">
        <v>39</v>
      </c>
      <c r="D3720" s="6">
        <v>0.13500000000000001</v>
      </c>
    </row>
    <row r="3721" spans="1:4" x14ac:dyDescent="0.35">
      <c r="A3721" t="str">
        <f t="shared" si="58"/>
        <v>19Total Fees</v>
      </c>
      <c r="B3721">
        <v>19</v>
      </c>
      <c r="C3721" t="s">
        <v>40</v>
      </c>
      <c r="D3721" s="6">
        <v>0</v>
      </c>
    </row>
    <row r="3722" spans="1:4" x14ac:dyDescent="0.35">
      <c r="A3722" t="str">
        <f t="shared" si="58"/>
        <v>19Estimated Strategy Capacity</v>
      </c>
      <c r="B3722">
        <v>19</v>
      </c>
      <c r="C3722" t="s">
        <v>41</v>
      </c>
      <c r="D3722" s="6">
        <v>190000000</v>
      </c>
    </row>
    <row r="3723" spans="1:4" x14ac:dyDescent="0.35">
      <c r="A3723" t="str">
        <f t="shared" si="58"/>
        <v>19AUDUSD 8G</v>
      </c>
      <c r="B3723">
        <v>19</v>
      </c>
      <c r="C3723" t="s">
        <v>44</v>
      </c>
      <c r="D3723" s="6">
        <v>0</v>
      </c>
    </row>
    <row r="3724" spans="1:4" x14ac:dyDescent="0.35">
      <c r="A3724" t="str">
        <f t="shared" si="58"/>
        <v>21PSR</v>
      </c>
      <c r="B3724">
        <v>21</v>
      </c>
      <c r="C3724" s="9" t="s">
        <v>27</v>
      </c>
      <c r="D3724" s="8">
        <v>1.1939999999999999E-2</v>
      </c>
    </row>
    <row r="3725" spans="1:4" x14ac:dyDescent="0.35">
      <c r="A3725" t="str">
        <f t="shared" ref="A3725:A3745" si="59">B3725&amp;C3725</f>
        <v>21Sharpe Ratio</v>
      </c>
      <c r="B3725">
        <v>21</v>
      </c>
      <c r="C3725" s="9" t="s">
        <v>1</v>
      </c>
      <c r="D3725" s="8">
        <v>-1.3759999999999999</v>
      </c>
    </row>
    <row r="3726" spans="1:4" x14ac:dyDescent="0.35">
      <c r="A3726" t="str">
        <f t="shared" si="59"/>
        <v>21Total Trades</v>
      </c>
      <c r="B3726">
        <v>21</v>
      </c>
      <c r="C3726" s="9" t="s">
        <v>28</v>
      </c>
      <c r="D3726" s="8">
        <v>246</v>
      </c>
    </row>
    <row r="3727" spans="1:4" x14ac:dyDescent="0.35">
      <c r="A3727" t="str">
        <f t="shared" si="59"/>
        <v>21Average Win</v>
      </c>
      <c r="B3727">
        <v>21</v>
      </c>
      <c r="C3727" s="9" t="s">
        <v>25</v>
      </c>
      <c r="D3727" s="8">
        <v>1.4E-3</v>
      </c>
    </row>
    <row r="3728" spans="1:4" x14ac:dyDescent="0.35">
      <c r="A3728" t="str">
        <f t="shared" si="59"/>
        <v>21Average Loss</v>
      </c>
      <c r="B3728">
        <v>21</v>
      </c>
      <c r="C3728" s="9" t="s">
        <v>29</v>
      </c>
      <c r="D3728" s="8">
        <v>-3.3999999999999998E-3</v>
      </c>
    </row>
    <row r="3729" spans="1:4" x14ac:dyDescent="0.35">
      <c r="A3729" t="str">
        <f t="shared" si="59"/>
        <v>21Compounding Annual Return</v>
      </c>
      <c r="B3729">
        <v>21</v>
      </c>
      <c r="C3729" s="9" t="s">
        <v>30</v>
      </c>
      <c r="D3729" s="8">
        <v>-2.0029999999999999E-2</v>
      </c>
    </row>
    <row r="3730" spans="1:4" x14ac:dyDescent="0.35">
      <c r="A3730" t="str">
        <f t="shared" si="59"/>
        <v>21Drawdown</v>
      </c>
      <c r="B3730">
        <v>21</v>
      </c>
      <c r="C3730" s="9" t="s">
        <v>8</v>
      </c>
      <c r="D3730" s="8">
        <v>1.6E-2</v>
      </c>
    </row>
    <row r="3731" spans="1:4" x14ac:dyDescent="0.35">
      <c r="A3731" t="str">
        <f t="shared" si="59"/>
        <v>21Expectancy</v>
      </c>
      <c r="B3731">
        <v>21</v>
      </c>
      <c r="C3731" s="9" t="s">
        <v>31</v>
      </c>
      <c r="D3731" s="8">
        <v>-0.47</v>
      </c>
    </row>
    <row r="3732" spans="1:4" x14ac:dyDescent="0.35">
      <c r="A3732" t="str">
        <f t="shared" si="59"/>
        <v>21Net Profit</v>
      </c>
      <c r="B3732">
        <v>21</v>
      </c>
      <c r="C3732" s="9" t="s">
        <v>32</v>
      </c>
      <c r="D3732" s="8">
        <v>-1.2999999999999999E-2</v>
      </c>
    </row>
    <row r="3733" spans="1:4" x14ac:dyDescent="0.35">
      <c r="A3733" t="str">
        <f t="shared" si="59"/>
        <v>21Loss Rate</v>
      </c>
      <c r="B3733">
        <v>21</v>
      </c>
      <c r="C3733" s="9" t="s">
        <v>33</v>
      </c>
      <c r="D3733" s="8">
        <v>0.62</v>
      </c>
    </row>
    <row r="3734" spans="1:4" x14ac:dyDescent="0.35">
      <c r="A3734" t="str">
        <f t="shared" si="59"/>
        <v>21Win Rate</v>
      </c>
      <c r="B3734">
        <v>21</v>
      </c>
      <c r="C3734" s="9" t="s">
        <v>34</v>
      </c>
      <c r="D3734" s="8">
        <v>0.38</v>
      </c>
    </row>
    <row r="3735" spans="1:4" x14ac:dyDescent="0.35">
      <c r="A3735" t="str">
        <f t="shared" si="59"/>
        <v>21Profit-Loss Ratio</v>
      </c>
      <c r="B3735">
        <v>21</v>
      </c>
      <c r="C3735" s="9" t="s">
        <v>26</v>
      </c>
      <c r="D3735" s="8">
        <v>0.41</v>
      </c>
    </row>
    <row r="3736" spans="1:4" x14ac:dyDescent="0.35">
      <c r="A3736" t="str">
        <f t="shared" si="59"/>
        <v>21Alpha</v>
      </c>
      <c r="B3736">
        <v>21</v>
      </c>
      <c r="C3736" s="9" t="s">
        <v>23</v>
      </c>
      <c r="D3736" s="8">
        <v>-1.4999999999999999E-2</v>
      </c>
    </row>
    <row r="3737" spans="1:4" x14ac:dyDescent="0.35">
      <c r="A3737" t="str">
        <f t="shared" si="59"/>
        <v>21Beta</v>
      </c>
      <c r="B3737">
        <v>21</v>
      </c>
      <c r="C3737" s="9" t="s">
        <v>24</v>
      </c>
      <c r="D3737" s="8">
        <v>2.4E-2</v>
      </c>
    </row>
    <row r="3738" spans="1:4" x14ac:dyDescent="0.35">
      <c r="A3738" t="str">
        <f t="shared" si="59"/>
        <v>21Annual Standard Deviation</v>
      </c>
      <c r="B3738">
        <v>21</v>
      </c>
      <c r="C3738" s="9" t="s">
        <v>35</v>
      </c>
      <c r="D3738" s="8">
        <v>0.01</v>
      </c>
    </row>
    <row r="3739" spans="1:4" x14ac:dyDescent="0.35">
      <c r="A3739" t="str">
        <f t="shared" si="59"/>
        <v>21Annual Variance</v>
      </c>
      <c r="B3739">
        <v>21</v>
      </c>
      <c r="C3739" s="9" t="s">
        <v>36</v>
      </c>
      <c r="D3739" s="8">
        <v>0</v>
      </c>
    </row>
    <row r="3740" spans="1:4" x14ac:dyDescent="0.35">
      <c r="A3740" t="str">
        <f t="shared" si="59"/>
        <v>21Information Ratio</v>
      </c>
      <c r="B3740">
        <v>21</v>
      </c>
      <c r="C3740" s="9" t="s">
        <v>37</v>
      </c>
      <c r="D3740" s="8">
        <v>-1.1779999999999999</v>
      </c>
    </row>
    <row r="3741" spans="1:4" x14ac:dyDescent="0.35">
      <c r="A3741" t="str">
        <f t="shared" si="59"/>
        <v>21Tracking Error</v>
      </c>
      <c r="B3741">
        <v>21</v>
      </c>
      <c r="C3741" s="9" t="s">
        <v>38</v>
      </c>
      <c r="D3741" s="8">
        <v>6.6000000000000003E-2</v>
      </c>
    </row>
    <row r="3742" spans="1:4" x14ac:dyDescent="0.35">
      <c r="A3742" t="str">
        <f t="shared" si="59"/>
        <v>21Treynor Ratio</v>
      </c>
      <c r="B3742">
        <v>21</v>
      </c>
      <c r="C3742" s="9" t="s">
        <v>39</v>
      </c>
      <c r="D3742" s="8">
        <v>-0.56799999999999995</v>
      </c>
    </row>
    <row r="3743" spans="1:4" x14ac:dyDescent="0.35">
      <c r="A3743" t="str">
        <f t="shared" si="59"/>
        <v>21Total Fees</v>
      </c>
      <c r="B3743">
        <v>21</v>
      </c>
      <c r="C3743" s="9" t="s">
        <v>40</v>
      </c>
      <c r="D3743" s="8">
        <v>0</v>
      </c>
    </row>
    <row r="3744" spans="1:4" x14ac:dyDescent="0.35">
      <c r="A3744" t="str">
        <f t="shared" si="59"/>
        <v>21Estimated Strategy Capacity</v>
      </c>
      <c r="B3744">
        <v>21</v>
      </c>
      <c r="C3744" s="9" t="s">
        <v>41</v>
      </c>
      <c r="D3744" s="8">
        <v>2200000000</v>
      </c>
    </row>
    <row r="3745" spans="1:4" x14ac:dyDescent="0.35">
      <c r="A3745" t="str">
        <f t="shared" si="59"/>
        <v>20PSR</v>
      </c>
      <c r="B3745">
        <v>20</v>
      </c>
      <c r="C3745" s="9" t="s">
        <v>27</v>
      </c>
      <c r="D3745" s="8">
        <v>1.4290000000000001E-2</v>
      </c>
    </row>
    <row r="3746" spans="1:4" x14ac:dyDescent="0.35">
      <c r="A3746" t="str">
        <f t="shared" ref="A3746:A3786" si="60">B3746&amp;C3746</f>
        <v>20Sharpe Ratio</v>
      </c>
      <c r="B3746">
        <v>20</v>
      </c>
      <c r="C3746" s="9" t="s">
        <v>1</v>
      </c>
      <c r="D3746" s="8">
        <v>-1.228</v>
      </c>
    </row>
    <row r="3747" spans="1:4" x14ac:dyDescent="0.35">
      <c r="A3747" t="str">
        <f t="shared" si="60"/>
        <v>20Total Trades</v>
      </c>
      <c r="B3747">
        <v>20</v>
      </c>
      <c r="C3747" s="9" t="s">
        <v>28</v>
      </c>
      <c r="D3747" s="8">
        <v>246</v>
      </c>
    </row>
    <row r="3748" spans="1:4" x14ac:dyDescent="0.35">
      <c r="A3748" t="str">
        <f t="shared" si="60"/>
        <v>20Average Win</v>
      </c>
      <c r="B3748">
        <v>20</v>
      </c>
      <c r="C3748" s="9" t="s">
        <v>25</v>
      </c>
      <c r="D3748" s="8">
        <v>1.4999999999999999E-2</v>
      </c>
    </row>
    <row r="3749" spans="1:4" x14ac:dyDescent="0.35">
      <c r="A3749" t="str">
        <f t="shared" si="60"/>
        <v>20Average Loss</v>
      </c>
      <c r="B3749">
        <v>20</v>
      </c>
      <c r="C3749" s="9" t="s">
        <v>29</v>
      </c>
      <c r="D3749" s="8">
        <v>-3.5299999999999998E-2</v>
      </c>
    </row>
    <row r="3750" spans="1:4" x14ac:dyDescent="0.35">
      <c r="A3750" t="str">
        <f t="shared" si="60"/>
        <v>20Compounding Annual Return</v>
      </c>
      <c r="B3750">
        <v>20</v>
      </c>
      <c r="C3750" s="9" t="s">
        <v>30</v>
      </c>
      <c r="D3750" s="8">
        <v>-0.19373000000000001</v>
      </c>
    </row>
    <row r="3751" spans="1:4" x14ac:dyDescent="0.35">
      <c r="A3751" t="str">
        <f t="shared" si="60"/>
        <v>20Drawdown</v>
      </c>
      <c r="B3751">
        <v>20</v>
      </c>
      <c r="C3751" s="9" t="s">
        <v>8</v>
      </c>
      <c r="D3751" s="8">
        <v>0.159</v>
      </c>
    </row>
    <row r="3752" spans="1:4" x14ac:dyDescent="0.35">
      <c r="A3752" t="str">
        <f t="shared" si="60"/>
        <v>20Expectancy</v>
      </c>
      <c r="B3752">
        <v>20</v>
      </c>
      <c r="C3752" s="9" t="s">
        <v>31</v>
      </c>
      <c r="D3752" s="8">
        <v>-0.46500000000000002</v>
      </c>
    </row>
    <row r="3753" spans="1:4" x14ac:dyDescent="0.35">
      <c r="A3753" t="str">
        <f t="shared" si="60"/>
        <v>20Net Profit</v>
      </c>
      <c r="B3753">
        <v>20</v>
      </c>
      <c r="C3753" s="9" t="s">
        <v>32</v>
      </c>
      <c r="D3753" s="8">
        <v>-0.12995000000000001</v>
      </c>
    </row>
    <row r="3754" spans="1:4" x14ac:dyDescent="0.35">
      <c r="A3754" t="str">
        <f t="shared" si="60"/>
        <v>20Loss Rate</v>
      </c>
      <c r="B3754">
        <v>20</v>
      </c>
      <c r="C3754" s="9" t="s">
        <v>33</v>
      </c>
      <c r="D3754" s="8">
        <v>0.62</v>
      </c>
    </row>
    <row r="3755" spans="1:4" x14ac:dyDescent="0.35">
      <c r="A3755" t="str">
        <f t="shared" si="60"/>
        <v>20Win Rate</v>
      </c>
      <c r="B3755">
        <v>20</v>
      </c>
      <c r="C3755" s="9" t="s">
        <v>34</v>
      </c>
      <c r="D3755" s="8">
        <v>0.38</v>
      </c>
    </row>
    <row r="3756" spans="1:4" x14ac:dyDescent="0.35">
      <c r="A3756" t="str">
        <f t="shared" si="60"/>
        <v>20Profit-Loss Ratio</v>
      </c>
      <c r="B3756">
        <v>20</v>
      </c>
      <c r="C3756" s="9" t="s">
        <v>26</v>
      </c>
      <c r="D3756" s="8">
        <v>0.43</v>
      </c>
    </row>
    <row r="3757" spans="1:4" x14ac:dyDescent="0.35">
      <c r="A3757" t="str">
        <f t="shared" si="60"/>
        <v>20Alpha</v>
      </c>
      <c r="B3757">
        <v>20</v>
      </c>
      <c r="C3757" s="9" t="s">
        <v>23</v>
      </c>
      <c r="D3757" s="8">
        <v>-0.15</v>
      </c>
    </row>
    <row r="3758" spans="1:4" x14ac:dyDescent="0.35">
      <c r="A3758" t="str">
        <f t="shared" si="60"/>
        <v>20Beta</v>
      </c>
      <c r="B3758">
        <v>20</v>
      </c>
      <c r="C3758" s="9" t="s">
        <v>24</v>
      </c>
      <c r="D3758" s="8">
        <v>0.25800000000000001</v>
      </c>
    </row>
    <row r="3759" spans="1:4" x14ac:dyDescent="0.35">
      <c r="A3759" t="str">
        <f t="shared" si="60"/>
        <v>20Annual Standard Deviation</v>
      </c>
      <c r="B3759">
        <v>20</v>
      </c>
      <c r="C3759" s="9" t="s">
        <v>35</v>
      </c>
      <c r="D3759" s="8">
        <v>0.109</v>
      </c>
    </row>
    <row r="3760" spans="1:4" x14ac:dyDescent="0.35">
      <c r="A3760" t="str">
        <f t="shared" si="60"/>
        <v>20Annual Variance</v>
      </c>
      <c r="B3760">
        <v>20</v>
      </c>
      <c r="C3760" s="9" t="s">
        <v>36</v>
      </c>
      <c r="D3760" s="8">
        <v>1.2E-2</v>
      </c>
    </row>
    <row r="3761" spans="1:4" x14ac:dyDescent="0.35">
      <c r="A3761" t="str">
        <f t="shared" si="60"/>
        <v>20Information Ratio</v>
      </c>
      <c r="B3761">
        <v>20</v>
      </c>
      <c r="C3761" s="9" t="s">
        <v>37</v>
      </c>
      <c r="D3761" s="8">
        <v>-1.6679999999999999</v>
      </c>
    </row>
    <row r="3762" spans="1:4" x14ac:dyDescent="0.35">
      <c r="A3762" t="str">
        <f t="shared" si="60"/>
        <v>20Tracking Error</v>
      </c>
      <c r="B3762">
        <v>20</v>
      </c>
      <c r="C3762" s="9" t="s">
        <v>38</v>
      </c>
      <c r="D3762" s="8">
        <v>0.11799999999999999</v>
      </c>
    </row>
    <row r="3763" spans="1:4" x14ac:dyDescent="0.35">
      <c r="A3763" t="str">
        <f t="shared" si="60"/>
        <v>20Treynor Ratio</v>
      </c>
      <c r="B3763">
        <v>20</v>
      </c>
      <c r="C3763" s="9" t="s">
        <v>39</v>
      </c>
      <c r="D3763" s="8">
        <v>-0.51700000000000002</v>
      </c>
    </row>
    <row r="3764" spans="1:4" x14ac:dyDescent="0.35">
      <c r="A3764" t="str">
        <f t="shared" si="60"/>
        <v>20Total Fees</v>
      </c>
      <c r="B3764">
        <v>20</v>
      </c>
      <c r="C3764" s="9" t="s">
        <v>40</v>
      </c>
      <c r="D3764" s="8">
        <v>0</v>
      </c>
    </row>
    <row r="3765" spans="1:4" x14ac:dyDescent="0.35">
      <c r="A3765" t="str">
        <f t="shared" si="60"/>
        <v>20Estimated Strategy Capacity</v>
      </c>
      <c r="B3765">
        <v>20</v>
      </c>
      <c r="C3765" s="9" t="s">
        <v>41</v>
      </c>
      <c r="D3765" s="8">
        <v>200000000</v>
      </c>
    </row>
    <row r="3766" spans="1:4" x14ac:dyDescent="0.35">
      <c r="A3766" t="str">
        <f t="shared" si="60"/>
        <v>10PSR</v>
      </c>
      <c r="B3766">
        <v>10</v>
      </c>
      <c r="C3766" s="9" t="s">
        <v>27</v>
      </c>
      <c r="D3766" s="8">
        <v>1.1199999999999999E-3</v>
      </c>
    </row>
    <row r="3767" spans="1:4" x14ac:dyDescent="0.35">
      <c r="A3767" t="str">
        <f t="shared" si="60"/>
        <v>10Sharpe Ratio</v>
      </c>
      <c r="B3767">
        <v>10</v>
      </c>
      <c r="C3767" s="9" t="s">
        <v>1</v>
      </c>
      <c r="D3767" s="8">
        <v>-1.6970000000000001</v>
      </c>
    </row>
    <row r="3768" spans="1:4" x14ac:dyDescent="0.35">
      <c r="A3768" t="str">
        <f t="shared" si="60"/>
        <v>10Total Trades</v>
      </c>
      <c r="B3768">
        <v>10</v>
      </c>
      <c r="C3768" s="9" t="s">
        <v>28</v>
      </c>
      <c r="D3768" s="8">
        <v>403</v>
      </c>
    </row>
    <row r="3769" spans="1:4" x14ac:dyDescent="0.35">
      <c r="A3769" t="str">
        <f t="shared" si="60"/>
        <v>10Average Win</v>
      </c>
      <c r="B3769">
        <v>10</v>
      </c>
      <c r="C3769" s="9" t="s">
        <v>25</v>
      </c>
      <c r="D3769" s="8">
        <v>8.9999999999999998E-4</v>
      </c>
    </row>
    <row r="3770" spans="1:4" x14ac:dyDescent="0.35">
      <c r="A3770" t="str">
        <f t="shared" si="60"/>
        <v>10Average Loss</v>
      </c>
      <c r="B3770">
        <v>10</v>
      </c>
      <c r="C3770" s="9" t="s">
        <v>29</v>
      </c>
      <c r="D3770" s="8">
        <v>-1.6999999999999999E-3</v>
      </c>
    </row>
    <row r="3771" spans="1:4" x14ac:dyDescent="0.35">
      <c r="A3771" t="str">
        <f t="shared" si="60"/>
        <v>10Compounding Annual Return</v>
      </c>
      <c r="B3771">
        <v>10</v>
      </c>
      <c r="C3771" s="9" t="s">
        <v>30</v>
      </c>
      <c r="D3771" s="8">
        <v>-1.515E-2</v>
      </c>
    </row>
    <row r="3772" spans="1:4" x14ac:dyDescent="0.35">
      <c r="A3772" t="str">
        <f t="shared" si="60"/>
        <v>10Drawdown</v>
      </c>
      <c r="B3772">
        <v>10</v>
      </c>
      <c r="C3772" s="9" t="s">
        <v>8</v>
      </c>
      <c r="D3772" s="8">
        <v>1.2E-2</v>
      </c>
    </row>
    <row r="3773" spans="1:4" x14ac:dyDescent="0.35">
      <c r="A3773" t="str">
        <f t="shared" si="60"/>
        <v>10Expectancy</v>
      </c>
      <c r="B3773">
        <v>10</v>
      </c>
      <c r="C3773" s="9" t="s">
        <v>31</v>
      </c>
      <c r="D3773" s="8">
        <v>-0.42299999999999999</v>
      </c>
    </row>
    <row r="3774" spans="1:4" x14ac:dyDescent="0.35">
      <c r="A3774" t="str">
        <f t="shared" si="60"/>
        <v>10Net Profit</v>
      </c>
      <c r="B3774">
        <v>10</v>
      </c>
      <c r="C3774" s="9" t="s">
        <v>32</v>
      </c>
      <c r="D3774" s="8">
        <v>-9.8200000000000006E-3</v>
      </c>
    </row>
    <row r="3775" spans="1:4" x14ac:dyDescent="0.35">
      <c r="A3775" t="str">
        <f t="shared" si="60"/>
        <v>10Loss Rate</v>
      </c>
      <c r="B3775">
        <v>10</v>
      </c>
      <c r="C3775" s="9" t="s">
        <v>33</v>
      </c>
      <c r="D3775" s="8">
        <v>0.62</v>
      </c>
    </row>
    <row r="3776" spans="1:4" x14ac:dyDescent="0.35">
      <c r="A3776" t="str">
        <f t="shared" si="60"/>
        <v>10Win Rate</v>
      </c>
      <c r="B3776">
        <v>10</v>
      </c>
      <c r="C3776" s="9" t="s">
        <v>34</v>
      </c>
      <c r="D3776" s="8">
        <v>0.38</v>
      </c>
    </row>
    <row r="3777" spans="1:4" x14ac:dyDescent="0.35">
      <c r="A3777" t="str">
        <f t="shared" si="60"/>
        <v>10Profit-Loss Ratio</v>
      </c>
      <c r="B3777">
        <v>10</v>
      </c>
      <c r="C3777" s="9" t="s">
        <v>26</v>
      </c>
      <c r="D3777" s="8">
        <v>0.5</v>
      </c>
    </row>
    <row r="3778" spans="1:4" x14ac:dyDescent="0.35">
      <c r="A3778" t="str">
        <f t="shared" si="60"/>
        <v>10Alpha</v>
      </c>
      <c r="B3778">
        <v>10</v>
      </c>
      <c r="C3778" s="9" t="s">
        <v>23</v>
      </c>
      <c r="D3778" s="8">
        <v>-1.0999999999999999E-2</v>
      </c>
    </row>
    <row r="3779" spans="1:4" x14ac:dyDescent="0.35">
      <c r="A3779" t="str">
        <f t="shared" si="60"/>
        <v>10Beta</v>
      </c>
      <c r="B3779">
        <v>10</v>
      </c>
      <c r="C3779" s="9" t="s">
        <v>24</v>
      </c>
      <c r="D3779" s="8">
        <v>7.0000000000000001E-3</v>
      </c>
    </row>
    <row r="3780" spans="1:4" x14ac:dyDescent="0.35">
      <c r="A3780" t="str">
        <f t="shared" si="60"/>
        <v>10Annual Standard Deviation</v>
      </c>
      <c r="B3780">
        <v>10</v>
      </c>
      <c r="C3780" s="9" t="s">
        <v>35</v>
      </c>
      <c r="D3780" s="8">
        <v>6.0000000000000001E-3</v>
      </c>
    </row>
    <row r="3781" spans="1:4" x14ac:dyDescent="0.35">
      <c r="A3781" t="str">
        <f t="shared" si="60"/>
        <v>10Annual Variance</v>
      </c>
      <c r="B3781">
        <v>10</v>
      </c>
      <c r="C3781" s="9" t="s">
        <v>36</v>
      </c>
      <c r="D3781" s="8">
        <v>0</v>
      </c>
    </row>
    <row r="3782" spans="1:4" x14ac:dyDescent="0.35">
      <c r="A3782" t="str">
        <f t="shared" si="60"/>
        <v>10Information Ratio</v>
      </c>
      <c r="B3782">
        <v>10</v>
      </c>
      <c r="C3782" s="9" t="s">
        <v>37</v>
      </c>
      <c r="D3782" s="8">
        <v>-1.115</v>
      </c>
    </row>
    <row r="3783" spans="1:4" x14ac:dyDescent="0.35">
      <c r="A3783" t="str">
        <f t="shared" si="60"/>
        <v>10Tracking Error</v>
      </c>
      <c r="B3783">
        <v>10</v>
      </c>
      <c r="C3783" s="9" t="s">
        <v>38</v>
      </c>
      <c r="D3783" s="8">
        <v>6.7000000000000004E-2</v>
      </c>
    </row>
    <row r="3784" spans="1:4" x14ac:dyDescent="0.35">
      <c r="A3784" t="str">
        <f t="shared" si="60"/>
        <v>10Treynor Ratio</v>
      </c>
      <c r="B3784">
        <v>10</v>
      </c>
      <c r="C3784" s="9" t="s">
        <v>39</v>
      </c>
      <c r="D3784" s="8">
        <v>-1.4339999999999999</v>
      </c>
    </row>
    <row r="3785" spans="1:4" x14ac:dyDescent="0.35">
      <c r="A3785" t="str">
        <f t="shared" si="60"/>
        <v>10Total Fees</v>
      </c>
      <c r="B3785">
        <v>10</v>
      </c>
      <c r="C3785" s="9" t="s">
        <v>40</v>
      </c>
      <c r="D3785" s="8">
        <v>0</v>
      </c>
    </row>
    <row r="3786" spans="1:4" x14ac:dyDescent="0.35">
      <c r="A3786" t="str">
        <f t="shared" si="60"/>
        <v>10Estimated Strategy Capacity</v>
      </c>
      <c r="B3786">
        <v>10</v>
      </c>
      <c r="C3786" s="9" t="s">
        <v>41</v>
      </c>
      <c r="D3786" s="8">
        <v>280000000</v>
      </c>
    </row>
    <row r="3787" spans="1:4" x14ac:dyDescent="0.35">
      <c r="A3787" t="str">
        <f t="shared" ref="A3787:A3807" si="61">B3787&amp;C3787</f>
        <v>11PSR</v>
      </c>
      <c r="B3787">
        <v>11</v>
      </c>
      <c r="C3787" s="9" t="s">
        <v>27</v>
      </c>
      <c r="D3787" s="8">
        <v>1.42E-3</v>
      </c>
    </row>
    <row r="3788" spans="1:4" x14ac:dyDescent="0.35">
      <c r="A3788" t="str">
        <f t="shared" si="61"/>
        <v>11Sharpe Ratio</v>
      </c>
      <c r="B3788">
        <v>11</v>
      </c>
      <c r="C3788" s="9" t="s">
        <v>1</v>
      </c>
      <c r="D3788" s="8">
        <v>-1.587</v>
      </c>
    </row>
    <row r="3789" spans="1:4" x14ac:dyDescent="0.35">
      <c r="A3789" t="str">
        <f t="shared" si="61"/>
        <v>11Total Trades</v>
      </c>
      <c r="B3789">
        <v>11</v>
      </c>
      <c r="C3789" s="9" t="s">
        <v>28</v>
      </c>
      <c r="D3789" s="8">
        <v>403</v>
      </c>
    </row>
    <row r="3790" spans="1:4" x14ac:dyDescent="0.35">
      <c r="A3790" t="str">
        <f t="shared" si="61"/>
        <v>11Average Win</v>
      </c>
      <c r="B3790">
        <v>11</v>
      </c>
      <c r="C3790" s="9" t="s">
        <v>25</v>
      </c>
      <c r="D3790" s="8">
        <v>9.2999999999999992E-3</v>
      </c>
    </row>
    <row r="3791" spans="1:4" x14ac:dyDescent="0.35">
      <c r="A3791" t="str">
        <f t="shared" si="61"/>
        <v>11Average Loss</v>
      </c>
      <c r="B3791">
        <v>11</v>
      </c>
      <c r="C3791" s="9" t="s">
        <v>29</v>
      </c>
      <c r="D3791" s="8">
        <v>-1.8100000000000002E-2</v>
      </c>
    </row>
    <row r="3792" spans="1:4" x14ac:dyDescent="0.35">
      <c r="A3792" t="str">
        <f t="shared" si="61"/>
        <v>11Compounding Annual Return</v>
      </c>
      <c r="B3792">
        <v>11</v>
      </c>
      <c r="C3792" s="9" t="s">
        <v>30</v>
      </c>
      <c r="D3792" s="8">
        <v>-0.14777999999999999</v>
      </c>
    </row>
    <row r="3793" spans="1:4" x14ac:dyDescent="0.35">
      <c r="A3793" t="str">
        <f t="shared" si="61"/>
        <v>11Drawdown</v>
      </c>
      <c r="B3793">
        <v>11</v>
      </c>
      <c r="C3793" s="9" t="s">
        <v>8</v>
      </c>
      <c r="D3793" s="8">
        <v>0.11799999999999999</v>
      </c>
    </row>
    <row r="3794" spans="1:4" x14ac:dyDescent="0.35">
      <c r="A3794" t="str">
        <f t="shared" si="61"/>
        <v>11Expectancy</v>
      </c>
      <c r="B3794">
        <v>11</v>
      </c>
      <c r="C3794" s="9" t="s">
        <v>31</v>
      </c>
      <c r="D3794" s="8">
        <v>-0.41799999999999998</v>
      </c>
    </row>
    <row r="3795" spans="1:4" x14ac:dyDescent="0.35">
      <c r="A3795" t="str">
        <f t="shared" si="61"/>
        <v>11Net Profit</v>
      </c>
      <c r="B3795">
        <v>11</v>
      </c>
      <c r="C3795" s="9" t="s">
        <v>32</v>
      </c>
      <c r="D3795" s="8">
        <v>-9.8210000000000006E-2</v>
      </c>
    </row>
    <row r="3796" spans="1:4" x14ac:dyDescent="0.35">
      <c r="A3796" t="str">
        <f t="shared" si="61"/>
        <v>11Loss Rate</v>
      </c>
      <c r="B3796">
        <v>11</v>
      </c>
      <c r="C3796" s="9" t="s">
        <v>33</v>
      </c>
      <c r="D3796" s="8">
        <v>0.62</v>
      </c>
    </row>
    <row r="3797" spans="1:4" x14ac:dyDescent="0.35">
      <c r="A3797" t="str">
        <f t="shared" si="61"/>
        <v>11Win Rate</v>
      </c>
      <c r="B3797">
        <v>11</v>
      </c>
      <c r="C3797" s="9" t="s">
        <v>34</v>
      </c>
      <c r="D3797" s="8">
        <v>0.38</v>
      </c>
    </row>
    <row r="3798" spans="1:4" x14ac:dyDescent="0.35">
      <c r="A3798" t="str">
        <f t="shared" si="61"/>
        <v>11Profit-Loss Ratio</v>
      </c>
      <c r="B3798">
        <v>11</v>
      </c>
      <c r="C3798" s="9" t="s">
        <v>26</v>
      </c>
      <c r="D3798" s="8">
        <v>0.51</v>
      </c>
    </row>
    <row r="3799" spans="1:4" x14ac:dyDescent="0.35">
      <c r="A3799" t="str">
        <f t="shared" si="61"/>
        <v>11Alpha</v>
      </c>
      <c r="B3799">
        <v>11</v>
      </c>
      <c r="C3799" s="9" t="s">
        <v>23</v>
      </c>
      <c r="D3799" s="8">
        <v>-0.108</v>
      </c>
    </row>
    <row r="3800" spans="1:4" x14ac:dyDescent="0.35">
      <c r="A3800" t="str">
        <f t="shared" si="61"/>
        <v>11Beta</v>
      </c>
      <c r="B3800">
        <v>11</v>
      </c>
      <c r="C3800" s="9" t="s">
        <v>24</v>
      </c>
      <c r="D3800" s="8">
        <v>7.5999999999999998E-2</v>
      </c>
    </row>
    <row r="3801" spans="1:4" x14ac:dyDescent="0.35">
      <c r="A3801" t="str">
        <f t="shared" si="61"/>
        <v>11Annual Standard Deviation</v>
      </c>
      <c r="B3801">
        <v>11</v>
      </c>
      <c r="C3801" s="9" t="s">
        <v>35</v>
      </c>
      <c r="D3801" s="8">
        <v>6.5000000000000002E-2</v>
      </c>
    </row>
    <row r="3802" spans="1:4" x14ac:dyDescent="0.35">
      <c r="A3802" t="str">
        <f t="shared" si="61"/>
        <v>11Annual Variance</v>
      </c>
      <c r="B3802">
        <v>11</v>
      </c>
      <c r="C3802" s="9" t="s">
        <v>36</v>
      </c>
      <c r="D3802" s="8">
        <v>4.0000000000000001E-3</v>
      </c>
    </row>
    <row r="3803" spans="1:4" x14ac:dyDescent="0.35">
      <c r="A3803" t="str">
        <f t="shared" si="61"/>
        <v>11Information Ratio</v>
      </c>
      <c r="B3803">
        <v>11</v>
      </c>
      <c r="C3803" s="9" t="s">
        <v>37</v>
      </c>
      <c r="D3803" s="8">
        <v>-1.865</v>
      </c>
    </row>
    <row r="3804" spans="1:4" x14ac:dyDescent="0.35">
      <c r="A3804" t="str">
        <f t="shared" si="61"/>
        <v>11Tracking Error</v>
      </c>
      <c r="B3804">
        <v>11</v>
      </c>
      <c r="C3804" s="9" t="s">
        <v>38</v>
      </c>
      <c r="D3804" s="8">
        <v>8.8999999999999996E-2</v>
      </c>
    </row>
    <row r="3805" spans="1:4" x14ac:dyDescent="0.35">
      <c r="A3805" t="str">
        <f t="shared" si="61"/>
        <v>11Treynor Ratio</v>
      </c>
      <c r="B3805">
        <v>11</v>
      </c>
      <c r="C3805" s="9" t="s">
        <v>39</v>
      </c>
      <c r="D3805" s="8">
        <v>-1.3480000000000001</v>
      </c>
    </row>
    <row r="3806" spans="1:4" x14ac:dyDescent="0.35">
      <c r="A3806" t="str">
        <f t="shared" si="61"/>
        <v>11Total Fees</v>
      </c>
      <c r="B3806">
        <v>11</v>
      </c>
      <c r="C3806" s="9" t="s">
        <v>40</v>
      </c>
      <c r="D3806" s="8">
        <v>0</v>
      </c>
    </row>
    <row r="3807" spans="1:4" x14ac:dyDescent="0.35">
      <c r="A3807" t="str">
        <f t="shared" si="61"/>
        <v>11Estimated Strategy Capacity</v>
      </c>
      <c r="B3807">
        <v>11</v>
      </c>
      <c r="C3807" s="9" t="s">
        <v>41</v>
      </c>
      <c r="D3807" s="8">
        <v>29000000</v>
      </c>
    </row>
    <row r="3808" spans="1:4" x14ac:dyDescent="0.35">
      <c r="A3808" t="str">
        <f t="shared" ref="A3808:A3828" si="62">B3808&amp;C3808</f>
        <v>12PSR</v>
      </c>
      <c r="B3808">
        <v>12</v>
      </c>
      <c r="C3808" s="9" t="s">
        <v>27</v>
      </c>
      <c r="D3808" s="8">
        <v>4.0800000000000003E-3</v>
      </c>
    </row>
    <row r="3809" spans="1:4" x14ac:dyDescent="0.35">
      <c r="A3809" t="str">
        <f t="shared" si="62"/>
        <v>12Sharpe Ratio</v>
      </c>
      <c r="B3809">
        <v>12</v>
      </c>
      <c r="C3809" s="9" t="s">
        <v>1</v>
      </c>
      <c r="D3809" s="8">
        <v>-1.101</v>
      </c>
    </row>
    <row r="3810" spans="1:4" x14ac:dyDescent="0.35">
      <c r="A3810" t="str">
        <f t="shared" si="62"/>
        <v>12Total Trades</v>
      </c>
      <c r="B3810">
        <v>12</v>
      </c>
      <c r="C3810" s="9" t="s">
        <v>28</v>
      </c>
      <c r="D3810" s="8">
        <v>392</v>
      </c>
    </row>
    <row r="3811" spans="1:4" x14ac:dyDescent="0.35">
      <c r="A3811" t="str">
        <f t="shared" si="62"/>
        <v>12Average Win</v>
      </c>
      <c r="B3811">
        <v>12</v>
      </c>
      <c r="C3811" s="9" t="s">
        <v>25</v>
      </c>
      <c r="D3811" s="8">
        <v>6.8599999999999994E-2</v>
      </c>
    </row>
    <row r="3812" spans="1:4" x14ac:dyDescent="0.35">
      <c r="A3812" t="str">
        <f t="shared" si="62"/>
        <v>12Average Loss</v>
      </c>
      <c r="B3812">
        <v>12</v>
      </c>
      <c r="C3812" s="9" t="s">
        <v>29</v>
      </c>
      <c r="D3812" s="8">
        <v>-9.8900000000000002E-2</v>
      </c>
    </row>
    <row r="3813" spans="1:4" x14ac:dyDescent="0.35">
      <c r="A3813" t="str">
        <f t="shared" si="62"/>
        <v>12Compounding Annual Return</v>
      </c>
      <c r="B3813">
        <v>12</v>
      </c>
      <c r="C3813" s="9" t="s">
        <v>30</v>
      </c>
      <c r="D3813" s="8">
        <v>-0.63749</v>
      </c>
    </row>
    <row r="3814" spans="1:4" x14ac:dyDescent="0.35">
      <c r="A3814" t="str">
        <f t="shared" si="62"/>
        <v>12Drawdown</v>
      </c>
      <c r="B3814">
        <v>12</v>
      </c>
      <c r="C3814" s="9" t="s">
        <v>8</v>
      </c>
      <c r="D3814" s="8">
        <v>0.56899999999999995</v>
      </c>
    </row>
    <row r="3815" spans="1:4" x14ac:dyDescent="0.35">
      <c r="A3815" t="str">
        <f t="shared" si="62"/>
        <v>12Expectancy</v>
      </c>
      <c r="B3815">
        <v>12</v>
      </c>
      <c r="C3815" s="9" t="s">
        <v>31</v>
      </c>
      <c r="D3815" s="8">
        <v>-0.39500000000000002</v>
      </c>
    </row>
    <row r="3816" spans="1:4" x14ac:dyDescent="0.35">
      <c r="A3816" t="str">
        <f t="shared" si="62"/>
        <v>12Net Profit</v>
      </c>
      <c r="B3816">
        <v>12</v>
      </c>
      <c r="C3816" s="9" t="s">
        <v>32</v>
      </c>
      <c r="D3816" s="8">
        <v>-0.48105999999999999</v>
      </c>
    </row>
    <row r="3817" spans="1:4" x14ac:dyDescent="0.35">
      <c r="A3817" t="str">
        <f t="shared" si="62"/>
        <v>12Loss Rate</v>
      </c>
      <c r="B3817">
        <v>12</v>
      </c>
      <c r="C3817" s="9" t="s">
        <v>33</v>
      </c>
      <c r="D3817" s="8">
        <v>0.64</v>
      </c>
    </row>
    <row r="3818" spans="1:4" x14ac:dyDescent="0.35">
      <c r="A3818" t="str">
        <f t="shared" si="62"/>
        <v>12Win Rate</v>
      </c>
      <c r="B3818">
        <v>12</v>
      </c>
      <c r="C3818" s="9" t="s">
        <v>34</v>
      </c>
      <c r="D3818" s="8">
        <v>0.36</v>
      </c>
    </row>
    <row r="3819" spans="1:4" x14ac:dyDescent="0.35">
      <c r="A3819" t="str">
        <f t="shared" si="62"/>
        <v>12Profit-Loss Ratio</v>
      </c>
      <c r="B3819">
        <v>12</v>
      </c>
      <c r="C3819" s="9" t="s">
        <v>26</v>
      </c>
      <c r="D3819" s="8">
        <v>0.69</v>
      </c>
    </row>
    <row r="3820" spans="1:4" x14ac:dyDescent="0.35">
      <c r="A3820" t="str">
        <f t="shared" si="62"/>
        <v>12Alpha</v>
      </c>
      <c r="B3820">
        <v>12</v>
      </c>
      <c r="C3820" s="9" t="s">
        <v>23</v>
      </c>
      <c r="D3820" s="8">
        <v>-0.48</v>
      </c>
    </row>
    <row r="3821" spans="1:4" x14ac:dyDescent="0.35">
      <c r="A3821" t="str">
        <f t="shared" si="62"/>
        <v>12Beta</v>
      </c>
      <c r="B3821">
        <v>12</v>
      </c>
      <c r="C3821" s="9" t="s">
        <v>24</v>
      </c>
      <c r="D3821" s="8">
        <v>0.33700000000000002</v>
      </c>
    </row>
    <row r="3822" spans="1:4" x14ac:dyDescent="0.35">
      <c r="A3822" t="str">
        <f t="shared" si="62"/>
        <v>12Annual Standard Deviation</v>
      </c>
      <c r="B3822">
        <v>12</v>
      </c>
      <c r="C3822" s="9" t="s">
        <v>35</v>
      </c>
      <c r="D3822" s="8">
        <v>0.41599999999999998</v>
      </c>
    </row>
    <row r="3823" spans="1:4" x14ac:dyDescent="0.35">
      <c r="A3823" t="str">
        <f t="shared" si="62"/>
        <v>12Annual Variance</v>
      </c>
      <c r="B3823">
        <v>12</v>
      </c>
      <c r="C3823" s="9" t="s">
        <v>36</v>
      </c>
      <c r="D3823" s="8">
        <v>0.17299999999999999</v>
      </c>
    </row>
    <row r="3824" spans="1:4" x14ac:dyDescent="0.35">
      <c r="A3824" t="str">
        <f t="shared" si="62"/>
        <v>12Information Ratio</v>
      </c>
      <c r="B3824">
        <v>12</v>
      </c>
      <c r="C3824" s="9" t="s">
        <v>37</v>
      </c>
      <c r="D3824" s="8">
        <v>-1.2490000000000001</v>
      </c>
    </row>
    <row r="3825" spans="1:4" x14ac:dyDescent="0.35">
      <c r="A3825" t="str">
        <f t="shared" si="62"/>
        <v>12Tracking Error</v>
      </c>
      <c r="B3825">
        <v>12</v>
      </c>
      <c r="C3825" s="9" t="s">
        <v>38</v>
      </c>
      <c r="D3825" s="8">
        <v>0.41799999999999998</v>
      </c>
    </row>
    <row r="3826" spans="1:4" x14ac:dyDescent="0.35">
      <c r="A3826" t="str">
        <f t="shared" si="62"/>
        <v>12Treynor Ratio</v>
      </c>
      <c r="B3826">
        <v>12</v>
      </c>
      <c r="C3826" s="9" t="s">
        <v>39</v>
      </c>
      <c r="D3826" s="8">
        <v>-1.36</v>
      </c>
    </row>
    <row r="3827" spans="1:4" x14ac:dyDescent="0.35">
      <c r="A3827" t="str">
        <f t="shared" si="62"/>
        <v>12Total Fees</v>
      </c>
      <c r="B3827">
        <v>12</v>
      </c>
      <c r="C3827" s="9" t="s">
        <v>40</v>
      </c>
      <c r="D3827" s="8">
        <v>0</v>
      </c>
    </row>
    <row r="3828" spans="1:4" x14ac:dyDescent="0.35">
      <c r="A3828" t="str">
        <f t="shared" si="62"/>
        <v>12Estimated Strategy Capacity</v>
      </c>
      <c r="B3828">
        <v>12</v>
      </c>
      <c r="C3828" s="9" t="s">
        <v>41</v>
      </c>
      <c r="D3828" s="8">
        <v>7000000</v>
      </c>
    </row>
    <row r="3829" spans="1:4" x14ac:dyDescent="0.35">
      <c r="A3829" t="str">
        <f t="shared" ref="A3829:A3849" si="63">B3829&amp;C3829</f>
        <v>13PSR</v>
      </c>
      <c r="B3829">
        <v>13</v>
      </c>
      <c r="C3829" s="9" t="s">
        <v>27</v>
      </c>
      <c r="D3829" s="8">
        <v>2.4680000000000001E-2</v>
      </c>
    </row>
    <row r="3830" spans="1:4" x14ac:dyDescent="0.35">
      <c r="A3830" t="str">
        <f t="shared" si="63"/>
        <v>13Sharpe Ratio</v>
      </c>
      <c r="B3830">
        <v>13</v>
      </c>
      <c r="C3830" s="9" t="s">
        <v>1</v>
      </c>
      <c r="D3830" s="8">
        <v>-1</v>
      </c>
    </row>
    <row r="3831" spans="1:4" x14ac:dyDescent="0.35">
      <c r="A3831" t="str">
        <f t="shared" si="63"/>
        <v>13Total Trades</v>
      </c>
      <c r="B3831">
        <v>13</v>
      </c>
      <c r="C3831" s="9" t="s">
        <v>28</v>
      </c>
      <c r="D3831" s="8">
        <v>250</v>
      </c>
    </row>
    <row r="3832" spans="1:4" x14ac:dyDescent="0.35">
      <c r="A3832" t="str">
        <f t="shared" si="63"/>
        <v>13Average Win</v>
      </c>
      <c r="B3832">
        <v>13</v>
      </c>
      <c r="C3832" s="9" t="s">
        <v>25</v>
      </c>
      <c r="D3832" s="8">
        <v>1.8E-3</v>
      </c>
    </row>
    <row r="3833" spans="1:4" x14ac:dyDescent="0.35">
      <c r="A3833" t="str">
        <f t="shared" si="63"/>
        <v>13Average Loss</v>
      </c>
      <c r="B3833">
        <v>13</v>
      </c>
      <c r="C3833" s="9" t="s">
        <v>29</v>
      </c>
      <c r="D3833" s="8">
        <v>-4.1000000000000003E-3</v>
      </c>
    </row>
    <row r="3834" spans="1:4" x14ac:dyDescent="0.35">
      <c r="A3834" t="str">
        <f t="shared" si="63"/>
        <v>13Compounding Annual Return</v>
      </c>
      <c r="B3834">
        <v>13</v>
      </c>
      <c r="C3834" s="9" t="s">
        <v>30</v>
      </c>
      <c r="D3834" s="8">
        <v>-1.4409999999999999E-2</v>
      </c>
    </row>
    <row r="3835" spans="1:4" x14ac:dyDescent="0.35">
      <c r="A3835" t="str">
        <f t="shared" si="63"/>
        <v>13Drawdown</v>
      </c>
      <c r="B3835">
        <v>13</v>
      </c>
      <c r="C3835" s="9" t="s">
        <v>8</v>
      </c>
      <c r="D3835" s="8">
        <v>1.7000000000000001E-2</v>
      </c>
    </row>
    <row r="3836" spans="1:4" x14ac:dyDescent="0.35">
      <c r="A3836" t="str">
        <f t="shared" si="63"/>
        <v>13Expectancy</v>
      </c>
      <c r="B3836">
        <v>13</v>
      </c>
      <c r="C3836" s="9" t="s">
        <v>31</v>
      </c>
      <c r="D3836" s="8">
        <v>-0.27900000000000003</v>
      </c>
    </row>
    <row r="3837" spans="1:4" x14ac:dyDescent="0.35">
      <c r="A3837" t="str">
        <f t="shared" si="63"/>
        <v>13Net Profit</v>
      </c>
      <c r="B3837">
        <v>13</v>
      </c>
      <c r="C3837" s="9" t="s">
        <v>32</v>
      </c>
      <c r="D3837" s="8">
        <v>-9.3399999999999993E-3</v>
      </c>
    </row>
    <row r="3838" spans="1:4" x14ac:dyDescent="0.35">
      <c r="A3838" t="str">
        <f t="shared" si="63"/>
        <v>13Loss Rate</v>
      </c>
      <c r="B3838">
        <v>13</v>
      </c>
      <c r="C3838" s="9" t="s">
        <v>33</v>
      </c>
      <c r="D3838" s="8">
        <v>0.5</v>
      </c>
    </row>
    <row r="3839" spans="1:4" x14ac:dyDescent="0.35">
      <c r="A3839" t="str">
        <f t="shared" si="63"/>
        <v>13Win Rate</v>
      </c>
      <c r="B3839">
        <v>13</v>
      </c>
      <c r="C3839" s="9" t="s">
        <v>34</v>
      </c>
      <c r="D3839" s="8">
        <v>0.5</v>
      </c>
    </row>
    <row r="3840" spans="1:4" x14ac:dyDescent="0.35">
      <c r="A3840" t="str">
        <f t="shared" si="63"/>
        <v>13Profit-Loss Ratio</v>
      </c>
      <c r="B3840">
        <v>13</v>
      </c>
      <c r="C3840" s="9" t="s">
        <v>26</v>
      </c>
      <c r="D3840" s="8">
        <v>0.44</v>
      </c>
    </row>
    <row r="3841" spans="1:4" x14ac:dyDescent="0.35">
      <c r="A3841" t="str">
        <f t="shared" si="63"/>
        <v>13Alpha</v>
      </c>
      <c r="B3841">
        <v>13</v>
      </c>
      <c r="C3841" s="9" t="s">
        <v>23</v>
      </c>
      <c r="D3841" s="8">
        <v>-1.0999999999999999E-2</v>
      </c>
    </row>
    <row r="3842" spans="1:4" x14ac:dyDescent="0.35">
      <c r="A3842" t="str">
        <f t="shared" si="63"/>
        <v>13Beta</v>
      </c>
      <c r="B3842">
        <v>13</v>
      </c>
      <c r="C3842" s="9" t="s">
        <v>24</v>
      </c>
      <c r="D3842" s="8">
        <v>2.3E-2</v>
      </c>
    </row>
    <row r="3843" spans="1:4" x14ac:dyDescent="0.35">
      <c r="A3843" t="str">
        <f t="shared" si="63"/>
        <v>13Annual Standard Deviation</v>
      </c>
      <c r="B3843">
        <v>13</v>
      </c>
      <c r="C3843" s="9" t="s">
        <v>35</v>
      </c>
      <c r="D3843" s="8">
        <v>0.01</v>
      </c>
    </row>
    <row r="3844" spans="1:4" x14ac:dyDescent="0.35">
      <c r="A3844" t="str">
        <f t="shared" si="63"/>
        <v>13Annual Variance</v>
      </c>
      <c r="B3844">
        <v>13</v>
      </c>
      <c r="C3844" s="9" t="s">
        <v>36</v>
      </c>
      <c r="D3844" s="8">
        <v>0</v>
      </c>
    </row>
    <row r="3845" spans="1:4" x14ac:dyDescent="0.35">
      <c r="A3845" t="str">
        <f t="shared" si="63"/>
        <v>13Information Ratio</v>
      </c>
      <c r="B3845">
        <v>13</v>
      </c>
      <c r="C3845" s="9" t="s">
        <v>37</v>
      </c>
      <c r="D3845" s="8">
        <v>-1.117</v>
      </c>
    </row>
    <row r="3846" spans="1:4" x14ac:dyDescent="0.35">
      <c r="A3846" t="str">
        <f t="shared" si="63"/>
        <v>13Tracking Error</v>
      </c>
      <c r="B3846">
        <v>13</v>
      </c>
      <c r="C3846" s="9" t="s">
        <v>38</v>
      </c>
      <c r="D3846" s="8">
        <v>6.6000000000000003E-2</v>
      </c>
    </row>
    <row r="3847" spans="1:4" x14ac:dyDescent="0.35">
      <c r="A3847" t="str">
        <f t="shared" si="63"/>
        <v>13Treynor Ratio</v>
      </c>
      <c r="B3847">
        <v>13</v>
      </c>
      <c r="C3847" s="9" t="s">
        <v>39</v>
      </c>
      <c r="D3847" s="8">
        <v>-0.42499999999999999</v>
      </c>
    </row>
    <row r="3848" spans="1:4" x14ac:dyDescent="0.35">
      <c r="A3848" t="str">
        <f t="shared" si="63"/>
        <v>13Total Fees</v>
      </c>
      <c r="B3848">
        <v>13</v>
      </c>
      <c r="C3848" s="9" t="s">
        <v>40</v>
      </c>
      <c r="D3848" s="8">
        <v>0</v>
      </c>
    </row>
    <row r="3849" spans="1:4" x14ac:dyDescent="0.35">
      <c r="A3849" t="str">
        <f t="shared" si="63"/>
        <v>13Estimated Strategy Capacity</v>
      </c>
      <c r="B3849">
        <v>13</v>
      </c>
      <c r="C3849" s="9" t="s">
        <v>41</v>
      </c>
      <c r="D3849" s="8">
        <v>730000000</v>
      </c>
    </row>
    <row r="3850" spans="1:4" x14ac:dyDescent="0.35">
      <c r="A3850" t="str">
        <f t="shared" ref="A3850:A3870" si="64">B3850&amp;C3850</f>
        <v>14PSR</v>
      </c>
      <c r="B3850">
        <v>14</v>
      </c>
      <c r="C3850" s="9" t="s">
        <v>27</v>
      </c>
      <c r="D3850" s="8">
        <v>2.8649999999999998E-2</v>
      </c>
    </row>
    <row r="3851" spans="1:4" x14ac:dyDescent="0.35">
      <c r="A3851" t="str">
        <f t="shared" si="64"/>
        <v>14Sharpe Ratio</v>
      </c>
      <c r="B3851">
        <v>14</v>
      </c>
      <c r="C3851" s="9" t="s">
        <v>1</v>
      </c>
      <c r="D3851" s="8">
        <v>-0.90300000000000002</v>
      </c>
    </row>
    <row r="3852" spans="1:4" x14ac:dyDescent="0.35">
      <c r="A3852" t="str">
        <f t="shared" si="64"/>
        <v>14Total Trades</v>
      </c>
      <c r="B3852">
        <v>14</v>
      </c>
      <c r="C3852" s="9" t="s">
        <v>28</v>
      </c>
      <c r="D3852" s="8">
        <v>250</v>
      </c>
    </row>
    <row r="3853" spans="1:4" x14ac:dyDescent="0.35">
      <c r="A3853" t="str">
        <f t="shared" si="64"/>
        <v>14Average Win</v>
      </c>
      <c r="B3853">
        <v>14</v>
      </c>
      <c r="C3853" s="9" t="s">
        <v>25</v>
      </c>
      <c r="D3853" s="8">
        <v>1.9199999999999998E-2</v>
      </c>
    </row>
    <row r="3854" spans="1:4" x14ac:dyDescent="0.35">
      <c r="A3854" t="str">
        <f t="shared" si="64"/>
        <v>14Average Loss</v>
      </c>
      <c r="B3854">
        <v>14</v>
      </c>
      <c r="C3854" s="9" t="s">
        <v>29</v>
      </c>
      <c r="D3854" s="8">
        <v>-4.1399999999999999E-2</v>
      </c>
    </row>
    <row r="3855" spans="1:4" x14ac:dyDescent="0.35">
      <c r="A3855" t="str">
        <f t="shared" si="64"/>
        <v>14Compounding Annual Return</v>
      </c>
      <c r="B3855">
        <v>14</v>
      </c>
      <c r="C3855" s="9" t="s">
        <v>30</v>
      </c>
      <c r="D3855" s="8">
        <v>-0.14069999999999999</v>
      </c>
    </row>
    <row r="3856" spans="1:4" x14ac:dyDescent="0.35">
      <c r="A3856" t="str">
        <f t="shared" si="64"/>
        <v>14Drawdown</v>
      </c>
      <c r="B3856">
        <v>14</v>
      </c>
      <c r="C3856" s="9" t="s">
        <v>8</v>
      </c>
      <c r="D3856" s="8">
        <v>0.16700000000000001</v>
      </c>
    </row>
    <row r="3857" spans="1:4" x14ac:dyDescent="0.35">
      <c r="A3857" t="str">
        <f t="shared" si="64"/>
        <v>14Expectancy</v>
      </c>
      <c r="B3857">
        <v>14</v>
      </c>
      <c r="C3857" s="9" t="s">
        <v>31</v>
      </c>
      <c r="D3857" s="8">
        <v>-0.26900000000000002</v>
      </c>
    </row>
    <row r="3858" spans="1:4" x14ac:dyDescent="0.35">
      <c r="A3858" t="str">
        <f t="shared" si="64"/>
        <v>14Net Profit</v>
      </c>
      <c r="B3858">
        <v>14</v>
      </c>
      <c r="C3858" s="9" t="s">
        <v>32</v>
      </c>
      <c r="D3858" s="8">
        <v>-9.3380000000000005E-2</v>
      </c>
    </row>
    <row r="3859" spans="1:4" x14ac:dyDescent="0.35">
      <c r="A3859" t="str">
        <f t="shared" si="64"/>
        <v>14Loss Rate</v>
      </c>
      <c r="B3859">
        <v>14</v>
      </c>
      <c r="C3859" s="9" t="s">
        <v>33</v>
      </c>
      <c r="D3859" s="8">
        <v>0.5</v>
      </c>
    </row>
    <row r="3860" spans="1:4" x14ac:dyDescent="0.35">
      <c r="A3860" t="str">
        <f t="shared" si="64"/>
        <v>14Win Rate</v>
      </c>
      <c r="B3860">
        <v>14</v>
      </c>
      <c r="C3860" s="9" t="s">
        <v>34</v>
      </c>
      <c r="D3860" s="8">
        <v>0.5</v>
      </c>
    </row>
    <row r="3861" spans="1:4" x14ac:dyDescent="0.35">
      <c r="A3861" t="str">
        <f t="shared" si="64"/>
        <v>14Profit-Loss Ratio</v>
      </c>
      <c r="B3861">
        <v>14</v>
      </c>
      <c r="C3861" s="9" t="s">
        <v>26</v>
      </c>
      <c r="D3861" s="8">
        <v>0.46</v>
      </c>
    </row>
    <row r="3862" spans="1:4" x14ac:dyDescent="0.35">
      <c r="A3862" t="str">
        <f t="shared" si="64"/>
        <v>14Alpha</v>
      </c>
      <c r="B3862">
        <v>14</v>
      </c>
      <c r="C3862" s="9" t="s">
        <v>23</v>
      </c>
      <c r="D3862" s="8">
        <v>-0.11</v>
      </c>
    </row>
    <row r="3863" spans="1:4" x14ac:dyDescent="0.35">
      <c r="A3863" t="str">
        <f t="shared" si="64"/>
        <v>14Beta</v>
      </c>
      <c r="B3863">
        <v>14</v>
      </c>
      <c r="C3863" s="9" t="s">
        <v>24</v>
      </c>
      <c r="D3863" s="8">
        <v>0.23899999999999999</v>
      </c>
    </row>
    <row r="3864" spans="1:4" x14ac:dyDescent="0.35">
      <c r="A3864" t="str">
        <f t="shared" si="64"/>
        <v>14Annual Standard Deviation</v>
      </c>
      <c r="B3864">
        <v>14</v>
      </c>
      <c r="C3864" s="9" t="s">
        <v>35</v>
      </c>
      <c r="D3864" s="8">
        <v>0.105</v>
      </c>
    </row>
    <row r="3865" spans="1:4" x14ac:dyDescent="0.35">
      <c r="A3865" t="str">
        <f t="shared" si="64"/>
        <v>14Annual Variance</v>
      </c>
      <c r="B3865">
        <v>14</v>
      </c>
      <c r="C3865" s="9" t="s">
        <v>36</v>
      </c>
      <c r="D3865" s="8">
        <v>1.0999999999999999E-2</v>
      </c>
    </row>
    <row r="3866" spans="1:4" x14ac:dyDescent="0.35">
      <c r="A3866" t="str">
        <f t="shared" si="64"/>
        <v>14Information Ratio</v>
      </c>
      <c r="B3866">
        <v>14</v>
      </c>
      <c r="C3866" s="9" t="s">
        <v>37</v>
      </c>
      <c r="D3866" s="8">
        <v>-1.3720000000000001</v>
      </c>
    </row>
    <row r="3867" spans="1:4" x14ac:dyDescent="0.35">
      <c r="A3867" t="str">
        <f t="shared" si="64"/>
        <v>14Tracking Error</v>
      </c>
      <c r="B3867">
        <v>14</v>
      </c>
      <c r="C3867" s="9" t="s">
        <v>38</v>
      </c>
      <c r="D3867" s="8">
        <v>0.11600000000000001</v>
      </c>
    </row>
    <row r="3868" spans="1:4" x14ac:dyDescent="0.35">
      <c r="A3868" t="str">
        <f t="shared" si="64"/>
        <v>14Treynor Ratio</v>
      </c>
      <c r="B3868">
        <v>14</v>
      </c>
      <c r="C3868" s="9" t="s">
        <v>39</v>
      </c>
      <c r="D3868" s="8">
        <v>-0.39700000000000002</v>
      </c>
    </row>
    <row r="3869" spans="1:4" x14ac:dyDescent="0.35">
      <c r="A3869" t="str">
        <f t="shared" si="64"/>
        <v>14Total Fees</v>
      </c>
      <c r="B3869">
        <v>14</v>
      </c>
      <c r="C3869" s="9" t="s">
        <v>40</v>
      </c>
      <c r="D3869" s="8">
        <v>0</v>
      </c>
    </row>
    <row r="3870" spans="1:4" x14ac:dyDescent="0.35">
      <c r="A3870" t="str">
        <f t="shared" si="64"/>
        <v>14Estimated Strategy Capacity</v>
      </c>
      <c r="B3870">
        <v>14</v>
      </c>
      <c r="C3870" s="9" t="s">
        <v>41</v>
      </c>
      <c r="D3870" s="8">
        <v>71000000</v>
      </c>
    </row>
    <row r="3871" spans="1:4" x14ac:dyDescent="0.35">
      <c r="A3871" t="str">
        <f t="shared" ref="A3871:A3891" si="65">B3871&amp;C3871</f>
        <v>15PSR</v>
      </c>
      <c r="B3871">
        <v>15</v>
      </c>
      <c r="C3871" s="9" t="s">
        <v>27</v>
      </c>
      <c r="D3871" s="8">
        <v>6.1949999999999998E-2</v>
      </c>
    </row>
    <row r="3872" spans="1:4" x14ac:dyDescent="0.35">
      <c r="A3872" t="str">
        <f t="shared" si="65"/>
        <v>15Sharpe Ratio</v>
      </c>
      <c r="B3872">
        <v>15</v>
      </c>
      <c r="C3872" s="9" t="s">
        <v>1</v>
      </c>
      <c r="D3872" s="8">
        <v>-0.49299999999999999</v>
      </c>
    </row>
    <row r="3873" spans="1:4" x14ac:dyDescent="0.35">
      <c r="A3873" t="str">
        <f t="shared" si="65"/>
        <v>15Total Trades</v>
      </c>
      <c r="B3873">
        <v>15</v>
      </c>
      <c r="C3873" s="9" t="s">
        <v>28</v>
      </c>
      <c r="D3873" s="8">
        <v>246</v>
      </c>
    </row>
    <row r="3874" spans="1:4" x14ac:dyDescent="0.35">
      <c r="A3874" t="str">
        <f t="shared" si="65"/>
        <v>15Average Win</v>
      </c>
      <c r="B3874">
        <v>15</v>
      </c>
      <c r="C3874" s="9" t="s">
        <v>25</v>
      </c>
      <c r="D3874" s="8">
        <v>0.14099999999999999</v>
      </c>
    </row>
    <row r="3875" spans="1:4" x14ac:dyDescent="0.35">
      <c r="A3875" t="str">
        <f t="shared" si="65"/>
        <v>15Average Loss</v>
      </c>
      <c r="B3875">
        <v>15</v>
      </c>
      <c r="C3875" s="9" t="s">
        <v>29</v>
      </c>
      <c r="D3875" s="8">
        <v>-0.16020000000000001</v>
      </c>
    </row>
    <row r="3876" spans="1:4" x14ac:dyDescent="0.35">
      <c r="A3876" t="str">
        <f t="shared" si="65"/>
        <v>15Compounding Annual Return</v>
      </c>
      <c r="B3876">
        <v>15</v>
      </c>
      <c r="C3876" s="9" t="s">
        <v>30</v>
      </c>
      <c r="D3876" s="8">
        <v>-0.65066000000000002</v>
      </c>
    </row>
    <row r="3877" spans="1:4" x14ac:dyDescent="0.35">
      <c r="A3877" t="str">
        <f t="shared" si="65"/>
        <v>15Drawdown</v>
      </c>
      <c r="B3877">
        <v>15</v>
      </c>
      <c r="C3877" s="9" t="s">
        <v>8</v>
      </c>
      <c r="D3877" s="8">
        <v>0.72</v>
      </c>
    </row>
    <row r="3878" spans="1:4" x14ac:dyDescent="0.35">
      <c r="A3878" t="str">
        <f t="shared" si="65"/>
        <v>15Expectancy</v>
      </c>
      <c r="B3878">
        <v>15</v>
      </c>
      <c r="C3878" s="9" t="s">
        <v>31</v>
      </c>
      <c r="D3878" s="8">
        <v>-0.248</v>
      </c>
    </row>
    <row r="3879" spans="1:4" x14ac:dyDescent="0.35">
      <c r="A3879" t="str">
        <f t="shared" si="65"/>
        <v>15Net Profit</v>
      </c>
      <c r="B3879">
        <v>15</v>
      </c>
      <c r="C3879" s="9" t="s">
        <v>32</v>
      </c>
      <c r="D3879" s="8">
        <v>-0.49331999999999998</v>
      </c>
    </row>
    <row r="3880" spans="1:4" x14ac:dyDescent="0.35">
      <c r="A3880" t="str">
        <f t="shared" si="65"/>
        <v>15Loss Rate</v>
      </c>
      <c r="B3880">
        <v>15</v>
      </c>
      <c r="C3880" s="9" t="s">
        <v>33</v>
      </c>
      <c r="D3880" s="8">
        <v>0.6</v>
      </c>
    </row>
    <row r="3881" spans="1:4" x14ac:dyDescent="0.35">
      <c r="A3881" t="str">
        <f t="shared" si="65"/>
        <v>15Win Rate</v>
      </c>
      <c r="B3881">
        <v>15</v>
      </c>
      <c r="C3881" s="9" t="s">
        <v>34</v>
      </c>
      <c r="D3881" s="8">
        <v>0.4</v>
      </c>
    </row>
    <row r="3882" spans="1:4" x14ac:dyDescent="0.35">
      <c r="A3882" t="str">
        <f t="shared" si="65"/>
        <v>15Profit-Loss Ratio</v>
      </c>
      <c r="B3882">
        <v>15</v>
      </c>
      <c r="C3882" s="9" t="s">
        <v>26</v>
      </c>
      <c r="D3882" s="8">
        <v>0.88</v>
      </c>
    </row>
    <row r="3883" spans="1:4" x14ac:dyDescent="0.35">
      <c r="A3883" t="str">
        <f t="shared" si="65"/>
        <v>15Alpha</v>
      </c>
      <c r="B3883">
        <v>15</v>
      </c>
      <c r="C3883" s="9" t="s">
        <v>23</v>
      </c>
      <c r="D3883" s="8">
        <v>-0.44600000000000001</v>
      </c>
    </row>
    <row r="3884" spans="1:4" x14ac:dyDescent="0.35">
      <c r="A3884" t="str">
        <f t="shared" si="65"/>
        <v>15Beta</v>
      </c>
      <c r="B3884">
        <v>15</v>
      </c>
      <c r="C3884" s="9" t="s">
        <v>24</v>
      </c>
      <c r="D3884" s="8">
        <v>1.2849999999999999</v>
      </c>
    </row>
    <row r="3885" spans="1:4" x14ac:dyDescent="0.35">
      <c r="A3885" t="str">
        <f t="shared" si="65"/>
        <v>15Annual Standard Deviation</v>
      </c>
      <c r="B3885">
        <v>15</v>
      </c>
      <c r="C3885" s="9" t="s">
        <v>35</v>
      </c>
      <c r="D3885" s="8">
        <v>0.74</v>
      </c>
    </row>
    <row r="3886" spans="1:4" x14ac:dyDescent="0.35">
      <c r="A3886" t="str">
        <f t="shared" si="65"/>
        <v>15Annual Variance</v>
      </c>
      <c r="B3886">
        <v>15</v>
      </c>
      <c r="C3886" s="9" t="s">
        <v>36</v>
      </c>
      <c r="D3886" s="8">
        <v>0.54800000000000004</v>
      </c>
    </row>
    <row r="3887" spans="1:4" x14ac:dyDescent="0.35">
      <c r="A3887" t="str">
        <f t="shared" si="65"/>
        <v>15Information Ratio</v>
      </c>
      <c r="B3887">
        <v>15</v>
      </c>
      <c r="C3887" s="9" t="s">
        <v>37</v>
      </c>
      <c r="D3887" s="8">
        <v>-0.58199999999999996</v>
      </c>
    </row>
    <row r="3888" spans="1:4" x14ac:dyDescent="0.35">
      <c r="A3888" t="str">
        <f t="shared" si="65"/>
        <v>15Tracking Error</v>
      </c>
      <c r="B3888">
        <v>15</v>
      </c>
      <c r="C3888" s="9" t="s">
        <v>38</v>
      </c>
      <c r="D3888" s="8">
        <v>0.73499999999999999</v>
      </c>
    </row>
    <row r="3889" spans="1:4" x14ac:dyDescent="0.35">
      <c r="A3889" t="str">
        <f t="shared" si="65"/>
        <v>15Treynor Ratio</v>
      </c>
      <c r="B3889">
        <v>15</v>
      </c>
      <c r="C3889" s="9" t="s">
        <v>39</v>
      </c>
      <c r="D3889" s="8">
        <v>-0.28399999999999997</v>
      </c>
    </row>
    <row r="3890" spans="1:4" x14ac:dyDescent="0.35">
      <c r="A3890" t="str">
        <f t="shared" si="65"/>
        <v>15Total Fees</v>
      </c>
      <c r="B3890">
        <v>15</v>
      </c>
      <c r="C3890" s="9" t="s">
        <v>40</v>
      </c>
      <c r="D3890" s="8">
        <v>0</v>
      </c>
    </row>
    <row r="3891" spans="1:4" x14ac:dyDescent="0.35">
      <c r="A3891" t="str">
        <f t="shared" si="65"/>
        <v>15Estimated Strategy Capacity</v>
      </c>
      <c r="B3891">
        <v>15</v>
      </c>
      <c r="C3891" s="9" t="s">
        <v>41</v>
      </c>
      <c r="D3891" s="8">
        <v>12000000</v>
      </c>
    </row>
    <row r="3892" spans="1:4" x14ac:dyDescent="0.35">
      <c r="A3892" t="str">
        <f t="shared" ref="A3892:A3912" si="66">B3892&amp;C3892</f>
        <v>16PSR</v>
      </c>
      <c r="B3892">
        <v>16</v>
      </c>
      <c r="C3892" s="9" t="s">
        <v>27</v>
      </c>
      <c r="D3892" s="8">
        <v>0.1079</v>
      </c>
    </row>
    <row r="3893" spans="1:4" x14ac:dyDescent="0.35">
      <c r="A3893" t="str">
        <f t="shared" si="66"/>
        <v>16Sharpe Ratio</v>
      </c>
      <c r="B3893">
        <v>16</v>
      </c>
      <c r="C3893" s="9" t="s">
        <v>1</v>
      </c>
      <c r="D3893" s="8">
        <v>-0.307</v>
      </c>
    </row>
    <row r="3894" spans="1:4" x14ac:dyDescent="0.35">
      <c r="A3894" t="str">
        <f t="shared" si="66"/>
        <v>16Total Trades</v>
      </c>
      <c r="B3894">
        <v>16</v>
      </c>
      <c r="C3894" s="9" t="s">
        <v>28</v>
      </c>
      <c r="D3894" s="8">
        <v>176</v>
      </c>
    </row>
    <row r="3895" spans="1:4" x14ac:dyDescent="0.35">
      <c r="A3895" t="str">
        <f t="shared" si="66"/>
        <v>16Average Win</v>
      </c>
      <c r="B3895">
        <v>16</v>
      </c>
      <c r="C3895" s="9" t="s">
        <v>25</v>
      </c>
      <c r="D3895" s="8">
        <v>1.4E-3</v>
      </c>
    </row>
    <row r="3896" spans="1:4" x14ac:dyDescent="0.35">
      <c r="A3896" t="str">
        <f t="shared" si="66"/>
        <v>16Average Loss</v>
      </c>
      <c r="B3896">
        <v>16</v>
      </c>
      <c r="C3896" s="9" t="s">
        <v>29</v>
      </c>
      <c r="D3896" s="8">
        <v>-2.2000000000000001E-3</v>
      </c>
    </row>
    <row r="3897" spans="1:4" x14ac:dyDescent="0.35">
      <c r="A3897" t="str">
        <f t="shared" si="66"/>
        <v>16Compounding Annual Return</v>
      </c>
      <c r="B3897">
        <v>16</v>
      </c>
      <c r="C3897" s="9" t="s">
        <v>30</v>
      </c>
      <c r="D3897" s="8">
        <v>-6.2300000000000003E-3</v>
      </c>
    </row>
    <row r="3898" spans="1:4" x14ac:dyDescent="0.35">
      <c r="A3898" t="str">
        <f t="shared" si="66"/>
        <v>16Drawdown</v>
      </c>
      <c r="B3898">
        <v>16</v>
      </c>
      <c r="C3898" s="9" t="s">
        <v>8</v>
      </c>
      <c r="D3898" s="8">
        <v>1.2E-2</v>
      </c>
    </row>
    <row r="3899" spans="1:4" x14ac:dyDescent="0.35">
      <c r="A3899" t="str">
        <f t="shared" si="66"/>
        <v>16Expectancy</v>
      </c>
      <c r="B3899">
        <v>16</v>
      </c>
      <c r="C3899" s="9" t="s">
        <v>31</v>
      </c>
      <c r="D3899" s="8">
        <v>-0.35099999999999998</v>
      </c>
    </row>
    <row r="3900" spans="1:4" x14ac:dyDescent="0.35">
      <c r="A3900" t="str">
        <f t="shared" si="66"/>
        <v>16Net Profit</v>
      </c>
      <c r="B3900">
        <v>16</v>
      </c>
      <c r="C3900" s="9" t="s">
        <v>32</v>
      </c>
      <c r="D3900" s="8">
        <v>-4.0299999999999997E-3</v>
      </c>
    </row>
    <row r="3901" spans="1:4" x14ac:dyDescent="0.35">
      <c r="A3901" t="str">
        <f t="shared" si="66"/>
        <v>16Loss Rate</v>
      </c>
      <c r="B3901">
        <v>16</v>
      </c>
      <c r="C3901" s="9" t="s">
        <v>33</v>
      </c>
      <c r="D3901" s="8">
        <v>0.6</v>
      </c>
    </row>
    <row r="3902" spans="1:4" x14ac:dyDescent="0.35">
      <c r="A3902" t="str">
        <f t="shared" si="66"/>
        <v>16Win Rate</v>
      </c>
      <c r="B3902">
        <v>16</v>
      </c>
      <c r="C3902" s="9" t="s">
        <v>34</v>
      </c>
      <c r="D3902" s="8">
        <v>0.4</v>
      </c>
    </row>
    <row r="3903" spans="1:4" x14ac:dyDescent="0.35">
      <c r="A3903" t="str">
        <f t="shared" si="66"/>
        <v>16Profit-Loss Ratio</v>
      </c>
      <c r="B3903">
        <v>16</v>
      </c>
      <c r="C3903" s="9" t="s">
        <v>26</v>
      </c>
      <c r="D3903" s="8">
        <v>0.62</v>
      </c>
    </row>
    <row r="3904" spans="1:4" x14ac:dyDescent="0.35">
      <c r="A3904" t="str">
        <f t="shared" si="66"/>
        <v>16Alpha</v>
      </c>
      <c r="B3904">
        <v>16</v>
      </c>
      <c r="C3904" s="9" t="s">
        <v>23</v>
      </c>
      <c r="D3904" s="8">
        <v>-7.0000000000000001E-3</v>
      </c>
    </row>
    <row r="3905" spans="1:4" x14ac:dyDescent="0.35">
      <c r="A3905" t="str">
        <f t="shared" si="66"/>
        <v>16Beta</v>
      </c>
      <c r="B3905">
        <v>16</v>
      </c>
      <c r="C3905" s="9" t="s">
        <v>24</v>
      </c>
      <c r="D3905" s="8">
        <v>4.9000000000000002E-2</v>
      </c>
    </row>
    <row r="3906" spans="1:4" x14ac:dyDescent="0.35">
      <c r="A3906" t="str">
        <f t="shared" si="66"/>
        <v>16Annual Standard Deviation</v>
      </c>
      <c r="B3906">
        <v>16</v>
      </c>
      <c r="C3906" s="9" t="s">
        <v>35</v>
      </c>
      <c r="D3906" s="8">
        <v>1.4E-2</v>
      </c>
    </row>
    <row r="3907" spans="1:4" x14ac:dyDescent="0.35">
      <c r="A3907" t="str">
        <f t="shared" si="66"/>
        <v>16Annual Variance</v>
      </c>
      <c r="B3907">
        <v>16</v>
      </c>
      <c r="C3907" s="9" t="s">
        <v>36</v>
      </c>
      <c r="D3907" s="8">
        <v>0</v>
      </c>
    </row>
    <row r="3908" spans="1:4" x14ac:dyDescent="0.35">
      <c r="A3908" t="str">
        <f t="shared" si="66"/>
        <v>16Information Ratio</v>
      </c>
      <c r="B3908">
        <v>16</v>
      </c>
      <c r="C3908" s="9" t="s">
        <v>37</v>
      </c>
      <c r="D3908" s="8">
        <v>-1.0469999999999999</v>
      </c>
    </row>
    <row r="3909" spans="1:4" x14ac:dyDescent="0.35">
      <c r="A3909" t="str">
        <f t="shared" si="66"/>
        <v>16Tracking Error</v>
      </c>
      <c r="B3909">
        <v>16</v>
      </c>
      <c r="C3909" s="9" t="s">
        <v>38</v>
      </c>
      <c r="D3909" s="8">
        <v>6.5000000000000002E-2</v>
      </c>
    </row>
    <row r="3910" spans="1:4" x14ac:dyDescent="0.35">
      <c r="A3910" t="str">
        <f t="shared" si="66"/>
        <v>16Treynor Ratio</v>
      </c>
      <c r="B3910">
        <v>16</v>
      </c>
      <c r="C3910" s="9" t="s">
        <v>39</v>
      </c>
      <c r="D3910" s="8">
        <v>-8.6999999999999994E-2</v>
      </c>
    </row>
    <row r="3911" spans="1:4" x14ac:dyDescent="0.35">
      <c r="A3911" t="str">
        <f t="shared" si="66"/>
        <v>16Total Fees</v>
      </c>
      <c r="B3911">
        <v>16</v>
      </c>
      <c r="C3911" s="9" t="s">
        <v>40</v>
      </c>
      <c r="D3911" s="8">
        <v>0</v>
      </c>
    </row>
    <row r="3912" spans="1:4" x14ac:dyDescent="0.35">
      <c r="A3912" t="str">
        <f t="shared" si="66"/>
        <v>16Estimated Strategy Capacity</v>
      </c>
      <c r="B3912">
        <v>16</v>
      </c>
      <c r="C3912" s="9" t="s">
        <v>41</v>
      </c>
      <c r="D3912" s="8">
        <v>18000000</v>
      </c>
    </row>
    <row r="3913" spans="1:4" x14ac:dyDescent="0.35">
      <c r="A3913" t="str">
        <f t="shared" ref="A3913:A3933" si="67">B3913&amp;C3913</f>
        <v>17PSR</v>
      </c>
      <c r="B3913">
        <v>17</v>
      </c>
      <c r="C3913" s="9" t="s">
        <v>27</v>
      </c>
      <c r="D3913" s="8">
        <v>0.11894</v>
      </c>
    </row>
    <row r="3914" spans="1:4" x14ac:dyDescent="0.35">
      <c r="A3914" t="str">
        <f t="shared" si="67"/>
        <v>17Sharpe Ratio</v>
      </c>
      <c r="B3914">
        <v>17</v>
      </c>
      <c r="C3914" s="9" t="s">
        <v>1</v>
      </c>
      <c r="D3914" s="8">
        <v>-0.24</v>
      </c>
    </row>
    <row r="3915" spans="1:4" x14ac:dyDescent="0.35">
      <c r="A3915" t="str">
        <f t="shared" si="67"/>
        <v>17Total Trades</v>
      </c>
      <c r="B3915">
        <v>17</v>
      </c>
      <c r="C3915" s="9" t="s">
        <v>28</v>
      </c>
      <c r="D3915" s="8">
        <v>176</v>
      </c>
    </row>
    <row r="3916" spans="1:4" x14ac:dyDescent="0.35">
      <c r="A3916" t="str">
        <f t="shared" si="67"/>
        <v>17Average Win</v>
      </c>
      <c r="B3916">
        <v>17</v>
      </c>
      <c r="C3916" s="9" t="s">
        <v>25</v>
      </c>
      <c r="D3916" s="8">
        <v>1.3899999999999999E-2</v>
      </c>
    </row>
    <row r="3917" spans="1:4" x14ac:dyDescent="0.35">
      <c r="A3917" t="str">
        <f t="shared" si="67"/>
        <v>17Average Loss</v>
      </c>
      <c r="B3917">
        <v>17</v>
      </c>
      <c r="C3917" s="9" t="s">
        <v>29</v>
      </c>
      <c r="D3917" s="8">
        <v>-2.2200000000000001E-2</v>
      </c>
    </row>
    <row r="3918" spans="1:4" x14ac:dyDescent="0.35">
      <c r="A3918" t="str">
        <f t="shared" si="67"/>
        <v>17Compounding Annual Return</v>
      </c>
      <c r="B3918">
        <v>17</v>
      </c>
      <c r="C3918" s="9" t="s">
        <v>30</v>
      </c>
      <c r="D3918" s="8">
        <v>-6.1650000000000003E-2</v>
      </c>
    </row>
    <row r="3919" spans="1:4" x14ac:dyDescent="0.35">
      <c r="A3919" t="str">
        <f t="shared" si="67"/>
        <v>17Drawdown</v>
      </c>
      <c r="B3919">
        <v>17</v>
      </c>
      <c r="C3919" s="9" t="s">
        <v>8</v>
      </c>
      <c r="D3919" s="8">
        <v>0.11899999999999999</v>
      </c>
    </row>
    <row r="3920" spans="1:4" x14ac:dyDescent="0.35">
      <c r="A3920" t="str">
        <f t="shared" si="67"/>
        <v>17Expectancy</v>
      </c>
      <c r="B3920">
        <v>17</v>
      </c>
      <c r="C3920" s="9" t="s">
        <v>31</v>
      </c>
      <c r="D3920" s="8">
        <v>-0.35099999999999998</v>
      </c>
    </row>
    <row r="3921" spans="1:4" x14ac:dyDescent="0.35">
      <c r="A3921" t="str">
        <f t="shared" si="67"/>
        <v>17Net Profit</v>
      </c>
      <c r="B3921">
        <v>17</v>
      </c>
      <c r="C3921" s="9" t="s">
        <v>32</v>
      </c>
      <c r="D3921" s="8">
        <v>-4.0300000000000002E-2</v>
      </c>
    </row>
    <row r="3922" spans="1:4" x14ac:dyDescent="0.35">
      <c r="A3922" t="str">
        <f t="shared" si="67"/>
        <v>17Loss Rate</v>
      </c>
      <c r="B3922">
        <v>17</v>
      </c>
      <c r="C3922" s="9" t="s">
        <v>33</v>
      </c>
      <c r="D3922" s="8">
        <v>0.6</v>
      </c>
    </row>
    <row r="3923" spans="1:4" x14ac:dyDescent="0.35">
      <c r="A3923" t="str">
        <f t="shared" si="67"/>
        <v>17Win Rate</v>
      </c>
      <c r="B3923">
        <v>17</v>
      </c>
      <c r="C3923" s="9" t="s">
        <v>34</v>
      </c>
      <c r="D3923" s="8">
        <v>0.4</v>
      </c>
    </row>
    <row r="3924" spans="1:4" x14ac:dyDescent="0.35">
      <c r="A3924" t="str">
        <f t="shared" si="67"/>
        <v>17Profit-Loss Ratio</v>
      </c>
      <c r="B3924">
        <v>17</v>
      </c>
      <c r="C3924" s="9" t="s">
        <v>26</v>
      </c>
      <c r="D3924" s="8">
        <v>0.62</v>
      </c>
    </row>
    <row r="3925" spans="1:4" x14ac:dyDescent="0.35">
      <c r="A3925" t="str">
        <f t="shared" si="67"/>
        <v>17Alpha</v>
      </c>
      <c r="B3925">
        <v>17</v>
      </c>
      <c r="C3925" s="9" t="s">
        <v>23</v>
      </c>
      <c r="D3925" s="8">
        <v>-6.5000000000000002E-2</v>
      </c>
    </row>
    <row r="3926" spans="1:4" x14ac:dyDescent="0.35">
      <c r="A3926" t="str">
        <f t="shared" si="67"/>
        <v>17Beta</v>
      </c>
      <c r="B3926">
        <v>17</v>
      </c>
      <c r="C3926" s="9" t="s">
        <v>24</v>
      </c>
      <c r="D3926" s="8">
        <v>0.49299999999999999</v>
      </c>
    </row>
    <row r="3927" spans="1:4" x14ac:dyDescent="0.35">
      <c r="A3927" t="str">
        <f t="shared" si="67"/>
        <v>17Annual Standard Deviation</v>
      </c>
      <c r="B3927">
        <v>17</v>
      </c>
      <c r="C3927" s="9" t="s">
        <v>35</v>
      </c>
      <c r="D3927" s="8">
        <v>0.14099999999999999</v>
      </c>
    </row>
    <row r="3928" spans="1:4" x14ac:dyDescent="0.35">
      <c r="A3928" t="str">
        <f t="shared" si="67"/>
        <v>17Annual Variance</v>
      </c>
      <c r="B3928">
        <v>17</v>
      </c>
      <c r="C3928" s="9" t="s">
        <v>36</v>
      </c>
      <c r="D3928" s="8">
        <v>0.02</v>
      </c>
    </row>
    <row r="3929" spans="1:4" x14ac:dyDescent="0.35">
      <c r="A3929" t="str">
        <f t="shared" si="67"/>
        <v>17Information Ratio</v>
      </c>
      <c r="B3929">
        <v>17</v>
      </c>
      <c r="C3929" s="9" t="s">
        <v>37</v>
      </c>
      <c r="D3929" s="8">
        <v>-0.69099999999999995</v>
      </c>
    </row>
    <row r="3930" spans="1:4" x14ac:dyDescent="0.35">
      <c r="A3930" t="str">
        <f t="shared" si="67"/>
        <v>17Tracking Error</v>
      </c>
      <c r="B3930">
        <v>17</v>
      </c>
      <c r="C3930" s="9" t="s">
        <v>38</v>
      </c>
      <c r="D3930" s="8">
        <v>0.14099999999999999</v>
      </c>
    </row>
    <row r="3931" spans="1:4" x14ac:dyDescent="0.35">
      <c r="A3931" t="str">
        <f t="shared" si="67"/>
        <v>17Treynor Ratio</v>
      </c>
      <c r="B3931">
        <v>17</v>
      </c>
      <c r="C3931" s="9" t="s">
        <v>39</v>
      </c>
      <c r="D3931" s="8">
        <v>-6.8000000000000005E-2</v>
      </c>
    </row>
    <row r="3932" spans="1:4" x14ac:dyDescent="0.35">
      <c r="A3932" t="str">
        <f t="shared" si="67"/>
        <v>17Total Fees</v>
      </c>
      <c r="B3932">
        <v>17</v>
      </c>
      <c r="C3932" s="9" t="s">
        <v>40</v>
      </c>
      <c r="D3932" s="8">
        <v>0</v>
      </c>
    </row>
    <row r="3933" spans="1:4" x14ac:dyDescent="0.35">
      <c r="A3933" t="str">
        <f t="shared" si="67"/>
        <v>17Estimated Strategy Capacity</v>
      </c>
      <c r="B3933">
        <v>17</v>
      </c>
      <c r="C3933" s="9" t="s">
        <v>41</v>
      </c>
      <c r="D3933" s="8">
        <v>5100000</v>
      </c>
    </row>
    <row r="3934" spans="1:4" x14ac:dyDescent="0.35">
      <c r="A3934" t="str">
        <f t="shared" ref="A3934:A3998" si="68">B3934&amp;C3934</f>
        <v>18PSR</v>
      </c>
      <c r="B3934">
        <v>18</v>
      </c>
      <c r="C3934" s="9" t="s">
        <v>27</v>
      </c>
      <c r="D3934" s="8">
        <v>0.15504000000000001</v>
      </c>
    </row>
    <row r="3935" spans="1:4" x14ac:dyDescent="0.35">
      <c r="A3935" t="str">
        <f t="shared" si="68"/>
        <v>18Sharpe Ratio</v>
      </c>
      <c r="B3935">
        <v>18</v>
      </c>
      <c r="C3935" s="9" t="s">
        <v>1</v>
      </c>
      <c r="D3935" s="8">
        <v>-5.7000000000000002E-2</v>
      </c>
    </row>
    <row r="3936" spans="1:4" x14ac:dyDescent="0.35">
      <c r="A3936" t="str">
        <f t="shared" si="68"/>
        <v>18Total Trades</v>
      </c>
      <c r="B3936">
        <v>18</v>
      </c>
      <c r="C3936" s="9" t="s">
        <v>28</v>
      </c>
      <c r="D3936" s="8">
        <v>177</v>
      </c>
    </row>
    <row r="3937" spans="1:4" x14ac:dyDescent="0.35">
      <c r="A3937" t="str">
        <f t="shared" si="68"/>
        <v>18Average Win</v>
      </c>
      <c r="B3937">
        <v>18</v>
      </c>
      <c r="C3937" s="9" t="s">
        <v>25</v>
      </c>
      <c r="D3937" s="8">
        <v>6.8199999999999997E-2</v>
      </c>
    </row>
    <row r="3938" spans="1:4" x14ac:dyDescent="0.35">
      <c r="A3938" t="str">
        <f t="shared" si="68"/>
        <v>18Average Loss</v>
      </c>
      <c r="B3938">
        <v>18</v>
      </c>
      <c r="C3938" s="9" t="s">
        <v>29</v>
      </c>
      <c r="D3938" s="8">
        <v>-9.8699999999999996E-2</v>
      </c>
    </row>
    <row r="3939" spans="1:4" x14ac:dyDescent="0.35">
      <c r="A3939" t="str">
        <f t="shared" si="68"/>
        <v>18Compounding Annual Return</v>
      </c>
      <c r="B3939">
        <v>18</v>
      </c>
      <c r="C3939" s="9" t="s">
        <v>30</v>
      </c>
      <c r="D3939" s="8">
        <v>-0.37302999999999997</v>
      </c>
    </row>
    <row r="3940" spans="1:4" x14ac:dyDescent="0.35">
      <c r="A3940" t="str">
        <f t="shared" si="68"/>
        <v>18Drawdown</v>
      </c>
      <c r="B3940">
        <v>18</v>
      </c>
      <c r="C3940" s="9" t="s">
        <v>8</v>
      </c>
      <c r="D3940" s="8">
        <v>0.50700000000000001</v>
      </c>
    </row>
    <row r="3941" spans="1:4" x14ac:dyDescent="0.35">
      <c r="A3941" t="str">
        <f t="shared" si="68"/>
        <v>18Expectancy</v>
      </c>
      <c r="B3941">
        <v>18</v>
      </c>
      <c r="C3941" s="9" t="s">
        <v>31</v>
      </c>
      <c r="D3941" s="8">
        <v>-0.436</v>
      </c>
    </row>
    <row r="3942" spans="1:4" x14ac:dyDescent="0.35">
      <c r="A3942" t="str">
        <f t="shared" si="68"/>
        <v>18Net Profit</v>
      </c>
      <c r="B3942">
        <v>18</v>
      </c>
      <c r="C3942" s="9" t="s">
        <v>32</v>
      </c>
      <c r="D3942" s="8">
        <v>-0.26051000000000002</v>
      </c>
    </row>
    <row r="3943" spans="1:4" x14ac:dyDescent="0.35">
      <c r="A3943" t="str">
        <f t="shared" si="68"/>
        <v>18Loss Rate</v>
      </c>
      <c r="B3943">
        <v>18</v>
      </c>
      <c r="C3943" s="9" t="s">
        <v>33</v>
      </c>
      <c r="D3943" s="8">
        <v>0.67</v>
      </c>
    </row>
    <row r="3944" spans="1:4" x14ac:dyDescent="0.35">
      <c r="A3944" t="str">
        <f t="shared" si="68"/>
        <v>18Win Rate</v>
      </c>
      <c r="B3944">
        <v>18</v>
      </c>
      <c r="C3944" s="9" t="s">
        <v>34</v>
      </c>
      <c r="D3944" s="8">
        <v>0.33</v>
      </c>
    </row>
    <row r="3945" spans="1:4" x14ac:dyDescent="0.35">
      <c r="A3945" t="str">
        <f t="shared" si="68"/>
        <v>18Profit-Loss Ratio</v>
      </c>
      <c r="B3945">
        <v>18</v>
      </c>
      <c r="C3945" s="9" t="s">
        <v>26</v>
      </c>
      <c r="D3945" s="8">
        <v>0.69</v>
      </c>
    </row>
    <row r="3946" spans="1:4" x14ac:dyDescent="0.35">
      <c r="A3946" t="str">
        <f t="shared" si="68"/>
        <v>18Alpha</v>
      </c>
      <c r="B3946">
        <v>18</v>
      </c>
      <c r="C3946" s="9" t="s">
        <v>23</v>
      </c>
      <c r="D3946" s="8">
        <v>-0.21099999999999999</v>
      </c>
    </row>
    <row r="3947" spans="1:4" x14ac:dyDescent="0.35">
      <c r="A3947" t="str">
        <f t="shared" si="68"/>
        <v>18Beta</v>
      </c>
      <c r="B3947">
        <v>18</v>
      </c>
      <c r="C3947" s="9" t="s">
        <v>24</v>
      </c>
      <c r="D3947" s="8">
        <v>2.6269999999999998</v>
      </c>
    </row>
    <row r="3948" spans="1:4" x14ac:dyDescent="0.35">
      <c r="A3948" t="str">
        <f t="shared" si="68"/>
        <v>18Annual Standard Deviation</v>
      </c>
      <c r="B3948">
        <v>18</v>
      </c>
      <c r="C3948" s="9" t="s">
        <v>35</v>
      </c>
      <c r="D3948" s="8">
        <v>0.77</v>
      </c>
    </row>
    <row r="3949" spans="1:4" x14ac:dyDescent="0.35">
      <c r="A3949" t="str">
        <f t="shared" si="68"/>
        <v>18Annual Variance</v>
      </c>
      <c r="B3949">
        <v>18</v>
      </c>
      <c r="C3949" s="9" t="s">
        <v>36</v>
      </c>
      <c r="D3949" s="8">
        <v>0.59299999999999997</v>
      </c>
    </row>
    <row r="3950" spans="1:4" x14ac:dyDescent="0.35">
      <c r="A3950" t="str">
        <f t="shared" si="68"/>
        <v>18Information Ratio</v>
      </c>
      <c r="B3950">
        <v>18</v>
      </c>
      <c r="C3950" s="9" t="s">
        <v>37</v>
      </c>
      <c r="D3950" s="8">
        <v>-0.14199999999999999</v>
      </c>
    </row>
    <row r="3951" spans="1:4" x14ac:dyDescent="0.35">
      <c r="A3951" t="str">
        <f t="shared" si="68"/>
        <v>18Tracking Error</v>
      </c>
      <c r="B3951">
        <v>18</v>
      </c>
      <c r="C3951" s="9" t="s">
        <v>38</v>
      </c>
      <c r="D3951" s="8">
        <v>0.75800000000000001</v>
      </c>
    </row>
    <row r="3952" spans="1:4" x14ac:dyDescent="0.35">
      <c r="A3952" t="str">
        <f t="shared" si="68"/>
        <v>18Treynor Ratio</v>
      </c>
      <c r="B3952">
        <v>18</v>
      </c>
      <c r="C3952" s="9" t="s">
        <v>39</v>
      </c>
      <c r="D3952" s="8">
        <v>-1.7000000000000001E-2</v>
      </c>
    </row>
    <row r="3953" spans="1:4" x14ac:dyDescent="0.35">
      <c r="A3953" t="str">
        <f t="shared" si="68"/>
        <v>18Total Fees</v>
      </c>
      <c r="B3953">
        <v>18</v>
      </c>
      <c r="C3953" s="9" t="s">
        <v>40</v>
      </c>
      <c r="D3953" s="8">
        <v>0</v>
      </c>
    </row>
    <row r="3954" spans="1:4" x14ac:dyDescent="0.35">
      <c r="A3954" t="str">
        <f t="shared" si="68"/>
        <v>18Estimated Strategy Capacity</v>
      </c>
      <c r="B3954">
        <v>18</v>
      </c>
      <c r="C3954" s="9" t="s">
        <v>41</v>
      </c>
      <c r="D3954" s="8">
        <v>2300000</v>
      </c>
    </row>
    <row r="3955" spans="1:4" x14ac:dyDescent="0.35">
      <c r="A3955" t="str">
        <f t="shared" si="68"/>
        <v>9PSR</v>
      </c>
      <c r="B3955">
        <v>9</v>
      </c>
      <c r="C3955" s="9" t="s">
        <v>27</v>
      </c>
      <c r="D3955" s="8">
        <v>1.6049999999999998E-2</v>
      </c>
    </row>
    <row r="3956" spans="1:4" x14ac:dyDescent="0.35">
      <c r="A3956" t="str">
        <f t="shared" si="68"/>
        <v>9Sharpe Ratio</v>
      </c>
      <c r="B3956">
        <v>9</v>
      </c>
      <c r="C3956" s="9" t="s">
        <v>1</v>
      </c>
      <c r="D3956" s="8">
        <v>-0.78800000000000003</v>
      </c>
    </row>
    <row r="3957" spans="1:4" x14ac:dyDescent="0.35">
      <c r="A3957" t="str">
        <f t="shared" si="68"/>
        <v>9Total Trades</v>
      </c>
      <c r="B3957">
        <v>9</v>
      </c>
      <c r="C3957" s="9" t="s">
        <v>28</v>
      </c>
      <c r="D3957" s="8">
        <v>148</v>
      </c>
    </row>
    <row r="3958" spans="1:4" x14ac:dyDescent="0.35">
      <c r="A3958" t="str">
        <f t="shared" si="68"/>
        <v>9Average Win</v>
      </c>
      <c r="B3958">
        <v>9</v>
      </c>
      <c r="C3958" s="9" t="s">
        <v>25</v>
      </c>
      <c r="D3958" s="8">
        <v>0.219</v>
      </c>
    </row>
    <row r="3959" spans="1:4" x14ac:dyDescent="0.35">
      <c r="A3959" t="str">
        <f t="shared" si="68"/>
        <v>9Average Loss</v>
      </c>
      <c r="B3959">
        <v>9</v>
      </c>
      <c r="C3959" s="9" t="s">
        <v>29</v>
      </c>
      <c r="D3959" s="8">
        <v>-0.11219999999999999</v>
      </c>
    </row>
    <row r="3960" spans="1:4" x14ac:dyDescent="0.35">
      <c r="A3960" t="str">
        <f t="shared" si="68"/>
        <v>9Compounding Annual Return</v>
      </c>
      <c r="B3960">
        <v>9</v>
      </c>
      <c r="C3960" s="9" t="s">
        <v>30</v>
      </c>
      <c r="D3960" s="8">
        <v>-0.85114000000000001</v>
      </c>
    </row>
    <row r="3961" spans="1:4" x14ac:dyDescent="0.35">
      <c r="A3961" t="str">
        <f t="shared" si="68"/>
        <v>9Drawdown</v>
      </c>
      <c r="B3961">
        <v>9</v>
      </c>
      <c r="C3961" s="9" t="s">
        <v>8</v>
      </c>
      <c r="D3961" s="8">
        <v>0.81799999999999995</v>
      </c>
    </row>
    <row r="3962" spans="1:4" x14ac:dyDescent="0.35">
      <c r="A3962" t="str">
        <f t="shared" si="68"/>
        <v>9Expectancy</v>
      </c>
      <c r="B3962">
        <v>9</v>
      </c>
      <c r="C3962" s="9" t="s">
        <v>31</v>
      </c>
      <c r="D3962" s="8">
        <v>-0.57799999999999996</v>
      </c>
    </row>
    <row r="3963" spans="1:4" x14ac:dyDescent="0.35">
      <c r="A3963" t="str">
        <f t="shared" si="68"/>
        <v>9Net Profit</v>
      </c>
      <c r="B3963">
        <v>9</v>
      </c>
      <c r="C3963" s="9" t="s">
        <v>32</v>
      </c>
      <c r="D3963" s="8">
        <v>-0.70809999999999995</v>
      </c>
    </row>
    <row r="3964" spans="1:4" x14ac:dyDescent="0.35">
      <c r="A3964" t="str">
        <f t="shared" si="68"/>
        <v>9Loss Rate</v>
      </c>
      <c r="B3964">
        <v>9</v>
      </c>
      <c r="C3964" s="9" t="s">
        <v>33</v>
      </c>
      <c r="D3964" s="8">
        <v>0.86</v>
      </c>
    </row>
    <row r="3965" spans="1:4" x14ac:dyDescent="0.35">
      <c r="A3965" t="str">
        <f t="shared" si="68"/>
        <v>9Win Rate</v>
      </c>
      <c r="B3965">
        <v>9</v>
      </c>
      <c r="C3965" s="9" t="s">
        <v>34</v>
      </c>
      <c r="D3965" s="8">
        <v>0.14000000000000001</v>
      </c>
    </row>
    <row r="3966" spans="1:4" x14ac:dyDescent="0.35">
      <c r="A3966" t="str">
        <f t="shared" si="68"/>
        <v>9Profit-Loss Ratio</v>
      </c>
      <c r="B3966">
        <v>9</v>
      </c>
      <c r="C3966" s="9" t="s">
        <v>26</v>
      </c>
      <c r="D3966" s="8">
        <v>1.95</v>
      </c>
    </row>
    <row r="3967" spans="1:4" x14ac:dyDescent="0.35">
      <c r="A3967" t="str">
        <f t="shared" si="68"/>
        <v>9Alpha</v>
      </c>
      <c r="B3967">
        <v>9</v>
      </c>
      <c r="C3967" s="9" t="s">
        <v>23</v>
      </c>
      <c r="D3967" s="8">
        <v>-0.68200000000000005</v>
      </c>
    </row>
    <row r="3968" spans="1:4" x14ac:dyDescent="0.35">
      <c r="A3968" t="str">
        <f t="shared" si="68"/>
        <v>9Beta</v>
      </c>
      <c r="B3968">
        <v>9</v>
      </c>
      <c r="C3968" s="9" t="s">
        <v>24</v>
      </c>
      <c r="D3968" s="8">
        <v>0.82699999999999996</v>
      </c>
    </row>
    <row r="3969" spans="1:4" x14ac:dyDescent="0.35">
      <c r="A3969" t="str">
        <f t="shared" si="68"/>
        <v>9Annual Standard Deviation</v>
      </c>
      <c r="B3969">
        <v>9</v>
      </c>
      <c r="C3969" s="9" t="s">
        <v>35</v>
      </c>
      <c r="D3969" s="8">
        <v>0.79900000000000004</v>
      </c>
    </row>
    <row r="3970" spans="1:4" x14ac:dyDescent="0.35">
      <c r="A3970" t="str">
        <f t="shared" si="68"/>
        <v>9Annual Variance</v>
      </c>
      <c r="B3970">
        <v>9</v>
      </c>
      <c r="C3970" s="9" t="s">
        <v>36</v>
      </c>
      <c r="D3970" s="8">
        <v>0.63800000000000001</v>
      </c>
    </row>
    <row r="3971" spans="1:4" x14ac:dyDescent="0.35">
      <c r="A3971" t="str">
        <f t="shared" si="68"/>
        <v>9Information Ratio</v>
      </c>
      <c r="B3971">
        <v>9</v>
      </c>
      <c r="C3971" s="9" t="s">
        <v>37</v>
      </c>
      <c r="D3971" s="8">
        <v>-0.86899999999999999</v>
      </c>
    </row>
    <row r="3972" spans="1:4" x14ac:dyDescent="0.35">
      <c r="A3972" t="str">
        <f t="shared" si="68"/>
        <v>9Tracking Error</v>
      </c>
      <c r="B3972">
        <v>9</v>
      </c>
      <c r="C3972" s="9" t="s">
        <v>38</v>
      </c>
      <c r="D3972" s="8">
        <v>0.79700000000000004</v>
      </c>
    </row>
    <row r="3973" spans="1:4" x14ac:dyDescent="0.35">
      <c r="A3973" t="str">
        <f t="shared" si="68"/>
        <v>9Treynor Ratio</v>
      </c>
      <c r="B3973">
        <v>9</v>
      </c>
      <c r="C3973" s="9" t="s">
        <v>39</v>
      </c>
      <c r="D3973" s="8">
        <v>-0.76100000000000001</v>
      </c>
    </row>
    <row r="3974" spans="1:4" x14ac:dyDescent="0.35">
      <c r="A3974" t="str">
        <f t="shared" si="68"/>
        <v>9Total Fees</v>
      </c>
      <c r="B3974">
        <v>9</v>
      </c>
      <c r="C3974" s="9" t="s">
        <v>40</v>
      </c>
      <c r="D3974" s="8">
        <v>0</v>
      </c>
    </row>
    <row r="3975" spans="1:4" x14ac:dyDescent="0.35">
      <c r="A3975" t="str">
        <f t="shared" si="68"/>
        <v>9Estimated Strategy Capacity</v>
      </c>
      <c r="B3975">
        <v>9</v>
      </c>
      <c r="C3975" s="9" t="s">
        <v>41</v>
      </c>
      <c r="D3975" s="8">
        <v>1800000</v>
      </c>
    </row>
    <row r="3976" spans="1:4" x14ac:dyDescent="0.35">
      <c r="A3976" t="str">
        <f t="shared" si="68"/>
        <v>190PSR</v>
      </c>
      <c r="B3976">
        <v>190</v>
      </c>
      <c r="C3976" s="9" t="s">
        <v>27</v>
      </c>
      <c r="D3976" s="8">
        <v>0.1132</v>
      </c>
    </row>
    <row r="3977" spans="1:4" x14ac:dyDescent="0.35">
      <c r="A3977" t="str">
        <f t="shared" si="68"/>
        <v>190Sharpe Ratio</v>
      </c>
      <c r="B3977">
        <v>190</v>
      </c>
      <c r="C3977" s="9" t="s">
        <v>1</v>
      </c>
      <c r="D3977" s="8">
        <v>-0.24199999999999999</v>
      </c>
    </row>
    <row r="3978" spans="1:4" x14ac:dyDescent="0.35">
      <c r="A3978" t="str">
        <f t="shared" si="68"/>
        <v>190Total Trades</v>
      </c>
      <c r="B3978">
        <v>190</v>
      </c>
      <c r="C3978" s="9" t="s">
        <v>28</v>
      </c>
      <c r="D3978" s="8">
        <v>318</v>
      </c>
    </row>
    <row r="3979" spans="1:4" x14ac:dyDescent="0.35">
      <c r="A3979" t="str">
        <f t="shared" si="68"/>
        <v>190Average Win</v>
      </c>
      <c r="B3979">
        <v>190</v>
      </c>
      <c r="C3979" s="9" t="s">
        <v>25</v>
      </c>
      <c r="D3979" s="8">
        <v>1.43E-2</v>
      </c>
    </row>
    <row r="3980" spans="1:4" x14ac:dyDescent="0.35">
      <c r="A3980" t="str">
        <f t="shared" si="68"/>
        <v>190Average Loss</v>
      </c>
      <c r="B3980">
        <v>190</v>
      </c>
      <c r="C3980" s="9" t="s">
        <v>29</v>
      </c>
      <c r="D3980" s="8">
        <v>-1.67E-2</v>
      </c>
    </row>
    <row r="3981" spans="1:4" x14ac:dyDescent="0.35">
      <c r="A3981" t="str">
        <f t="shared" si="68"/>
        <v>190Compounding Annual Return</v>
      </c>
      <c r="B3981">
        <v>190</v>
      </c>
      <c r="C3981" s="9" t="s">
        <v>30</v>
      </c>
      <c r="D3981" s="8">
        <v>-2.3640000000000001E-2</v>
      </c>
    </row>
    <row r="3982" spans="1:4" x14ac:dyDescent="0.35">
      <c r="A3982" t="str">
        <f t="shared" si="68"/>
        <v>190Drawdown</v>
      </c>
      <c r="B3982">
        <v>190</v>
      </c>
      <c r="C3982" s="9" t="s">
        <v>8</v>
      </c>
      <c r="D3982" s="8">
        <v>9.9000000000000005E-2</v>
      </c>
    </row>
    <row r="3983" spans="1:4" x14ac:dyDescent="0.35">
      <c r="A3983" t="str">
        <f t="shared" si="68"/>
        <v>190Expectancy</v>
      </c>
      <c r="B3983">
        <v>190</v>
      </c>
      <c r="C3983" s="9" t="s">
        <v>31</v>
      </c>
      <c r="D3983" s="8">
        <v>-7.0000000000000007E-2</v>
      </c>
    </row>
    <row r="3984" spans="1:4" x14ac:dyDescent="0.35">
      <c r="A3984" t="str">
        <f t="shared" si="68"/>
        <v>190Net Profit</v>
      </c>
      <c r="B3984">
        <v>190</v>
      </c>
      <c r="C3984" s="9" t="s">
        <v>32</v>
      </c>
      <c r="D3984" s="8">
        <v>-1.541E-2</v>
      </c>
    </row>
    <row r="3985" spans="1:4" x14ac:dyDescent="0.35">
      <c r="A3985" t="str">
        <f t="shared" si="68"/>
        <v>190Loss Rate</v>
      </c>
      <c r="B3985">
        <v>190</v>
      </c>
      <c r="C3985" s="9" t="s">
        <v>33</v>
      </c>
      <c r="D3985" s="8">
        <v>0.5</v>
      </c>
    </row>
    <row r="3986" spans="1:4" x14ac:dyDescent="0.35">
      <c r="A3986" t="str">
        <f t="shared" si="68"/>
        <v>190Win Rate</v>
      </c>
      <c r="B3986">
        <v>190</v>
      </c>
      <c r="C3986" s="9" t="s">
        <v>34</v>
      </c>
      <c r="D3986" s="8">
        <v>0.5</v>
      </c>
    </row>
    <row r="3987" spans="1:4" x14ac:dyDescent="0.35">
      <c r="A3987" t="str">
        <f t="shared" si="68"/>
        <v>190Profit-Loss Ratio</v>
      </c>
      <c r="B3987">
        <v>190</v>
      </c>
      <c r="C3987" s="9" t="s">
        <v>26</v>
      </c>
      <c r="D3987" s="8">
        <v>0.86</v>
      </c>
    </row>
    <row r="3988" spans="1:4" x14ac:dyDescent="0.35">
      <c r="A3988" t="str">
        <f t="shared" si="68"/>
        <v>190Alpha</v>
      </c>
      <c r="B3988">
        <v>190</v>
      </c>
      <c r="C3988" s="9" t="s">
        <v>23</v>
      </c>
      <c r="D3988" s="8">
        <v>-1.4999999999999999E-2</v>
      </c>
    </row>
    <row r="3989" spans="1:4" x14ac:dyDescent="0.35">
      <c r="A3989" t="str">
        <f t="shared" si="68"/>
        <v>190Beta</v>
      </c>
      <c r="B3989">
        <v>190</v>
      </c>
      <c r="C3989" s="9" t="s">
        <v>24</v>
      </c>
      <c r="D3989" s="8">
        <v>1.0999999999999999E-2</v>
      </c>
    </row>
    <row r="3990" spans="1:4" x14ac:dyDescent="0.35">
      <c r="A3990" t="str">
        <f t="shared" si="68"/>
        <v>190Annual Standard Deviation</v>
      </c>
      <c r="B3990">
        <v>190</v>
      </c>
      <c r="C3990" s="9" t="s">
        <v>35</v>
      </c>
      <c r="D3990" s="8">
        <v>0.06</v>
      </c>
    </row>
    <row r="3991" spans="1:4" x14ac:dyDescent="0.35">
      <c r="A3991" t="str">
        <f t="shared" si="68"/>
        <v>190Annual Variance</v>
      </c>
      <c r="B3991">
        <v>190</v>
      </c>
      <c r="C3991" s="9" t="s">
        <v>36</v>
      </c>
      <c r="D3991" s="8">
        <v>4.0000000000000001E-3</v>
      </c>
    </row>
    <row r="3992" spans="1:4" x14ac:dyDescent="0.35">
      <c r="A3992" t="str">
        <f t="shared" si="68"/>
        <v>190Information Ratio</v>
      </c>
      <c r="B3992">
        <v>190</v>
      </c>
      <c r="C3992" s="9" t="s">
        <v>37</v>
      </c>
      <c r="D3992" s="8">
        <v>-0.80200000000000005</v>
      </c>
    </row>
    <row r="3993" spans="1:4" x14ac:dyDescent="0.35">
      <c r="A3993" t="str">
        <f t="shared" si="68"/>
        <v>190Tracking Error</v>
      </c>
      <c r="B3993">
        <v>190</v>
      </c>
      <c r="C3993" s="9" t="s">
        <v>38</v>
      </c>
      <c r="D3993" s="8">
        <v>0.09</v>
      </c>
    </row>
    <row r="3994" spans="1:4" x14ac:dyDescent="0.35">
      <c r="A3994" t="str">
        <f t="shared" si="68"/>
        <v>190Treynor Ratio</v>
      </c>
      <c r="B3994">
        <v>190</v>
      </c>
      <c r="C3994" s="9" t="s">
        <v>39</v>
      </c>
      <c r="D3994" s="8">
        <v>-1.284</v>
      </c>
    </row>
    <row r="3995" spans="1:4" x14ac:dyDescent="0.35">
      <c r="A3995" t="str">
        <f t="shared" si="68"/>
        <v>190Total Fees</v>
      </c>
      <c r="B3995">
        <v>190</v>
      </c>
      <c r="C3995" s="9" t="s">
        <v>40</v>
      </c>
      <c r="D3995" s="8">
        <v>0</v>
      </c>
    </row>
    <row r="3996" spans="1:4" x14ac:dyDescent="0.35">
      <c r="A3996" t="str">
        <f t="shared" si="68"/>
        <v>190Estimated Strategy Capacity</v>
      </c>
      <c r="B3996">
        <v>190</v>
      </c>
      <c r="C3996" s="9" t="s">
        <v>41</v>
      </c>
      <c r="D3996" s="8">
        <v>13000000</v>
      </c>
    </row>
    <row r="3997" spans="1:4" x14ac:dyDescent="0.35">
      <c r="A3997" t="str">
        <f t="shared" si="68"/>
        <v>191PSR</v>
      </c>
      <c r="B3997">
        <v>191</v>
      </c>
      <c r="C3997" s="9" t="s">
        <v>27</v>
      </c>
      <c r="D3997" s="8">
        <v>0.17876</v>
      </c>
    </row>
    <row r="3998" spans="1:4" x14ac:dyDescent="0.35">
      <c r="A3998" t="str">
        <f t="shared" si="68"/>
        <v>191Sharpe Ratio</v>
      </c>
      <c r="B3998">
        <v>191</v>
      </c>
      <c r="C3998" s="9" t="s">
        <v>1</v>
      </c>
      <c r="D3998" s="8">
        <v>4.9000000000000002E-2</v>
      </c>
    </row>
    <row r="3999" spans="1:4" x14ac:dyDescent="0.35">
      <c r="A3999" t="str">
        <f t="shared" ref="A3999:A4062" si="69">B3999&amp;C3999</f>
        <v>191Total Trades</v>
      </c>
      <c r="B3999">
        <v>191</v>
      </c>
      <c r="C3999" s="9" t="s">
        <v>28</v>
      </c>
      <c r="D3999" s="8">
        <v>297</v>
      </c>
    </row>
    <row r="4000" spans="1:4" x14ac:dyDescent="0.35">
      <c r="A4000" t="str">
        <f t="shared" si="69"/>
        <v>191Average Win</v>
      </c>
      <c r="B4000">
        <v>191</v>
      </c>
      <c r="C4000" s="9" t="s">
        <v>25</v>
      </c>
      <c r="D4000" s="8">
        <v>0.15409999999999999</v>
      </c>
    </row>
    <row r="4001" spans="1:4" x14ac:dyDescent="0.35">
      <c r="A4001" t="str">
        <f t="shared" si="69"/>
        <v>191Average Loss</v>
      </c>
      <c r="B4001">
        <v>191</v>
      </c>
      <c r="C4001" s="9" t="s">
        <v>29</v>
      </c>
      <c r="D4001" s="8">
        <v>-0.14599999999999999</v>
      </c>
    </row>
    <row r="4002" spans="1:4" x14ac:dyDescent="0.35">
      <c r="A4002" t="str">
        <f t="shared" si="69"/>
        <v>191Compounding Annual Return</v>
      </c>
      <c r="B4002">
        <v>191</v>
      </c>
      <c r="C4002" s="9" t="s">
        <v>30</v>
      </c>
      <c r="D4002" s="8">
        <v>-0.18079000000000001</v>
      </c>
    </row>
    <row r="4003" spans="1:4" x14ac:dyDescent="0.35">
      <c r="A4003" t="str">
        <f t="shared" si="69"/>
        <v>191Drawdown</v>
      </c>
      <c r="B4003">
        <v>191</v>
      </c>
      <c r="C4003" s="9" t="s">
        <v>8</v>
      </c>
      <c r="D4003" s="8">
        <v>0.64100000000000001</v>
      </c>
    </row>
    <row r="4004" spans="1:4" x14ac:dyDescent="0.35">
      <c r="A4004" t="str">
        <f t="shared" si="69"/>
        <v>191Expectancy</v>
      </c>
      <c r="B4004">
        <v>191</v>
      </c>
      <c r="C4004" s="9" t="s">
        <v>31</v>
      </c>
      <c r="D4004" s="8">
        <v>2.8000000000000001E-2</v>
      </c>
    </row>
    <row r="4005" spans="1:4" x14ac:dyDescent="0.35">
      <c r="A4005" t="str">
        <f t="shared" si="69"/>
        <v>191Net Profit</v>
      </c>
      <c r="B4005">
        <v>191</v>
      </c>
      <c r="C4005" s="9" t="s">
        <v>32</v>
      </c>
      <c r="D4005" s="8">
        <v>-0.12143</v>
      </c>
    </row>
    <row r="4006" spans="1:4" x14ac:dyDescent="0.35">
      <c r="A4006" t="str">
        <f t="shared" si="69"/>
        <v>191Loss Rate</v>
      </c>
      <c r="B4006">
        <v>191</v>
      </c>
      <c r="C4006" s="9" t="s">
        <v>33</v>
      </c>
      <c r="D4006" s="8">
        <v>0.5</v>
      </c>
    </row>
    <row r="4007" spans="1:4" x14ac:dyDescent="0.35">
      <c r="A4007" t="str">
        <f t="shared" si="69"/>
        <v>191Win Rate</v>
      </c>
      <c r="B4007">
        <v>191</v>
      </c>
      <c r="C4007" s="9" t="s">
        <v>34</v>
      </c>
      <c r="D4007" s="8">
        <v>0.5</v>
      </c>
    </row>
    <row r="4008" spans="1:4" x14ac:dyDescent="0.35">
      <c r="A4008" t="str">
        <f t="shared" si="69"/>
        <v>191Profit-Loss Ratio</v>
      </c>
      <c r="B4008">
        <v>191</v>
      </c>
      <c r="C4008" s="9" t="s">
        <v>26</v>
      </c>
      <c r="D4008" s="8">
        <v>1.06</v>
      </c>
    </row>
    <row r="4009" spans="1:4" x14ac:dyDescent="0.35">
      <c r="A4009" t="str">
        <f t="shared" si="69"/>
        <v>191Alpha</v>
      </c>
      <c r="B4009">
        <v>191</v>
      </c>
      <c r="C4009" s="9" t="s">
        <v>23</v>
      </c>
      <c r="D4009" s="8">
        <v>0</v>
      </c>
    </row>
    <row r="4010" spans="1:4" x14ac:dyDescent="0.35">
      <c r="A4010" t="str">
        <f t="shared" si="69"/>
        <v>191Beta</v>
      </c>
      <c r="B4010">
        <v>191</v>
      </c>
      <c r="C4010" s="9" t="s">
        <v>24</v>
      </c>
      <c r="D4010" s="8">
        <v>0.497</v>
      </c>
    </row>
    <row r="4011" spans="1:4" x14ac:dyDescent="0.35">
      <c r="A4011" t="str">
        <f t="shared" si="69"/>
        <v>191Annual Standard Deviation</v>
      </c>
      <c r="B4011">
        <v>191</v>
      </c>
      <c r="C4011" s="9" t="s">
        <v>35</v>
      </c>
      <c r="D4011" s="8">
        <v>0.57899999999999996</v>
      </c>
    </row>
    <row r="4012" spans="1:4" x14ac:dyDescent="0.35">
      <c r="A4012" t="str">
        <f t="shared" si="69"/>
        <v>191Annual Variance</v>
      </c>
      <c r="B4012">
        <v>191</v>
      </c>
      <c r="C4012" s="9" t="s">
        <v>36</v>
      </c>
      <c r="D4012" s="8">
        <v>0.33500000000000002</v>
      </c>
    </row>
    <row r="4013" spans="1:4" x14ac:dyDescent="0.35">
      <c r="A4013" t="str">
        <f t="shared" si="69"/>
        <v>191Information Ratio</v>
      </c>
      <c r="B4013">
        <v>191</v>
      </c>
      <c r="C4013" s="9" t="s">
        <v>37</v>
      </c>
      <c r="D4013" s="8">
        <v>-0.05</v>
      </c>
    </row>
    <row r="4014" spans="1:4" x14ac:dyDescent="0.35">
      <c r="A4014" t="str">
        <f t="shared" si="69"/>
        <v>191Tracking Error</v>
      </c>
      <c r="B4014">
        <v>191</v>
      </c>
      <c r="C4014" s="9" t="s">
        <v>38</v>
      </c>
      <c r="D4014" s="8">
        <v>0.57899999999999996</v>
      </c>
    </row>
    <row r="4015" spans="1:4" x14ac:dyDescent="0.35">
      <c r="A4015" t="str">
        <f t="shared" si="69"/>
        <v>191Treynor Ratio</v>
      </c>
      <c r="B4015">
        <v>191</v>
      </c>
      <c r="C4015" s="9" t="s">
        <v>39</v>
      </c>
      <c r="D4015" s="8">
        <v>5.7000000000000002E-2</v>
      </c>
    </row>
    <row r="4016" spans="1:4" x14ac:dyDescent="0.35">
      <c r="A4016" t="str">
        <f t="shared" si="69"/>
        <v>191Total Fees</v>
      </c>
      <c r="B4016">
        <v>191</v>
      </c>
      <c r="C4016" s="9" t="s">
        <v>40</v>
      </c>
      <c r="D4016" s="8">
        <v>0</v>
      </c>
    </row>
    <row r="4017" spans="1:4" x14ac:dyDescent="0.35">
      <c r="A4017" t="str">
        <f t="shared" si="69"/>
        <v>191Estimated Strategy Capacity</v>
      </c>
      <c r="B4017">
        <v>191</v>
      </c>
      <c r="C4017" s="9" t="s">
        <v>41</v>
      </c>
      <c r="D4017" s="8">
        <v>3000000</v>
      </c>
    </row>
    <row r="4018" spans="1:4" x14ac:dyDescent="0.35">
      <c r="A4018" t="str">
        <f t="shared" si="69"/>
        <v>192PSR</v>
      </c>
      <c r="B4018">
        <v>192</v>
      </c>
      <c r="C4018" s="9" t="s">
        <v>27</v>
      </c>
      <c r="D4018" s="8">
        <v>0.23416999999999999</v>
      </c>
    </row>
    <row r="4019" spans="1:4" x14ac:dyDescent="0.35">
      <c r="A4019" t="str">
        <f t="shared" si="69"/>
        <v>192Sharpe Ratio</v>
      </c>
      <c r="B4019">
        <v>192</v>
      </c>
      <c r="C4019" s="9" t="s">
        <v>1</v>
      </c>
      <c r="D4019" s="8">
        <v>0.28399999999999997</v>
      </c>
    </row>
    <row r="4020" spans="1:4" x14ac:dyDescent="0.35">
      <c r="A4020" t="str">
        <f t="shared" si="69"/>
        <v>192Total Trades</v>
      </c>
      <c r="B4020">
        <v>192</v>
      </c>
      <c r="C4020" s="9" t="s">
        <v>28</v>
      </c>
      <c r="D4020" s="8">
        <v>277</v>
      </c>
    </row>
    <row r="4021" spans="1:4" x14ac:dyDescent="0.35">
      <c r="A4021" t="str">
        <f t="shared" si="69"/>
        <v>192Average Win</v>
      </c>
      <c r="B4021">
        <v>192</v>
      </c>
      <c r="C4021" s="9" t="s">
        <v>25</v>
      </c>
      <c r="D4021" s="8">
        <v>0.2379</v>
      </c>
    </row>
    <row r="4022" spans="1:4" x14ac:dyDescent="0.35">
      <c r="A4022" t="str">
        <f t="shared" si="69"/>
        <v>192Average Loss</v>
      </c>
      <c r="B4022">
        <v>192</v>
      </c>
      <c r="C4022" s="9" t="s">
        <v>29</v>
      </c>
      <c r="D4022" s="8">
        <v>-0.14530000000000001</v>
      </c>
    </row>
    <row r="4023" spans="1:4" x14ac:dyDescent="0.35">
      <c r="A4023" t="str">
        <f t="shared" si="69"/>
        <v>192Compounding Annual Return</v>
      </c>
      <c r="B4023">
        <v>192</v>
      </c>
      <c r="C4023" s="9" t="s">
        <v>30</v>
      </c>
      <c r="D4023" s="8">
        <v>-0.15842999999999999</v>
      </c>
    </row>
    <row r="4024" spans="1:4" x14ac:dyDescent="0.35">
      <c r="A4024" t="str">
        <f t="shared" si="69"/>
        <v>192Drawdown</v>
      </c>
      <c r="B4024">
        <v>192</v>
      </c>
      <c r="C4024" s="9" t="s">
        <v>8</v>
      </c>
      <c r="D4024" s="8">
        <v>0.78200000000000003</v>
      </c>
    </row>
    <row r="4025" spans="1:4" x14ac:dyDescent="0.35">
      <c r="A4025" t="str">
        <f t="shared" si="69"/>
        <v>192Expectancy</v>
      </c>
      <c r="B4025">
        <v>192</v>
      </c>
      <c r="C4025" s="9" t="s">
        <v>31</v>
      </c>
      <c r="D4025" s="8">
        <v>9.9000000000000005E-2</v>
      </c>
    </row>
    <row r="4026" spans="1:4" x14ac:dyDescent="0.35">
      <c r="A4026" t="str">
        <f t="shared" si="69"/>
        <v>192Net Profit</v>
      </c>
      <c r="B4026">
        <v>192</v>
      </c>
      <c r="C4026" s="9" t="s">
        <v>32</v>
      </c>
      <c r="D4026" s="8">
        <v>-0.10594000000000001</v>
      </c>
    </row>
    <row r="4027" spans="1:4" x14ac:dyDescent="0.35">
      <c r="A4027" t="str">
        <f t="shared" si="69"/>
        <v>192Loss Rate</v>
      </c>
      <c r="B4027">
        <v>192</v>
      </c>
      <c r="C4027" s="9" t="s">
        <v>33</v>
      </c>
      <c r="D4027" s="8">
        <v>0.57999999999999996</v>
      </c>
    </row>
    <row r="4028" spans="1:4" x14ac:dyDescent="0.35">
      <c r="A4028" t="str">
        <f t="shared" si="69"/>
        <v>192Win Rate</v>
      </c>
      <c r="B4028">
        <v>192</v>
      </c>
      <c r="C4028" s="9" t="s">
        <v>34</v>
      </c>
      <c r="D4028" s="8">
        <v>0.42</v>
      </c>
    </row>
    <row r="4029" spans="1:4" x14ac:dyDescent="0.35">
      <c r="A4029" t="str">
        <f t="shared" si="69"/>
        <v>192Profit-Loss Ratio</v>
      </c>
      <c r="B4029">
        <v>192</v>
      </c>
      <c r="C4029" s="9" t="s">
        <v>26</v>
      </c>
      <c r="D4029" s="8">
        <v>1.64</v>
      </c>
    </row>
    <row r="4030" spans="1:4" x14ac:dyDescent="0.35">
      <c r="A4030" t="str">
        <f t="shared" si="69"/>
        <v>192Alpha</v>
      </c>
      <c r="B4030">
        <v>192</v>
      </c>
      <c r="C4030" s="9" t="s">
        <v>23</v>
      </c>
      <c r="D4030" s="8">
        <v>0.16400000000000001</v>
      </c>
    </row>
    <row r="4031" spans="1:4" x14ac:dyDescent="0.35">
      <c r="A4031" t="str">
        <f t="shared" si="69"/>
        <v>192Beta</v>
      </c>
      <c r="B4031">
        <v>192</v>
      </c>
      <c r="C4031" s="9" t="s">
        <v>24</v>
      </c>
      <c r="D4031" s="8">
        <v>1.2210000000000001</v>
      </c>
    </row>
    <row r="4032" spans="1:4" x14ac:dyDescent="0.35">
      <c r="A4032" t="str">
        <f t="shared" si="69"/>
        <v>192Annual Standard Deviation</v>
      </c>
      <c r="B4032">
        <v>192</v>
      </c>
      <c r="C4032" s="9" t="s">
        <v>35</v>
      </c>
      <c r="D4032" s="8">
        <v>0.82299999999999995</v>
      </c>
    </row>
    <row r="4033" spans="1:4" x14ac:dyDescent="0.35">
      <c r="A4033" t="str">
        <f t="shared" si="69"/>
        <v>192Annual Variance</v>
      </c>
      <c r="B4033">
        <v>192</v>
      </c>
      <c r="C4033" s="9" t="s">
        <v>36</v>
      </c>
      <c r="D4033" s="8">
        <v>0.67700000000000005</v>
      </c>
    </row>
    <row r="4034" spans="1:4" x14ac:dyDescent="0.35">
      <c r="A4034" t="str">
        <f t="shared" si="69"/>
        <v>192Information Ratio</v>
      </c>
      <c r="B4034">
        <v>192</v>
      </c>
      <c r="C4034" s="9" t="s">
        <v>37</v>
      </c>
      <c r="D4034" s="8">
        <v>0.216</v>
      </c>
    </row>
    <row r="4035" spans="1:4" x14ac:dyDescent="0.35">
      <c r="A4035" t="str">
        <f t="shared" si="69"/>
        <v>192Tracking Error</v>
      </c>
      <c r="B4035">
        <v>192</v>
      </c>
      <c r="C4035" s="9" t="s">
        <v>38</v>
      </c>
      <c r="D4035" s="8">
        <v>0.81899999999999995</v>
      </c>
    </row>
    <row r="4036" spans="1:4" x14ac:dyDescent="0.35">
      <c r="A4036" t="str">
        <f t="shared" si="69"/>
        <v>192Treynor Ratio</v>
      </c>
      <c r="B4036">
        <v>192</v>
      </c>
      <c r="C4036" s="9" t="s">
        <v>39</v>
      </c>
      <c r="D4036" s="8">
        <v>0.192</v>
      </c>
    </row>
    <row r="4037" spans="1:4" x14ac:dyDescent="0.35">
      <c r="A4037" t="str">
        <f t="shared" si="69"/>
        <v>192Total Fees</v>
      </c>
      <c r="B4037">
        <v>192</v>
      </c>
      <c r="C4037" s="9" t="s">
        <v>40</v>
      </c>
      <c r="D4037" s="8">
        <v>0</v>
      </c>
    </row>
    <row r="4038" spans="1:4" x14ac:dyDescent="0.35">
      <c r="A4038" t="str">
        <f t="shared" si="69"/>
        <v>192Estimated Strategy Capacity</v>
      </c>
      <c r="B4038">
        <v>192</v>
      </c>
      <c r="C4038" s="9" t="s">
        <v>41</v>
      </c>
      <c r="D4038" s="8">
        <v>2300000</v>
      </c>
    </row>
    <row r="4039" spans="1:4" x14ac:dyDescent="0.35">
      <c r="A4039" t="str">
        <f t="shared" si="69"/>
        <v>193PSR</v>
      </c>
      <c r="B4039">
        <v>193</v>
      </c>
      <c r="C4039" s="9" t="s">
        <v>27</v>
      </c>
      <c r="D4039" s="8">
        <v>5.7499999999999999E-3</v>
      </c>
    </row>
    <row r="4040" spans="1:4" x14ac:dyDescent="0.35">
      <c r="A4040" t="str">
        <f t="shared" si="69"/>
        <v>193Sharpe Ratio</v>
      </c>
      <c r="B4040">
        <v>193</v>
      </c>
      <c r="C4040" s="9" t="s">
        <v>1</v>
      </c>
      <c r="D4040" s="8">
        <v>-1.464</v>
      </c>
    </row>
    <row r="4041" spans="1:4" x14ac:dyDescent="0.35">
      <c r="A4041" t="str">
        <f t="shared" si="69"/>
        <v>193Total Trades</v>
      </c>
      <c r="B4041">
        <v>193</v>
      </c>
      <c r="C4041" s="9" t="s">
        <v>28</v>
      </c>
      <c r="D4041" s="8">
        <v>203</v>
      </c>
    </row>
    <row r="4042" spans="1:4" x14ac:dyDescent="0.35">
      <c r="A4042" t="str">
        <f t="shared" si="69"/>
        <v>193Average Win</v>
      </c>
      <c r="B4042">
        <v>193</v>
      </c>
      <c r="C4042" s="9" t="s">
        <v>25</v>
      </c>
      <c r="D4042" s="8">
        <v>1.17E-2</v>
      </c>
    </row>
    <row r="4043" spans="1:4" x14ac:dyDescent="0.35">
      <c r="A4043" t="str">
        <f t="shared" si="69"/>
        <v>193Average Loss</v>
      </c>
      <c r="B4043">
        <v>193</v>
      </c>
      <c r="C4043" s="9" t="s">
        <v>29</v>
      </c>
      <c r="D4043" s="8">
        <v>-3.8199999999999998E-2</v>
      </c>
    </row>
    <row r="4044" spans="1:4" x14ac:dyDescent="0.35">
      <c r="A4044" t="str">
        <f t="shared" si="69"/>
        <v>193Compounding Annual Return</v>
      </c>
      <c r="B4044">
        <v>193</v>
      </c>
      <c r="C4044" s="9" t="s">
        <v>30</v>
      </c>
      <c r="D4044" s="8">
        <v>-0.19031999999999999</v>
      </c>
    </row>
    <row r="4045" spans="1:4" x14ac:dyDescent="0.35">
      <c r="A4045" t="str">
        <f t="shared" si="69"/>
        <v>193Drawdown</v>
      </c>
      <c r="B4045">
        <v>193</v>
      </c>
      <c r="C4045" s="9" t="s">
        <v>8</v>
      </c>
      <c r="D4045" s="8">
        <v>0.159</v>
      </c>
    </row>
    <row r="4046" spans="1:4" x14ac:dyDescent="0.35">
      <c r="A4046" t="str">
        <f t="shared" si="69"/>
        <v>193Expectancy</v>
      </c>
      <c r="B4046">
        <v>193</v>
      </c>
      <c r="C4046" s="9" t="s">
        <v>31</v>
      </c>
      <c r="D4046" s="8">
        <v>-0.56499999999999995</v>
      </c>
    </row>
    <row r="4047" spans="1:4" x14ac:dyDescent="0.35">
      <c r="A4047" t="str">
        <f t="shared" si="69"/>
        <v>193Net Profit</v>
      </c>
      <c r="B4047">
        <v>193</v>
      </c>
      <c r="C4047" s="9" t="s">
        <v>32</v>
      </c>
      <c r="D4047" s="8">
        <v>-0.12808</v>
      </c>
    </row>
    <row r="4048" spans="1:4" x14ac:dyDescent="0.35">
      <c r="A4048" t="str">
        <f t="shared" si="69"/>
        <v>193Loss Rate</v>
      </c>
      <c r="B4048">
        <v>193</v>
      </c>
      <c r="C4048" s="9" t="s">
        <v>33</v>
      </c>
      <c r="D4048" s="8">
        <v>0.67</v>
      </c>
    </row>
    <row r="4049" spans="1:4" x14ac:dyDescent="0.35">
      <c r="A4049" t="str">
        <f t="shared" si="69"/>
        <v>193Win Rate</v>
      </c>
      <c r="B4049">
        <v>193</v>
      </c>
      <c r="C4049" s="9" t="s">
        <v>34</v>
      </c>
      <c r="D4049" s="8">
        <v>0.33</v>
      </c>
    </row>
    <row r="4050" spans="1:4" x14ac:dyDescent="0.35">
      <c r="A4050" t="str">
        <f t="shared" si="69"/>
        <v>193Profit-Loss Ratio</v>
      </c>
      <c r="B4050">
        <v>193</v>
      </c>
      <c r="C4050" s="9" t="s">
        <v>26</v>
      </c>
      <c r="D4050" s="8">
        <v>0.31</v>
      </c>
    </row>
    <row r="4051" spans="1:4" x14ac:dyDescent="0.35">
      <c r="A4051" t="str">
        <f t="shared" si="69"/>
        <v>193Alpha</v>
      </c>
      <c r="B4051">
        <v>193</v>
      </c>
      <c r="C4051" s="9" t="s">
        <v>23</v>
      </c>
      <c r="D4051" s="8">
        <v>-0.14599999999999999</v>
      </c>
    </row>
    <row r="4052" spans="1:4" x14ac:dyDescent="0.35">
      <c r="A4052" t="str">
        <f t="shared" si="69"/>
        <v>193Beta</v>
      </c>
      <c r="B4052">
        <v>193</v>
      </c>
      <c r="C4052" s="9" t="s">
        <v>24</v>
      </c>
      <c r="D4052" s="8">
        <v>0.24099999999999999</v>
      </c>
    </row>
    <row r="4053" spans="1:4" x14ac:dyDescent="0.35">
      <c r="A4053" t="str">
        <f t="shared" si="69"/>
        <v>193Annual Standard Deviation</v>
      </c>
      <c r="B4053">
        <v>193</v>
      </c>
      <c r="C4053" s="9" t="s">
        <v>35</v>
      </c>
      <c r="D4053" s="8">
        <v>9.0999999999999998E-2</v>
      </c>
    </row>
    <row r="4054" spans="1:4" x14ac:dyDescent="0.35">
      <c r="A4054" t="str">
        <f t="shared" si="69"/>
        <v>193Annual Variance</v>
      </c>
      <c r="B4054">
        <v>193</v>
      </c>
      <c r="C4054" s="9" t="s">
        <v>36</v>
      </c>
      <c r="D4054" s="8">
        <v>8.0000000000000002E-3</v>
      </c>
    </row>
    <row r="4055" spans="1:4" x14ac:dyDescent="0.35">
      <c r="A4055" t="str">
        <f t="shared" si="69"/>
        <v>193Information Ratio</v>
      </c>
      <c r="B4055">
        <v>193</v>
      </c>
      <c r="C4055" s="9" t="s">
        <v>37</v>
      </c>
      <c r="D4055" s="8">
        <v>-1.851</v>
      </c>
    </row>
    <row r="4056" spans="1:4" x14ac:dyDescent="0.35">
      <c r="A4056" t="str">
        <f t="shared" si="69"/>
        <v>193Tracking Error</v>
      </c>
      <c r="B4056">
        <v>193</v>
      </c>
      <c r="C4056" s="9" t="s">
        <v>38</v>
      </c>
      <c r="D4056" s="8">
        <v>0.10299999999999999</v>
      </c>
    </row>
    <row r="4057" spans="1:4" x14ac:dyDescent="0.35">
      <c r="A4057" t="str">
        <f t="shared" si="69"/>
        <v>193Treynor Ratio</v>
      </c>
      <c r="B4057">
        <v>193</v>
      </c>
      <c r="C4057" s="9" t="s">
        <v>39</v>
      </c>
      <c r="D4057" s="8">
        <v>-0.54900000000000004</v>
      </c>
    </row>
    <row r="4058" spans="1:4" x14ac:dyDescent="0.35">
      <c r="A4058" t="str">
        <f t="shared" si="69"/>
        <v>193Total Fees</v>
      </c>
      <c r="B4058">
        <v>193</v>
      </c>
      <c r="C4058" s="9" t="s">
        <v>40</v>
      </c>
      <c r="D4058" s="8">
        <v>0</v>
      </c>
    </row>
    <row r="4059" spans="1:4" x14ac:dyDescent="0.35">
      <c r="A4059" t="str">
        <f t="shared" si="69"/>
        <v>193Estimated Strategy Capacity</v>
      </c>
      <c r="B4059">
        <v>193</v>
      </c>
      <c r="C4059" s="9" t="s">
        <v>41</v>
      </c>
      <c r="D4059" s="8">
        <v>6100000</v>
      </c>
    </row>
    <row r="4060" spans="1:4" x14ac:dyDescent="0.35">
      <c r="A4060" t="str">
        <f t="shared" si="69"/>
        <v>194PSR</v>
      </c>
      <c r="B4060">
        <v>194</v>
      </c>
      <c r="C4060" s="9" t="s">
        <v>27</v>
      </c>
      <c r="D4060" s="8">
        <v>7.92E-3</v>
      </c>
    </row>
    <row r="4061" spans="1:4" x14ac:dyDescent="0.35">
      <c r="A4061" t="str">
        <f t="shared" si="69"/>
        <v>194Sharpe Ratio</v>
      </c>
      <c r="B4061">
        <v>194</v>
      </c>
      <c r="C4061" s="9" t="s">
        <v>1</v>
      </c>
      <c r="D4061" s="8">
        <v>-0.73199999999999998</v>
      </c>
    </row>
    <row r="4062" spans="1:4" x14ac:dyDescent="0.35">
      <c r="A4062" t="str">
        <f t="shared" si="69"/>
        <v>194Total Trades</v>
      </c>
      <c r="B4062">
        <v>194</v>
      </c>
      <c r="C4062" s="9" t="s">
        <v>28</v>
      </c>
      <c r="D4062" s="8">
        <v>198</v>
      </c>
    </row>
    <row r="4063" spans="1:4" x14ac:dyDescent="0.35">
      <c r="A4063" t="str">
        <f t="shared" ref="A4063:A4126" si="70">B4063&amp;C4063</f>
        <v>194Average Win</v>
      </c>
      <c r="B4063">
        <v>194</v>
      </c>
      <c r="C4063" s="9" t="s">
        <v>25</v>
      </c>
      <c r="D4063" s="8">
        <v>0.22309999999999999</v>
      </c>
    </row>
    <row r="4064" spans="1:4" x14ac:dyDescent="0.35">
      <c r="A4064" t="str">
        <f t="shared" si="70"/>
        <v>194Average Loss</v>
      </c>
      <c r="B4064">
        <v>194</v>
      </c>
      <c r="C4064" s="9" t="s">
        <v>29</v>
      </c>
      <c r="D4064" s="8">
        <v>-7.8E-2</v>
      </c>
    </row>
    <row r="4065" spans="1:4" x14ac:dyDescent="0.35">
      <c r="A4065" t="str">
        <f t="shared" si="70"/>
        <v>194Compounding Annual Return</v>
      </c>
      <c r="B4065">
        <v>194</v>
      </c>
      <c r="C4065" s="9" t="s">
        <v>30</v>
      </c>
      <c r="D4065" s="8">
        <v>-0.96894000000000002</v>
      </c>
    </row>
    <row r="4066" spans="1:4" x14ac:dyDescent="0.35">
      <c r="A4066" t="str">
        <f t="shared" si="70"/>
        <v>194Drawdown</v>
      </c>
      <c r="B4066">
        <v>194</v>
      </c>
      <c r="C4066" s="9" t="s">
        <v>8</v>
      </c>
      <c r="D4066" s="8">
        <v>0.92900000000000005</v>
      </c>
    </row>
    <row r="4067" spans="1:4" x14ac:dyDescent="0.35">
      <c r="A4067" t="str">
        <f t="shared" si="70"/>
        <v>194Expectancy</v>
      </c>
      <c r="B4067">
        <v>194</v>
      </c>
      <c r="C4067" s="9" t="s">
        <v>31</v>
      </c>
      <c r="D4067" s="8">
        <v>-0.84599999999999997</v>
      </c>
    </row>
    <row r="4068" spans="1:4" x14ac:dyDescent="0.35">
      <c r="A4068" t="str">
        <f t="shared" si="70"/>
        <v>194Net Profit</v>
      </c>
      <c r="B4068">
        <v>194</v>
      </c>
      <c r="C4068" s="9" t="s">
        <v>32</v>
      </c>
      <c r="D4068" s="8">
        <v>-0.89500000000000002</v>
      </c>
    </row>
    <row r="4069" spans="1:4" x14ac:dyDescent="0.35">
      <c r="A4069" t="str">
        <f t="shared" si="70"/>
        <v>194Loss Rate</v>
      </c>
      <c r="B4069">
        <v>194</v>
      </c>
      <c r="C4069" s="9" t="s">
        <v>33</v>
      </c>
      <c r="D4069" s="8">
        <v>0.96</v>
      </c>
    </row>
    <row r="4070" spans="1:4" x14ac:dyDescent="0.35">
      <c r="A4070" t="str">
        <f t="shared" si="70"/>
        <v>194Win Rate</v>
      </c>
      <c r="B4070">
        <v>194</v>
      </c>
      <c r="C4070" s="9" t="s">
        <v>34</v>
      </c>
      <c r="D4070" s="8">
        <v>0.04</v>
      </c>
    </row>
    <row r="4071" spans="1:4" x14ac:dyDescent="0.35">
      <c r="A4071" t="str">
        <f t="shared" si="70"/>
        <v>194Profit-Loss Ratio</v>
      </c>
      <c r="B4071">
        <v>194</v>
      </c>
      <c r="C4071" s="9" t="s">
        <v>26</v>
      </c>
      <c r="D4071" s="8">
        <v>2.86</v>
      </c>
    </row>
    <row r="4072" spans="1:4" x14ac:dyDescent="0.35">
      <c r="A4072" t="str">
        <f t="shared" si="70"/>
        <v>194Alpha</v>
      </c>
      <c r="B4072">
        <v>194</v>
      </c>
      <c r="C4072" s="9" t="s">
        <v>23</v>
      </c>
      <c r="D4072" s="8">
        <v>-0.96</v>
      </c>
    </row>
    <row r="4073" spans="1:4" x14ac:dyDescent="0.35">
      <c r="A4073" t="str">
        <f t="shared" si="70"/>
        <v>194Beta</v>
      </c>
      <c r="B4073">
        <v>194</v>
      </c>
      <c r="C4073" s="9" t="s">
        <v>24</v>
      </c>
      <c r="D4073" s="8">
        <v>2.3279999999999998</v>
      </c>
    </row>
    <row r="4074" spans="1:4" x14ac:dyDescent="0.35">
      <c r="A4074" t="str">
        <f t="shared" si="70"/>
        <v>194Annual Standard Deviation</v>
      </c>
      <c r="B4074">
        <v>194</v>
      </c>
      <c r="C4074" s="9" t="s">
        <v>35</v>
      </c>
      <c r="D4074" s="8">
        <v>1.1299999999999999</v>
      </c>
    </row>
    <row r="4075" spans="1:4" x14ac:dyDescent="0.35">
      <c r="A4075" t="str">
        <f t="shared" si="70"/>
        <v>194Annual Variance</v>
      </c>
      <c r="B4075">
        <v>194</v>
      </c>
      <c r="C4075" s="9" t="s">
        <v>36</v>
      </c>
      <c r="D4075" s="8">
        <v>1.276</v>
      </c>
    </row>
    <row r="4076" spans="1:4" x14ac:dyDescent="0.35">
      <c r="A4076" t="str">
        <f t="shared" si="70"/>
        <v>194Information Ratio</v>
      </c>
      <c r="B4076">
        <v>194</v>
      </c>
      <c r="C4076" s="9" t="s">
        <v>37</v>
      </c>
      <c r="D4076" s="8">
        <v>-0.78700000000000003</v>
      </c>
    </row>
    <row r="4077" spans="1:4" x14ac:dyDescent="0.35">
      <c r="A4077" t="str">
        <f t="shared" si="70"/>
        <v>194Tracking Error</v>
      </c>
      <c r="B4077">
        <v>194</v>
      </c>
      <c r="C4077" s="9" t="s">
        <v>38</v>
      </c>
      <c r="D4077" s="8">
        <v>1.1220000000000001</v>
      </c>
    </row>
    <row r="4078" spans="1:4" x14ac:dyDescent="0.35">
      <c r="A4078" t="str">
        <f t="shared" si="70"/>
        <v>194Treynor Ratio</v>
      </c>
      <c r="B4078">
        <v>194</v>
      </c>
      <c r="C4078" s="9" t="s">
        <v>39</v>
      </c>
      <c r="D4078" s="8">
        <v>-0.35499999999999998</v>
      </c>
    </row>
    <row r="4079" spans="1:4" x14ac:dyDescent="0.35">
      <c r="A4079" t="str">
        <f t="shared" si="70"/>
        <v>194Total Fees</v>
      </c>
      <c r="B4079">
        <v>194</v>
      </c>
      <c r="C4079" s="9" t="s">
        <v>40</v>
      </c>
      <c r="D4079" s="8">
        <v>0</v>
      </c>
    </row>
    <row r="4080" spans="1:4" x14ac:dyDescent="0.35">
      <c r="A4080" t="str">
        <f t="shared" si="70"/>
        <v>194Estimated Strategy Capacity</v>
      </c>
      <c r="B4080">
        <v>194</v>
      </c>
      <c r="C4080" s="9" t="s">
        <v>41</v>
      </c>
      <c r="D4080" s="8">
        <v>1200000</v>
      </c>
    </row>
    <row r="4081" spans="1:4" x14ac:dyDescent="0.35">
      <c r="A4081" t="str">
        <f t="shared" si="70"/>
        <v>195PSR</v>
      </c>
      <c r="B4081">
        <v>195</v>
      </c>
      <c r="C4081" s="9" t="s">
        <v>27</v>
      </c>
      <c r="D4081" s="8">
        <v>7.2100000000000003E-3</v>
      </c>
    </row>
    <row r="4082" spans="1:4" x14ac:dyDescent="0.35">
      <c r="A4082" t="str">
        <f t="shared" si="70"/>
        <v>195Sharpe Ratio</v>
      </c>
      <c r="B4082">
        <v>195</v>
      </c>
      <c r="C4082" s="9" t="s">
        <v>1</v>
      </c>
      <c r="D4082" s="8">
        <v>-0.60099999999999998</v>
      </c>
    </row>
    <row r="4083" spans="1:4" x14ac:dyDescent="0.35">
      <c r="A4083" t="str">
        <f t="shared" si="70"/>
        <v>195Total Trades</v>
      </c>
      <c r="B4083">
        <v>195</v>
      </c>
      <c r="C4083" s="9" t="s">
        <v>28</v>
      </c>
      <c r="D4083" s="8">
        <v>184</v>
      </c>
    </row>
    <row r="4084" spans="1:4" x14ac:dyDescent="0.35">
      <c r="A4084" t="str">
        <f t="shared" si="70"/>
        <v>195Average Win</v>
      </c>
      <c r="B4084">
        <v>195</v>
      </c>
      <c r="C4084" s="9" t="s">
        <v>25</v>
      </c>
      <c r="D4084" s="8">
        <v>3.2000000000000002E-3</v>
      </c>
    </row>
    <row r="4085" spans="1:4" x14ac:dyDescent="0.35">
      <c r="A4085" t="str">
        <f t="shared" si="70"/>
        <v>195Average Loss</v>
      </c>
      <c r="B4085">
        <v>195</v>
      </c>
      <c r="C4085" s="9" t="s">
        <v>29</v>
      </c>
      <c r="D4085" s="8">
        <v>-5.7500000000000002E-2</v>
      </c>
    </row>
    <row r="4086" spans="1:4" x14ac:dyDescent="0.35">
      <c r="A4086" t="str">
        <f t="shared" si="70"/>
        <v>195Compounding Annual Return</v>
      </c>
      <c r="B4086">
        <v>195</v>
      </c>
      <c r="C4086" s="9" t="s">
        <v>30</v>
      </c>
      <c r="D4086" s="8">
        <v>-0.99353000000000002</v>
      </c>
    </row>
    <row r="4087" spans="1:4" x14ac:dyDescent="0.35">
      <c r="A4087" t="str">
        <f t="shared" si="70"/>
        <v>195Drawdown</v>
      </c>
      <c r="B4087">
        <v>195</v>
      </c>
      <c r="C4087" s="9" t="s">
        <v>8</v>
      </c>
      <c r="D4087" s="8">
        <v>0.98299999999999998</v>
      </c>
    </row>
    <row r="4088" spans="1:4" x14ac:dyDescent="0.35">
      <c r="A4088" t="str">
        <f t="shared" si="70"/>
        <v>195Expectancy</v>
      </c>
      <c r="B4088">
        <v>195</v>
      </c>
      <c r="C4088" s="9" t="s">
        <v>31</v>
      </c>
      <c r="D4088" s="8">
        <v>-0.95</v>
      </c>
    </row>
    <row r="4089" spans="1:4" x14ac:dyDescent="0.35">
      <c r="A4089" t="str">
        <f t="shared" si="70"/>
        <v>195Net Profit</v>
      </c>
      <c r="B4089">
        <v>195</v>
      </c>
      <c r="C4089" s="9" t="s">
        <v>32</v>
      </c>
      <c r="D4089" s="8">
        <v>-0.96209</v>
      </c>
    </row>
    <row r="4090" spans="1:4" x14ac:dyDescent="0.35">
      <c r="A4090" t="str">
        <f t="shared" si="70"/>
        <v>195Loss Rate</v>
      </c>
      <c r="B4090">
        <v>195</v>
      </c>
      <c r="C4090" s="9" t="s">
        <v>33</v>
      </c>
      <c r="D4090" s="8">
        <v>0.95</v>
      </c>
    </row>
    <row r="4091" spans="1:4" x14ac:dyDescent="0.35">
      <c r="A4091" t="str">
        <f t="shared" si="70"/>
        <v>195Win Rate</v>
      </c>
      <c r="B4091">
        <v>195</v>
      </c>
      <c r="C4091" s="9" t="s">
        <v>34</v>
      </c>
      <c r="D4091" s="8">
        <v>0.05</v>
      </c>
    </row>
    <row r="4092" spans="1:4" x14ac:dyDescent="0.35">
      <c r="A4092" t="str">
        <f t="shared" si="70"/>
        <v>195Profit-Loss Ratio</v>
      </c>
      <c r="B4092">
        <v>195</v>
      </c>
      <c r="C4092" s="9" t="s">
        <v>26</v>
      </c>
      <c r="D4092" s="8">
        <v>0.06</v>
      </c>
    </row>
    <row r="4093" spans="1:4" x14ac:dyDescent="0.35">
      <c r="A4093" t="str">
        <f t="shared" si="70"/>
        <v>195Alpha</v>
      </c>
      <c r="B4093">
        <v>195</v>
      </c>
      <c r="C4093" s="9" t="s">
        <v>23</v>
      </c>
      <c r="D4093" s="8">
        <v>-0.95199999999999996</v>
      </c>
    </row>
    <row r="4094" spans="1:4" x14ac:dyDescent="0.35">
      <c r="A4094" t="str">
        <f t="shared" si="70"/>
        <v>195Beta</v>
      </c>
      <c r="B4094">
        <v>195</v>
      </c>
      <c r="C4094" s="9" t="s">
        <v>24</v>
      </c>
      <c r="D4094" s="8">
        <v>0.88600000000000001</v>
      </c>
    </row>
    <row r="4095" spans="1:4" x14ac:dyDescent="0.35">
      <c r="A4095" t="str">
        <f t="shared" si="70"/>
        <v>195Annual Standard Deviation</v>
      </c>
      <c r="B4095">
        <v>195</v>
      </c>
      <c r="C4095" s="9" t="s">
        <v>35</v>
      </c>
      <c r="D4095" s="8">
        <v>1.498</v>
      </c>
    </row>
    <row r="4096" spans="1:4" x14ac:dyDescent="0.35">
      <c r="A4096" t="str">
        <f t="shared" si="70"/>
        <v>195Annual Variance</v>
      </c>
      <c r="B4096">
        <v>195</v>
      </c>
      <c r="C4096" s="9" t="s">
        <v>36</v>
      </c>
      <c r="D4096" s="8">
        <v>2.2450000000000001</v>
      </c>
    </row>
    <row r="4097" spans="1:4" x14ac:dyDescent="0.35">
      <c r="A4097" t="str">
        <f t="shared" si="70"/>
        <v>195Information Ratio</v>
      </c>
      <c r="B4097">
        <v>195</v>
      </c>
      <c r="C4097" s="9" t="s">
        <v>37</v>
      </c>
      <c r="D4097" s="8">
        <v>-0.64</v>
      </c>
    </row>
    <row r="4098" spans="1:4" x14ac:dyDescent="0.35">
      <c r="A4098" t="str">
        <f t="shared" si="70"/>
        <v>195Tracking Error</v>
      </c>
      <c r="B4098">
        <v>195</v>
      </c>
      <c r="C4098" s="9" t="s">
        <v>38</v>
      </c>
      <c r="D4098" s="8">
        <v>1.4970000000000001</v>
      </c>
    </row>
    <row r="4099" spans="1:4" x14ac:dyDescent="0.35">
      <c r="A4099" t="str">
        <f t="shared" si="70"/>
        <v>195Treynor Ratio</v>
      </c>
      <c r="B4099">
        <v>195</v>
      </c>
      <c r="C4099" s="9" t="s">
        <v>39</v>
      </c>
      <c r="D4099" s="8">
        <v>-1.0169999999999999</v>
      </c>
    </row>
    <row r="4100" spans="1:4" x14ac:dyDescent="0.35">
      <c r="A4100" t="str">
        <f t="shared" si="70"/>
        <v>195Total Fees</v>
      </c>
      <c r="B4100">
        <v>195</v>
      </c>
      <c r="C4100" s="9" t="s">
        <v>40</v>
      </c>
      <c r="D4100" s="8">
        <v>0</v>
      </c>
    </row>
    <row r="4101" spans="1:4" x14ac:dyDescent="0.35">
      <c r="A4101" t="str">
        <f t="shared" si="70"/>
        <v>195Estimated Strategy Capacity</v>
      </c>
      <c r="B4101">
        <v>195</v>
      </c>
      <c r="C4101" s="9" t="s">
        <v>41</v>
      </c>
      <c r="D4101" s="8">
        <v>560000</v>
      </c>
    </row>
    <row r="4102" spans="1:4" x14ac:dyDescent="0.35">
      <c r="A4102" t="str">
        <f t="shared" si="70"/>
        <v>196PSR</v>
      </c>
      <c r="B4102">
        <v>196</v>
      </c>
      <c r="C4102" s="9" t="s">
        <v>27</v>
      </c>
      <c r="D4102" s="8">
        <v>0.31396000000000002</v>
      </c>
    </row>
    <row r="4103" spans="1:4" x14ac:dyDescent="0.35">
      <c r="A4103" t="str">
        <f t="shared" si="70"/>
        <v>196Sharpe Ratio</v>
      </c>
      <c r="B4103">
        <v>196</v>
      </c>
      <c r="C4103" s="9" t="s">
        <v>1</v>
      </c>
      <c r="D4103" s="8">
        <v>0.51700000000000002</v>
      </c>
    </row>
    <row r="4104" spans="1:4" x14ac:dyDescent="0.35">
      <c r="A4104" t="str">
        <f t="shared" si="70"/>
        <v>196Total Trades</v>
      </c>
      <c r="B4104">
        <v>196</v>
      </c>
      <c r="C4104" s="9" t="s">
        <v>28</v>
      </c>
      <c r="D4104" s="8">
        <v>141</v>
      </c>
    </row>
    <row r="4105" spans="1:4" x14ac:dyDescent="0.35">
      <c r="A4105" t="str">
        <f t="shared" si="70"/>
        <v>196Average Win</v>
      </c>
      <c r="B4105">
        <v>196</v>
      </c>
      <c r="C4105" s="9" t="s">
        <v>25</v>
      </c>
      <c r="D4105" s="8">
        <v>4.4499999999999998E-2</v>
      </c>
    </row>
    <row r="4106" spans="1:4" x14ac:dyDescent="0.35">
      <c r="A4106" t="str">
        <f t="shared" si="70"/>
        <v>196Average Loss</v>
      </c>
      <c r="B4106">
        <v>196</v>
      </c>
      <c r="C4106" s="9" t="s">
        <v>29</v>
      </c>
      <c r="D4106" s="8">
        <v>-2.81E-2</v>
      </c>
    </row>
    <row r="4107" spans="1:4" x14ac:dyDescent="0.35">
      <c r="A4107" t="str">
        <f t="shared" si="70"/>
        <v>196Compounding Annual Return</v>
      </c>
      <c r="B4107">
        <v>196</v>
      </c>
      <c r="C4107" s="9" t="s">
        <v>30</v>
      </c>
      <c r="D4107" s="8">
        <v>5.3249999999999999E-2</v>
      </c>
    </row>
    <row r="4108" spans="1:4" x14ac:dyDescent="0.35">
      <c r="A4108" t="str">
        <f t="shared" si="70"/>
        <v>196Drawdown</v>
      </c>
      <c r="B4108">
        <v>196</v>
      </c>
      <c r="C4108" s="9" t="s">
        <v>8</v>
      </c>
      <c r="D4108" s="8">
        <v>0.06</v>
      </c>
    </row>
    <row r="4109" spans="1:4" x14ac:dyDescent="0.35">
      <c r="A4109" t="str">
        <f t="shared" si="70"/>
        <v>196Expectancy</v>
      </c>
      <c r="B4109">
        <v>196</v>
      </c>
      <c r="C4109" s="9" t="s">
        <v>31</v>
      </c>
      <c r="D4109" s="8">
        <v>0.29199999999999998</v>
      </c>
    </row>
    <row r="4110" spans="1:4" x14ac:dyDescent="0.35">
      <c r="A4110" t="str">
        <f t="shared" si="70"/>
        <v>196Net Profit</v>
      </c>
      <c r="B4110">
        <v>196</v>
      </c>
      <c r="C4110" s="9" t="s">
        <v>32</v>
      </c>
      <c r="D4110" s="8">
        <v>3.4250000000000003E-2</v>
      </c>
    </row>
    <row r="4111" spans="1:4" x14ac:dyDescent="0.35">
      <c r="A4111" t="str">
        <f t="shared" si="70"/>
        <v>196Loss Rate</v>
      </c>
      <c r="B4111">
        <v>196</v>
      </c>
      <c r="C4111" s="9" t="s">
        <v>33</v>
      </c>
      <c r="D4111" s="8">
        <v>0.5</v>
      </c>
    </row>
    <row r="4112" spans="1:4" x14ac:dyDescent="0.35">
      <c r="A4112" t="str">
        <f t="shared" si="70"/>
        <v>196Win Rate</v>
      </c>
      <c r="B4112">
        <v>196</v>
      </c>
      <c r="C4112" s="9" t="s">
        <v>34</v>
      </c>
      <c r="D4112" s="8">
        <v>0.5</v>
      </c>
    </row>
    <row r="4113" spans="1:4" x14ac:dyDescent="0.35">
      <c r="A4113" t="str">
        <f t="shared" si="70"/>
        <v>196Profit-Loss Ratio</v>
      </c>
      <c r="B4113">
        <v>196</v>
      </c>
      <c r="C4113" s="9" t="s">
        <v>26</v>
      </c>
      <c r="D4113" s="8">
        <v>1.58</v>
      </c>
    </row>
    <row r="4114" spans="1:4" x14ac:dyDescent="0.35">
      <c r="A4114" t="str">
        <f t="shared" si="70"/>
        <v>196Alpha</v>
      </c>
      <c r="B4114">
        <v>196</v>
      </c>
      <c r="C4114" s="9" t="s">
        <v>23</v>
      </c>
      <c r="D4114" s="8">
        <v>3.1E-2</v>
      </c>
    </row>
    <row r="4115" spans="1:4" x14ac:dyDescent="0.35">
      <c r="A4115" t="str">
        <f t="shared" si="70"/>
        <v>196Beta</v>
      </c>
      <c r="B4115">
        <v>196</v>
      </c>
      <c r="C4115" s="9" t="s">
        <v>24</v>
      </c>
      <c r="D4115" s="8">
        <v>0.14499999999999999</v>
      </c>
    </row>
    <row r="4116" spans="1:4" x14ac:dyDescent="0.35">
      <c r="A4116" t="str">
        <f t="shared" si="70"/>
        <v>196Annual Standard Deviation</v>
      </c>
      <c r="B4116">
        <v>196</v>
      </c>
      <c r="C4116" s="9" t="s">
        <v>35</v>
      </c>
      <c r="D4116" s="8">
        <v>7.6999999999999999E-2</v>
      </c>
    </row>
    <row r="4117" spans="1:4" x14ac:dyDescent="0.35">
      <c r="A4117" t="str">
        <f t="shared" si="70"/>
        <v>196Annual Variance</v>
      </c>
      <c r="B4117">
        <v>196</v>
      </c>
      <c r="C4117" s="9" t="s">
        <v>36</v>
      </c>
      <c r="D4117" s="8">
        <v>6.0000000000000001E-3</v>
      </c>
    </row>
    <row r="4118" spans="1:4" x14ac:dyDescent="0.35">
      <c r="A4118" t="str">
        <f t="shared" si="70"/>
        <v>196Information Ratio</v>
      </c>
      <c r="B4118">
        <v>196</v>
      </c>
      <c r="C4118" s="9" t="s">
        <v>37</v>
      </c>
      <c r="D4118" s="8">
        <v>-0.184</v>
      </c>
    </row>
    <row r="4119" spans="1:4" x14ac:dyDescent="0.35">
      <c r="A4119" t="str">
        <f t="shared" si="70"/>
        <v>196Tracking Error</v>
      </c>
      <c r="B4119">
        <v>196</v>
      </c>
      <c r="C4119" s="9" t="s">
        <v>38</v>
      </c>
      <c r="D4119" s="8">
        <v>9.5000000000000001E-2</v>
      </c>
    </row>
    <row r="4120" spans="1:4" x14ac:dyDescent="0.35">
      <c r="A4120" t="str">
        <f t="shared" si="70"/>
        <v>196Treynor Ratio</v>
      </c>
      <c r="B4120">
        <v>196</v>
      </c>
      <c r="C4120" s="9" t="s">
        <v>39</v>
      </c>
      <c r="D4120" s="8">
        <v>0.27300000000000002</v>
      </c>
    </row>
    <row r="4121" spans="1:4" x14ac:dyDescent="0.35">
      <c r="A4121" t="str">
        <f t="shared" si="70"/>
        <v>196Total Fees</v>
      </c>
      <c r="B4121">
        <v>196</v>
      </c>
      <c r="C4121" s="9" t="s">
        <v>40</v>
      </c>
      <c r="D4121" s="8">
        <v>0</v>
      </c>
    </row>
    <row r="4122" spans="1:4" x14ac:dyDescent="0.35">
      <c r="A4122" t="str">
        <f t="shared" si="70"/>
        <v>196Estimated Strategy Capacity</v>
      </c>
      <c r="B4122">
        <v>196</v>
      </c>
      <c r="C4122" s="9" t="s">
        <v>41</v>
      </c>
      <c r="D4122" s="8">
        <v>12000000</v>
      </c>
    </row>
    <row r="4123" spans="1:4" x14ac:dyDescent="0.35">
      <c r="A4123" t="str">
        <f t="shared" si="70"/>
        <v>197PSR</v>
      </c>
      <c r="B4123">
        <v>197</v>
      </c>
      <c r="C4123" s="9" t="s">
        <v>27</v>
      </c>
      <c r="D4123" s="8">
        <v>0.43468000000000001</v>
      </c>
    </row>
    <row r="4124" spans="1:4" x14ac:dyDescent="0.35">
      <c r="A4124" t="str">
        <f t="shared" si="70"/>
        <v>197Sharpe Ratio</v>
      </c>
      <c r="B4124">
        <v>197</v>
      </c>
      <c r="C4124" s="9" t="s">
        <v>1</v>
      </c>
      <c r="D4124" s="8">
        <v>1.073</v>
      </c>
    </row>
    <row r="4125" spans="1:4" x14ac:dyDescent="0.35">
      <c r="A4125" t="str">
        <f t="shared" si="70"/>
        <v>197Total Trades</v>
      </c>
      <c r="B4125">
        <v>197</v>
      </c>
      <c r="C4125" s="9" t="s">
        <v>28</v>
      </c>
      <c r="D4125" s="8">
        <v>140</v>
      </c>
    </row>
    <row r="4126" spans="1:4" x14ac:dyDescent="0.35">
      <c r="A4126" t="str">
        <f t="shared" si="70"/>
        <v>197Average Win</v>
      </c>
      <c r="B4126">
        <v>197</v>
      </c>
      <c r="C4126" s="9" t="s">
        <v>25</v>
      </c>
      <c r="D4126" s="8">
        <v>0.40960000000000002</v>
      </c>
    </row>
    <row r="4127" spans="1:4" x14ac:dyDescent="0.35">
      <c r="A4127" t="str">
        <f t="shared" ref="A4127:A4190" si="71">B4127&amp;C4127</f>
        <v>197Average Loss</v>
      </c>
      <c r="B4127">
        <v>197</v>
      </c>
      <c r="C4127" s="9" t="s">
        <v>29</v>
      </c>
      <c r="D4127" s="8">
        <v>-0.1704</v>
      </c>
    </row>
    <row r="4128" spans="1:4" x14ac:dyDescent="0.35">
      <c r="A4128" t="str">
        <f t="shared" si="71"/>
        <v>197Compounding Annual Return</v>
      </c>
      <c r="B4128">
        <v>197</v>
      </c>
      <c r="C4128" s="9" t="s">
        <v>30</v>
      </c>
      <c r="D4128" s="8">
        <v>0.59323999999999999</v>
      </c>
    </row>
    <row r="4129" spans="1:4" x14ac:dyDescent="0.35">
      <c r="A4129" t="str">
        <f t="shared" si="71"/>
        <v>197Drawdown</v>
      </c>
      <c r="B4129">
        <v>197</v>
      </c>
      <c r="C4129" s="9" t="s">
        <v>8</v>
      </c>
      <c r="D4129" s="8">
        <v>0.32400000000000001</v>
      </c>
    </row>
    <row r="4130" spans="1:4" x14ac:dyDescent="0.35">
      <c r="A4130" t="str">
        <f t="shared" si="71"/>
        <v>197Expectancy</v>
      </c>
      <c r="B4130">
        <v>197</v>
      </c>
      <c r="C4130" s="9" t="s">
        <v>31</v>
      </c>
      <c r="D4130" s="8">
        <v>0.70199999999999996</v>
      </c>
    </row>
    <row r="4131" spans="1:4" x14ac:dyDescent="0.35">
      <c r="A4131" t="str">
        <f t="shared" si="71"/>
        <v>197Net Profit</v>
      </c>
      <c r="B4131">
        <v>197</v>
      </c>
      <c r="C4131" s="9" t="s">
        <v>32</v>
      </c>
      <c r="D4131" s="8">
        <v>0.35306999999999999</v>
      </c>
    </row>
    <row r="4132" spans="1:4" x14ac:dyDescent="0.35">
      <c r="A4132" t="str">
        <f t="shared" si="71"/>
        <v>197Loss Rate</v>
      </c>
      <c r="B4132">
        <v>197</v>
      </c>
      <c r="C4132" s="9" t="s">
        <v>33</v>
      </c>
      <c r="D4132" s="8">
        <v>0.5</v>
      </c>
    </row>
    <row r="4133" spans="1:4" x14ac:dyDescent="0.35">
      <c r="A4133" t="str">
        <f t="shared" si="71"/>
        <v>197Win Rate</v>
      </c>
      <c r="B4133">
        <v>197</v>
      </c>
      <c r="C4133" s="9" t="s">
        <v>34</v>
      </c>
      <c r="D4133" s="8">
        <v>0.5</v>
      </c>
    </row>
    <row r="4134" spans="1:4" x14ac:dyDescent="0.35">
      <c r="A4134" t="str">
        <f t="shared" si="71"/>
        <v>197Profit-Loss Ratio</v>
      </c>
      <c r="B4134">
        <v>197</v>
      </c>
      <c r="C4134" s="9" t="s">
        <v>26</v>
      </c>
      <c r="D4134" s="8">
        <v>2.4</v>
      </c>
    </row>
    <row r="4135" spans="1:4" x14ac:dyDescent="0.35">
      <c r="A4135" t="str">
        <f t="shared" si="71"/>
        <v>197Alpha</v>
      </c>
      <c r="B4135">
        <v>197</v>
      </c>
      <c r="C4135" s="9" t="s">
        <v>23</v>
      </c>
      <c r="D4135" s="8">
        <v>0.52400000000000002</v>
      </c>
    </row>
    <row r="4136" spans="1:4" x14ac:dyDescent="0.35">
      <c r="A4136" t="str">
        <f t="shared" si="71"/>
        <v>197Beta</v>
      </c>
      <c r="B4136">
        <v>197</v>
      </c>
      <c r="C4136" s="9" t="s">
        <v>24</v>
      </c>
      <c r="D4136" s="8">
        <v>1.2</v>
      </c>
    </row>
    <row r="4137" spans="1:4" x14ac:dyDescent="0.35">
      <c r="A4137" t="str">
        <f t="shared" si="71"/>
        <v>197Annual Standard Deviation</v>
      </c>
      <c r="B4137">
        <v>197</v>
      </c>
      <c r="C4137" s="9" t="s">
        <v>35</v>
      </c>
      <c r="D4137" s="8">
        <v>0.55300000000000005</v>
      </c>
    </row>
    <row r="4138" spans="1:4" x14ac:dyDescent="0.35">
      <c r="A4138" t="str">
        <f t="shared" si="71"/>
        <v>197Annual Variance</v>
      </c>
      <c r="B4138">
        <v>197</v>
      </c>
      <c r="C4138" s="9" t="s">
        <v>36</v>
      </c>
      <c r="D4138" s="8">
        <v>0.30499999999999999</v>
      </c>
    </row>
    <row r="4139" spans="1:4" x14ac:dyDescent="0.35">
      <c r="A4139" t="str">
        <f t="shared" si="71"/>
        <v>197Information Ratio</v>
      </c>
      <c r="B4139">
        <v>197</v>
      </c>
      <c r="C4139" s="9" t="s">
        <v>37</v>
      </c>
      <c r="D4139" s="8">
        <v>0.98</v>
      </c>
    </row>
    <row r="4140" spans="1:4" x14ac:dyDescent="0.35">
      <c r="A4140" t="str">
        <f t="shared" si="71"/>
        <v>197Tracking Error</v>
      </c>
      <c r="B4140">
        <v>197</v>
      </c>
      <c r="C4140" s="9" t="s">
        <v>38</v>
      </c>
      <c r="D4140" s="8">
        <v>0.54700000000000004</v>
      </c>
    </row>
    <row r="4141" spans="1:4" x14ac:dyDescent="0.35">
      <c r="A4141" t="str">
        <f t="shared" si="71"/>
        <v>197Treynor Ratio</v>
      </c>
      <c r="B4141">
        <v>197</v>
      </c>
      <c r="C4141" s="9" t="s">
        <v>39</v>
      </c>
      <c r="D4141" s="8">
        <v>0.49399999999999999</v>
      </c>
    </row>
    <row r="4142" spans="1:4" x14ac:dyDescent="0.35">
      <c r="A4142" t="str">
        <f t="shared" si="71"/>
        <v>197Total Fees</v>
      </c>
      <c r="B4142">
        <v>197</v>
      </c>
      <c r="C4142" s="9" t="s">
        <v>40</v>
      </c>
      <c r="D4142" s="8">
        <v>0</v>
      </c>
    </row>
    <row r="4143" spans="1:4" x14ac:dyDescent="0.35">
      <c r="A4143" t="str">
        <f t="shared" si="71"/>
        <v>197Estimated Strategy Capacity</v>
      </c>
      <c r="B4143">
        <v>197</v>
      </c>
      <c r="C4143" s="9" t="s">
        <v>41</v>
      </c>
      <c r="D4143" s="8">
        <v>3700000</v>
      </c>
    </row>
    <row r="4144" spans="1:4" x14ac:dyDescent="0.35">
      <c r="A4144" t="str">
        <f t="shared" si="71"/>
        <v>198PSR</v>
      </c>
      <c r="B4144">
        <v>198</v>
      </c>
      <c r="C4144" s="9" t="s">
        <v>27</v>
      </c>
      <c r="D4144" s="8">
        <v>0.34200999999999998</v>
      </c>
    </row>
    <row r="4145" spans="1:4" x14ac:dyDescent="0.35">
      <c r="A4145" t="str">
        <f t="shared" si="71"/>
        <v>198Sharpe Ratio</v>
      </c>
      <c r="B4145">
        <v>198</v>
      </c>
      <c r="C4145" s="9" t="s">
        <v>1</v>
      </c>
      <c r="D4145" s="8">
        <v>0.74</v>
      </c>
    </row>
    <row r="4146" spans="1:4" x14ac:dyDescent="0.35">
      <c r="A4146" t="str">
        <f t="shared" si="71"/>
        <v>198Total Trades</v>
      </c>
      <c r="B4146">
        <v>198</v>
      </c>
      <c r="C4146" s="9" t="s">
        <v>28</v>
      </c>
      <c r="D4146" s="8">
        <v>133</v>
      </c>
    </row>
    <row r="4147" spans="1:4" x14ac:dyDescent="0.35">
      <c r="A4147" t="str">
        <f t="shared" si="71"/>
        <v>198Average Win</v>
      </c>
      <c r="B4147">
        <v>198</v>
      </c>
      <c r="C4147" s="9" t="s">
        <v>25</v>
      </c>
      <c r="D4147" s="8">
        <v>0.4556</v>
      </c>
    </row>
    <row r="4148" spans="1:4" x14ac:dyDescent="0.35">
      <c r="A4148" t="str">
        <f t="shared" si="71"/>
        <v>198Average Loss</v>
      </c>
      <c r="B4148">
        <v>198</v>
      </c>
      <c r="C4148" s="9" t="s">
        <v>29</v>
      </c>
      <c r="D4148" s="8">
        <v>-0.1053</v>
      </c>
    </row>
    <row r="4149" spans="1:4" x14ac:dyDescent="0.35">
      <c r="A4149" t="str">
        <f t="shared" si="71"/>
        <v>198Compounding Annual Return</v>
      </c>
      <c r="B4149">
        <v>198</v>
      </c>
      <c r="C4149" s="9" t="s">
        <v>30</v>
      </c>
      <c r="D4149" s="8">
        <v>0.27972000000000002</v>
      </c>
    </row>
    <row r="4150" spans="1:4" x14ac:dyDescent="0.35">
      <c r="A4150" t="str">
        <f t="shared" si="71"/>
        <v>198Drawdown</v>
      </c>
      <c r="B4150">
        <v>198</v>
      </c>
      <c r="C4150" s="9" t="s">
        <v>8</v>
      </c>
      <c r="D4150" s="8">
        <v>0.45800000000000002</v>
      </c>
    </row>
    <row r="4151" spans="1:4" x14ac:dyDescent="0.35">
      <c r="A4151" t="str">
        <f t="shared" si="71"/>
        <v>198Expectancy</v>
      </c>
      <c r="B4151">
        <v>198</v>
      </c>
      <c r="C4151" s="9" t="s">
        <v>31</v>
      </c>
      <c r="D4151" s="8">
        <v>0.52200000000000002</v>
      </c>
    </row>
    <row r="4152" spans="1:4" x14ac:dyDescent="0.35">
      <c r="A4152" t="str">
        <f t="shared" si="71"/>
        <v>198Net Profit</v>
      </c>
      <c r="B4152">
        <v>198</v>
      </c>
      <c r="C4152" s="9" t="s">
        <v>32</v>
      </c>
      <c r="D4152" s="8">
        <v>0.17365</v>
      </c>
    </row>
    <row r="4153" spans="1:4" x14ac:dyDescent="0.35">
      <c r="A4153" t="str">
        <f t="shared" si="71"/>
        <v>198Loss Rate</v>
      </c>
      <c r="B4153">
        <v>198</v>
      </c>
      <c r="C4153" s="9" t="s">
        <v>33</v>
      </c>
      <c r="D4153" s="8">
        <v>0.71</v>
      </c>
    </row>
    <row r="4154" spans="1:4" x14ac:dyDescent="0.35">
      <c r="A4154" t="str">
        <f t="shared" si="71"/>
        <v>198Win Rate</v>
      </c>
      <c r="B4154">
        <v>198</v>
      </c>
      <c r="C4154" s="9" t="s">
        <v>34</v>
      </c>
      <c r="D4154" s="8">
        <v>0.28999999999999998</v>
      </c>
    </row>
    <row r="4155" spans="1:4" x14ac:dyDescent="0.35">
      <c r="A4155" t="str">
        <f t="shared" si="71"/>
        <v>198Profit-Loss Ratio</v>
      </c>
      <c r="B4155">
        <v>198</v>
      </c>
      <c r="C4155" s="9" t="s">
        <v>26</v>
      </c>
      <c r="D4155" s="8">
        <v>4.33</v>
      </c>
    </row>
    <row r="4156" spans="1:4" x14ac:dyDescent="0.35">
      <c r="A4156" t="str">
        <f t="shared" si="71"/>
        <v>198Alpha</v>
      </c>
      <c r="B4156">
        <v>198</v>
      </c>
      <c r="C4156" s="9" t="s">
        <v>23</v>
      </c>
      <c r="D4156" s="8">
        <v>0.48099999999999998</v>
      </c>
    </row>
    <row r="4157" spans="1:4" x14ac:dyDescent="0.35">
      <c r="A4157" t="str">
        <f t="shared" si="71"/>
        <v>198Beta</v>
      </c>
      <c r="B4157">
        <v>198</v>
      </c>
      <c r="C4157" s="9" t="s">
        <v>24</v>
      </c>
      <c r="D4157" s="8">
        <v>1.2609999999999999</v>
      </c>
    </row>
    <row r="4158" spans="1:4" x14ac:dyDescent="0.35">
      <c r="A4158" t="str">
        <f t="shared" si="71"/>
        <v>198Annual Standard Deviation</v>
      </c>
      <c r="B4158">
        <v>198</v>
      </c>
      <c r="C4158" s="9" t="s">
        <v>35</v>
      </c>
      <c r="D4158" s="8">
        <v>0.747</v>
      </c>
    </row>
    <row r="4159" spans="1:4" x14ac:dyDescent="0.35">
      <c r="A4159" t="str">
        <f t="shared" si="71"/>
        <v>198Annual Variance</v>
      </c>
      <c r="B4159">
        <v>198</v>
      </c>
      <c r="C4159" s="9" t="s">
        <v>36</v>
      </c>
      <c r="D4159" s="8">
        <v>0.55900000000000005</v>
      </c>
    </row>
    <row r="4160" spans="1:4" x14ac:dyDescent="0.35">
      <c r="A4160" t="str">
        <f t="shared" si="71"/>
        <v>198Information Ratio</v>
      </c>
      <c r="B4160">
        <v>198</v>
      </c>
      <c r="C4160" s="9" t="s">
        <v>37</v>
      </c>
      <c r="D4160" s="8">
        <v>0.66800000000000004</v>
      </c>
    </row>
    <row r="4161" spans="1:4" x14ac:dyDescent="0.35">
      <c r="A4161" t="str">
        <f t="shared" si="71"/>
        <v>198Tracking Error</v>
      </c>
      <c r="B4161">
        <v>198</v>
      </c>
      <c r="C4161" s="9" t="s">
        <v>38</v>
      </c>
      <c r="D4161" s="8">
        <v>0.74299999999999999</v>
      </c>
    </row>
    <row r="4162" spans="1:4" x14ac:dyDescent="0.35">
      <c r="A4162" t="str">
        <f t="shared" si="71"/>
        <v>198Treynor Ratio</v>
      </c>
      <c r="B4162">
        <v>198</v>
      </c>
      <c r="C4162" s="9" t="s">
        <v>39</v>
      </c>
      <c r="D4162" s="8">
        <v>0.439</v>
      </c>
    </row>
    <row r="4163" spans="1:4" x14ac:dyDescent="0.35">
      <c r="A4163" t="str">
        <f t="shared" si="71"/>
        <v>198Total Fees</v>
      </c>
      <c r="B4163">
        <v>198</v>
      </c>
      <c r="C4163" s="9" t="s">
        <v>40</v>
      </c>
      <c r="D4163" s="8">
        <v>0</v>
      </c>
    </row>
    <row r="4164" spans="1:4" x14ac:dyDescent="0.35">
      <c r="A4164" t="str">
        <f t="shared" si="71"/>
        <v>198Estimated Strategy Capacity</v>
      </c>
      <c r="B4164">
        <v>198</v>
      </c>
      <c r="C4164" s="9" t="s">
        <v>41</v>
      </c>
      <c r="D4164" s="8">
        <v>2900000</v>
      </c>
    </row>
    <row r="4165" spans="1:4" x14ac:dyDescent="0.35">
      <c r="A4165" t="str">
        <f t="shared" si="71"/>
        <v>217PSR</v>
      </c>
      <c r="B4165">
        <v>217</v>
      </c>
      <c r="C4165" s="9" t="s">
        <v>27</v>
      </c>
      <c r="D4165" s="8">
        <v>0.27661000000000002</v>
      </c>
    </row>
    <row r="4166" spans="1:4" x14ac:dyDescent="0.35">
      <c r="A4166" t="str">
        <f t="shared" si="71"/>
        <v>217Sharpe Ratio</v>
      </c>
      <c r="B4166">
        <v>217</v>
      </c>
      <c r="C4166" s="9" t="s">
        <v>1</v>
      </c>
      <c r="D4166" s="8">
        <v>0.44700000000000001</v>
      </c>
    </row>
    <row r="4167" spans="1:4" x14ac:dyDescent="0.35">
      <c r="A4167" t="str">
        <f t="shared" si="71"/>
        <v>217Total Trades</v>
      </c>
      <c r="B4167">
        <v>217</v>
      </c>
      <c r="C4167" s="9" t="s">
        <v>28</v>
      </c>
      <c r="D4167" s="8">
        <v>318</v>
      </c>
    </row>
    <row r="4168" spans="1:4" x14ac:dyDescent="0.35">
      <c r="A4168" t="str">
        <f t="shared" si="71"/>
        <v>217Average Win</v>
      </c>
      <c r="B4168">
        <v>217</v>
      </c>
      <c r="C4168" s="9" t="s">
        <v>25</v>
      </c>
      <c r="D4168" s="8">
        <v>1.46E-2</v>
      </c>
    </row>
    <row r="4169" spans="1:4" x14ac:dyDescent="0.35">
      <c r="A4169" t="str">
        <f t="shared" si="71"/>
        <v>217Average Loss</v>
      </c>
      <c r="B4169">
        <v>217</v>
      </c>
      <c r="C4169" s="9" t="s">
        <v>29</v>
      </c>
      <c r="D4169" s="8">
        <v>-1.09E-2</v>
      </c>
    </row>
    <row r="4170" spans="1:4" x14ac:dyDescent="0.35">
      <c r="A4170" t="str">
        <f t="shared" si="71"/>
        <v>217Compounding Annual Return</v>
      </c>
      <c r="B4170">
        <v>217</v>
      </c>
      <c r="C4170" s="9" t="s">
        <v>30</v>
      </c>
      <c r="D4170" s="8">
        <v>6.5659999999999996E-2</v>
      </c>
    </row>
    <row r="4171" spans="1:4" x14ac:dyDescent="0.35">
      <c r="A4171" t="str">
        <f t="shared" si="71"/>
        <v>217Drawdown</v>
      </c>
      <c r="B4171">
        <v>217</v>
      </c>
      <c r="C4171" s="9" t="s">
        <v>8</v>
      </c>
      <c r="D4171" s="8">
        <v>6.0999999999999999E-2</v>
      </c>
    </row>
    <row r="4172" spans="1:4" x14ac:dyDescent="0.35">
      <c r="A4172" t="str">
        <f t="shared" si="71"/>
        <v>217Expectancy</v>
      </c>
      <c r="B4172">
        <v>217</v>
      </c>
      <c r="C4172" s="9" t="s">
        <v>31</v>
      </c>
      <c r="D4172" s="8">
        <v>0.40500000000000003</v>
      </c>
    </row>
    <row r="4173" spans="1:4" x14ac:dyDescent="0.35">
      <c r="A4173" t="str">
        <f t="shared" si="71"/>
        <v>217Net Profit</v>
      </c>
      <c r="B4173">
        <v>217</v>
      </c>
      <c r="C4173" s="9" t="s">
        <v>32</v>
      </c>
      <c r="D4173" s="8">
        <v>4.215E-2</v>
      </c>
    </row>
    <row r="4174" spans="1:4" x14ac:dyDescent="0.35">
      <c r="A4174" t="str">
        <f t="shared" si="71"/>
        <v>217Loss Rate</v>
      </c>
      <c r="B4174">
        <v>217</v>
      </c>
      <c r="C4174" s="9" t="s">
        <v>33</v>
      </c>
      <c r="D4174" s="8">
        <v>0.4</v>
      </c>
    </row>
    <row r="4175" spans="1:4" x14ac:dyDescent="0.35">
      <c r="A4175" t="str">
        <f t="shared" si="71"/>
        <v>217Win Rate</v>
      </c>
      <c r="B4175">
        <v>217</v>
      </c>
      <c r="C4175" s="9" t="s">
        <v>34</v>
      </c>
      <c r="D4175" s="8">
        <v>0.6</v>
      </c>
    </row>
    <row r="4176" spans="1:4" x14ac:dyDescent="0.35">
      <c r="A4176" t="str">
        <f t="shared" si="71"/>
        <v>217Profit-Loss Ratio</v>
      </c>
      <c r="B4176">
        <v>217</v>
      </c>
      <c r="C4176" s="9" t="s">
        <v>26</v>
      </c>
      <c r="D4176" s="8">
        <v>1.34</v>
      </c>
    </row>
    <row r="4177" spans="1:4" x14ac:dyDescent="0.35">
      <c r="A4177" t="str">
        <f t="shared" si="71"/>
        <v>217Alpha</v>
      </c>
      <c r="B4177">
        <v>217</v>
      </c>
      <c r="C4177" s="9" t="s">
        <v>23</v>
      </c>
      <c r="D4177" s="8">
        <v>0.02</v>
      </c>
    </row>
    <row r="4178" spans="1:4" x14ac:dyDescent="0.35">
      <c r="A4178" t="str">
        <f t="shared" si="71"/>
        <v>217Beta</v>
      </c>
      <c r="B4178">
        <v>217</v>
      </c>
      <c r="C4178" s="9" t="s">
        <v>24</v>
      </c>
      <c r="D4178" s="8">
        <v>0.55800000000000005</v>
      </c>
    </row>
    <row r="4179" spans="1:4" x14ac:dyDescent="0.35">
      <c r="A4179" t="str">
        <f t="shared" si="71"/>
        <v>217Annual Standard Deviation</v>
      </c>
      <c r="B4179">
        <v>217</v>
      </c>
      <c r="C4179" s="9" t="s">
        <v>35</v>
      </c>
      <c r="D4179" s="8">
        <v>0.11600000000000001</v>
      </c>
    </row>
    <row r="4180" spans="1:4" x14ac:dyDescent="0.35">
      <c r="A4180" t="str">
        <f t="shared" si="71"/>
        <v>217Annual Variance</v>
      </c>
      <c r="B4180">
        <v>217</v>
      </c>
      <c r="C4180" s="9" t="s">
        <v>36</v>
      </c>
      <c r="D4180" s="8">
        <v>1.2999999999999999E-2</v>
      </c>
    </row>
    <row r="4181" spans="1:4" x14ac:dyDescent="0.35">
      <c r="A4181" t="str">
        <f t="shared" si="71"/>
        <v>217Information Ratio</v>
      </c>
      <c r="B4181">
        <v>217</v>
      </c>
      <c r="C4181" s="9" t="s">
        <v>37</v>
      </c>
      <c r="D4181" s="8">
        <v>-4.5999999999999999E-2</v>
      </c>
    </row>
    <row r="4182" spans="1:4" x14ac:dyDescent="0.35">
      <c r="A4182" t="str">
        <f t="shared" si="71"/>
        <v>217Tracking Error</v>
      </c>
      <c r="B4182">
        <v>217</v>
      </c>
      <c r="C4182" s="9" t="s">
        <v>38</v>
      </c>
      <c r="D4182" s="8">
        <v>0.114</v>
      </c>
    </row>
    <row r="4183" spans="1:4" x14ac:dyDescent="0.35">
      <c r="A4183" t="str">
        <f t="shared" si="71"/>
        <v>217Treynor Ratio</v>
      </c>
      <c r="B4183">
        <v>217</v>
      </c>
      <c r="C4183" s="9" t="s">
        <v>39</v>
      </c>
      <c r="D4183" s="8">
        <v>9.2999999999999999E-2</v>
      </c>
    </row>
    <row r="4184" spans="1:4" x14ac:dyDescent="0.35">
      <c r="A4184" t="str">
        <f t="shared" si="71"/>
        <v>217Total Fees</v>
      </c>
      <c r="B4184">
        <v>217</v>
      </c>
      <c r="C4184" s="9" t="s">
        <v>40</v>
      </c>
      <c r="D4184" s="8">
        <v>0</v>
      </c>
    </row>
    <row r="4185" spans="1:4" x14ac:dyDescent="0.35">
      <c r="A4185" t="str">
        <f t="shared" si="71"/>
        <v>217Estimated Strategy Capacity</v>
      </c>
      <c r="B4185">
        <v>217</v>
      </c>
      <c r="C4185" s="9" t="s">
        <v>41</v>
      </c>
      <c r="D4185" s="8">
        <v>20000000</v>
      </c>
    </row>
    <row r="4186" spans="1:4" x14ac:dyDescent="0.35">
      <c r="A4186" t="str">
        <f t="shared" si="71"/>
        <v>218PSR</v>
      </c>
      <c r="B4186">
        <v>218</v>
      </c>
      <c r="C4186" s="9" t="s">
        <v>27</v>
      </c>
      <c r="D4186" s="8">
        <v>0.36575999999999997</v>
      </c>
    </row>
    <row r="4187" spans="1:4" x14ac:dyDescent="0.35">
      <c r="A4187" t="str">
        <f t="shared" si="71"/>
        <v>218Sharpe Ratio</v>
      </c>
      <c r="B4187">
        <v>218</v>
      </c>
      <c r="C4187" s="9" t="s">
        <v>1</v>
      </c>
      <c r="D4187" s="8">
        <v>1.079</v>
      </c>
    </row>
    <row r="4188" spans="1:4" x14ac:dyDescent="0.35">
      <c r="A4188" t="str">
        <f t="shared" si="71"/>
        <v>218Total Trades</v>
      </c>
      <c r="B4188">
        <v>218</v>
      </c>
      <c r="C4188" s="9" t="s">
        <v>28</v>
      </c>
      <c r="D4188" s="8">
        <v>317</v>
      </c>
    </row>
    <row r="4189" spans="1:4" x14ac:dyDescent="0.35">
      <c r="A4189" t="str">
        <f t="shared" si="71"/>
        <v>218Average Win</v>
      </c>
      <c r="B4189">
        <v>218</v>
      </c>
      <c r="C4189" s="9" t="s">
        <v>25</v>
      </c>
      <c r="D4189" s="8">
        <v>0.11269999999999999</v>
      </c>
    </row>
    <row r="4190" spans="1:4" x14ac:dyDescent="0.35">
      <c r="A4190" t="str">
        <f t="shared" si="71"/>
        <v>218Average Loss</v>
      </c>
      <c r="B4190">
        <v>218</v>
      </c>
      <c r="C4190" s="9" t="s">
        <v>29</v>
      </c>
      <c r="D4190" s="8">
        <v>-8.3400000000000002E-2</v>
      </c>
    </row>
    <row r="4191" spans="1:4" x14ac:dyDescent="0.35">
      <c r="A4191" t="str">
        <f t="shared" ref="A4191:A4254" si="72">B4191&amp;C4191</f>
        <v>218Compounding Annual Return</v>
      </c>
      <c r="B4191">
        <v>218</v>
      </c>
      <c r="C4191" s="9" t="s">
        <v>30</v>
      </c>
      <c r="D4191" s="8">
        <v>0.49086000000000002</v>
      </c>
    </row>
    <row r="4192" spans="1:4" x14ac:dyDescent="0.35">
      <c r="A4192" t="str">
        <f t="shared" si="72"/>
        <v>218Drawdown</v>
      </c>
      <c r="B4192">
        <v>218</v>
      </c>
      <c r="C4192" s="9" t="s">
        <v>8</v>
      </c>
      <c r="D4192" s="8">
        <v>0.46100000000000002</v>
      </c>
    </row>
    <row r="4193" spans="1:4" x14ac:dyDescent="0.35">
      <c r="A4193" t="str">
        <f t="shared" si="72"/>
        <v>218Expectancy</v>
      </c>
      <c r="B4193">
        <v>218</v>
      </c>
      <c r="C4193" s="9" t="s">
        <v>31</v>
      </c>
      <c r="D4193" s="8">
        <v>0.41099999999999998</v>
      </c>
    </row>
    <row r="4194" spans="1:4" x14ac:dyDescent="0.35">
      <c r="A4194" t="str">
        <f t="shared" si="72"/>
        <v>218Net Profit</v>
      </c>
      <c r="B4194">
        <v>218</v>
      </c>
      <c r="C4194" s="9" t="s">
        <v>32</v>
      </c>
      <c r="D4194" s="8">
        <v>0.29597000000000001</v>
      </c>
    </row>
    <row r="4195" spans="1:4" x14ac:dyDescent="0.35">
      <c r="A4195" t="str">
        <f t="shared" si="72"/>
        <v>218Loss Rate</v>
      </c>
      <c r="B4195">
        <v>218</v>
      </c>
      <c r="C4195" s="9" t="s">
        <v>33</v>
      </c>
      <c r="D4195" s="8">
        <v>0.4</v>
      </c>
    </row>
    <row r="4196" spans="1:4" x14ac:dyDescent="0.35">
      <c r="A4196" t="str">
        <f t="shared" si="72"/>
        <v>218Win Rate</v>
      </c>
      <c r="B4196">
        <v>218</v>
      </c>
      <c r="C4196" s="9" t="s">
        <v>34</v>
      </c>
      <c r="D4196" s="8">
        <v>0.6</v>
      </c>
    </row>
    <row r="4197" spans="1:4" x14ac:dyDescent="0.35">
      <c r="A4197" t="str">
        <f t="shared" si="72"/>
        <v>218Profit-Loss Ratio</v>
      </c>
      <c r="B4197">
        <v>218</v>
      </c>
      <c r="C4197" s="9" t="s">
        <v>26</v>
      </c>
      <c r="D4197" s="8">
        <v>1.35</v>
      </c>
    </row>
    <row r="4198" spans="1:4" x14ac:dyDescent="0.35">
      <c r="A4198" t="str">
        <f t="shared" si="72"/>
        <v>218Alpha</v>
      </c>
      <c r="B4198">
        <v>218</v>
      </c>
      <c r="C4198" s="9" t="s">
        <v>23</v>
      </c>
      <c r="D4198" s="8">
        <v>0.93</v>
      </c>
    </row>
    <row r="4199" spans="1:4" x14ac:dyDescent="0.35">
      <c r="A4199" t="str">
        <f t="shared" si="72"/>
        <v>218Beta</v>
      </c>
      <c r="B4199">
        <v>218</v>
      </c>
      <c r="C4199" s="9" t="s">
        <v>24</v>
      </c>
      <c r="D4199" s="8">
        <v>6.085</v>
      </c>
    </row>
    <row r="4200" spans="1:4" x14ac:dyDescent="0.35">
      <c r="A4200" t="str">
        <f t="shared" si="72"/>
        <v>218Annual Standard Deviation</v>
      </c>
      <c r="B4200">
        <v>218</v>
      </c>
      <c r="C4200" s="9" t="s">
        <v>35</v>
      </c>
      <c r="D4200" s="8">
        <v>1.1850000000000001</v>
      </c>
    </row>
    <row r="4201" spans="1:4" x14ac:dyDescent="0.35">
      <c r="A4201" t="str">
        <f t="shared" si="72"/>
        <v>218Annual Variance</v>
      </c>
      <c r="B4201">
        <v>218</v>
      </c>
      <c r="C4201" s="9" t="s">
        <v>36</v>
      </c>
      <c r="D4201" s="8">
        <v>1.4039999999999999</v>
      </c>
    </row>
    <row r="4202" spans="1:4" x14ac:dyDescent="0.35">
      <c r="A4202" t="str">
        <f t="shared" si="72"/>
        <v>218Information Ratio</v>
      </c>
      <c r="B4202">
        <v>218</v>
      </c>
      <c r="C4202" s="9" t="s">
        <v>37</v>
      </c>
      <c r="D4202" s="8">
        <v>1.0489999999999999</v>
      </c>
    </row>
    <row r="4203" spans="1:4" x14ac:dyDescent="0.35">
      <c r="A4203" t="str">
        <f t="shared" si="72"/>
        <v>218Tracking Error</v>
      </c>
      <c r="B4203">
        <v>218</v>
      </c>
      <c r="C4203" s="9" t="s">
        <v>38</v>
      </c>
      <c r="D4203" s="8">
        <v>1.1639999999999999</v>
      </c>
    </row>
    <row r="4204" spans="1:4" x14ac:dyDescent="0.35">
      <c r="A4204" t="str">
        <f t="shared" si="72"/>
        <v>218Treynor Ratio</v>
      </c>
      <c r="B4204">
        <v>218</v>
      </c>
      <c r="C4204" s="9" t="s">
        <v>39</v>
      </c>
      <c r="D4204" s="8">
        <v>0.21</v>
      </c>
    </row>
    <row r="4205" spans="1:4" x14ac:dyDescent="0.35">
      <c r="A4205" t="str">
        <f t="shared" si="72"/>
        <v>218Total Fees</v>
      </c>
      <c r="B4205">
        <v>218</v>
      </c>
      <c r="C4205" s="9" t="s">
        <v>40</v>
      </c>
      <c r="D4205" s="8">
        <v>0</v>
      </c>
    </row>
    <row r="4206" spans="1:4" x14ac:dyDescent="0.35">
      <c r="A4206" t="str">
        <f t="shared" si="72"/>
        <v>218Estimated Strategy Capacity</v>
      </c>
      <c r="B4206">
        <v>218</v>
      </c>
      <c r="C4206" s="9" t="s">
        <v>41</v>
      </c>
      <c r="D4206" s="8">
        <v>3200000</v>
      </c>
    </row>
    <row r="4207" spans="1:4" x14ac:dyDescent="0.35">
      <c r="A4207" t="str">
        <f t="shared" si="72"/>
        <v>219PSR</v>
      </c>
      <c r="B4207">
        <v>219</v>
      </c>
      <c r="C4207" s="9" t="s">
        <v>27</v>
      </c>
      <c r="D4207" s="8">
        <v>0.25441000000000003</v>
      </c>
    </row>
    <row r="4208" spans="1:4" x14ac:dyDescent="0.35">
      <c r="A4208" t="str">
        <f t="shared" si="72"/>
        <v>219Sharpe Ratio</v>
      </c>
      <c r="B4208">
        <v>219</v>
      </c>
      <c r="C4208" s="9" t="s">
        <v>1</v>
      </c>
      <c r="D4208" s="8">
        <v>0.45800000000000002</v>
      </c>
    </row>
    <row r="4209" spans="1:4" x14ac:dyDescent="0.35">
      <c r="A4209" t="str">
        <f t="shared" si="72"/>
        <v>219Total Trades</v>
      </c>
      <c r="B4209">
        <v>219</v>
      </c>
      <c r="C4209" s="9" t="s">
        <v>28</v>
      </c>
      <c r="D4209" s="8">
        <v>284</v>
      </c>
    </row>
    <row r="4210" spans="1:4" x14ac:dyDescent="0.35">
      <c r="A4210" t="str">
        <f t="shared" si="72"/>
        <v>219Average Win</v>
      </c>
      <c r="B4210">
        <v>219</v>
      </c>
      <c r="C4210" s="9" t="s">
        <v>25</v>
      </c>
      <c r="D4210" s="8">
        <v>0.27229999999999999</v>
      </c>
    </row>
    <row r="4211" spans="1:4" x14ac:dyDescent="0.35">
      <c r="A4211" t="str">
        <f t="shared" si="72"/>
        <v>219Average Loss</v>
      </c>
      <c r="B4211">
        <v>219</v>
      </c>
      <c r="C4211" s="9" t="s">
        <v>29</v>
      </c>
      <c r="D4211" s="8">
        <v>-9.0200000000000002E-2</v>
      </c>
    </row>
    <row r="4212" spans="1:4" x14ac:dyDescent="0.35">
      <c r="A4212" t="str">
        <f t="shared" si="72"/>
        <v>219Compounding Annual Return</v>
      </c>
      <c r="B4212">
        <v>219</v>
      </c>
      <c r="C4212" s="9" t="s">
        <v>30</v>
      </c>
      <c r="D4212" s="8">
        <v>-0.77278999999999998</v>
      </c>
    </row>
    <row r="4213" spans="1:4" x14ac:dyDescent="0.35">
      <c r="A4213" t="str">
        <f t="shared" si="72"/>
        <v>219Drawdown</v>
      </c>
      <c r="B4213">
        <v>219</v>
      </c>
      <c r="C4213" s="9" t="s">
        <v>8</v>
      </c>
      <c r="D4213" s="8">
        <v>0.76500000000000001</v>
      </c>
    </row>
    <row r="4214" spans="1:4" x14ac:dyDescent="0.35">
      <c r="A4214" t="str">
        <f t="shared" si="72"/>
        <v>219Expectancy</v>
      </c>
      <c r="B4214">
        <v>219</v>
      </c>
      <c r="C4214" s="9" t="s">
        <v>31</v>
      </c>
      <c r="D4214" s="8">
        <v>-0.23499999999999999</v>
      </c>
    </row>
    <row r="4215" spans="1:4" x14ac:dyDescent="0.35">
      <c r="A4215" t="str">
        <f t="shared" si="72"/>
        <v>219Net Profit</v>
      </c>
      <c r="B4215">
        <v>219</v>
      </c>
      <c r="C4215" s="9" t="s">
        <v>32</v>
      </c>
      <c r="D4215" s="8">
        <v>-0.61789000000000005</v>
      </c>
    </row>
    <row r="4216" spans="1:4" x14ac:dyDescent="0.35">
      <c r="A4216" t="str">
        <f t="shared" si="72"/>
        <v>219Loss Rate</v>
      </c>
      <c r="B4216">
        <v>219</v>
      </c>
      <c r="C4216" s="9" t="s">
        <v>33</v>
      </c>
      <c r="D4216" s="8">
        <v>0.81</v>
      </c>
    </row>
    <row r="4217" spans="1:4" x14ac:dyDescent="0.35">
      <c r="A4217" t="str">
        <f t="shared" si="72"/>
        <v>219Win Rate</v>
      </c>
      <c r="B4217">
        <v>219</v>
      </c>
      <c r="C4217" s="9" t="s">
        <v>34</v>
      </c>
      <c r="D4217" s="8">
        <v>0.19</v>
      </c>
    </row>
    <row r="4218" spans="1:4" x14ac:dyDescent="0.35">
      <c r="A4218" t="str">
        <f t="shared" si="72"/>
        <v>219Profit-Loss Ratio</v>
      </c>
      <c r="B4218">
        <v>219</v>
      </c>
      <c r="C4218" s="9" t="s">
        <v>26</v>
      </c>
      <c r="D4218" s="8">
        <v>3.02</v>
      </c>
    </row>
    <row r="4219" spans="1:4" x14ac:dyDescent="0.35">
      <c r="A4219" t="str">
        <f t="shared" si="72"/>
        <v>219Alpha</v>
      </c>
      <c r="B4219">
        <v>219</v>
      </c>
      <c r="C4219" s="9" t="s">
        <v>23</v>
      </c>
      <c r="D4219" s="8">
        <v>0.11</v>
      </c>
    </row>
    <row r="4220" spans="1:4" x14ac:dyDescent="0.35">
      <c r="A4220" t="str">
        <f t="shared" si="72"/>
        <v>219Beta</v>
      </c>
      <c r="B4220">
        <v>219</v>
      </c>
      <c r="C4220" s="9" t="s">
        <v>24</v>
      </c>
      <c r="D4220" s="8">
        <v>13.24</v>
      </c>
    </row>
    <row r="4221" spans="1:4" x14ac:dyDescent="0.35">
      <c r="A4221" t="str">
        <f t="shared" si="72"/>
        <v>219Annual Standard Deviation</v>
      </c>
      <c r="B4221">
        <v>219</v>
      </c>
      <c r="C4221" s="9" t="s">
        <v>35</v>
      </c>
      <c r="D4221" s="8">
        <v>1.893</v>
      </c>
    </row>
    <row r="4222" spans="1:4" x14ac:dyDescent="0.35">
      <c r="A4222" t="str">
        <f t="shared" si="72"/>
        <v>219Annual Variance</v>
      </c>
      <c r="B4222">
        <v>219</v>
      </c>
      <c r="C4222" s="9" t="s">
        <v>36</v>
      </c>
      <c r="D4222" s="8">
        <v>3.5830000000000002</v>
      </c>
    </row>
    <row r="4223" spans="1:4" x14ac:dyDescent="0.35">
      <c r="A4223" t="str">
        <f t="shared" si="72"/>
        <v>219Information Ratio</v>
      </c>
      <c r="B4223">
        <v>219</v>
      </c>
      <c r="C4223" s="9" t="s">
        <v>37</v>
      </c>
      <c r="D4223" s="8">
        <v>0.435</v>
      </c>
    </row>
    <row r="4224" spans="1:4" x14ac:dyDescent="0.35">
      <c r="A4224" t="str">
        <f t="shared" si="72"/>
        <v>219Tracking Error</v>
      </c>
      <c r="B4224">
        <v>219</v>
      </c>
      <c r="C4224" s="9" t="s">
        <v>38</v>
      </c>
      <c r="D4224" s="8">
        <v>1.863</v>
      </c>
    </row>
    <row r="4225" spans="1:4" x14ac:dyDescent="0.35">
      <c r="A4225" t="str">
        <f t="shared" si="72"/>
        <v>219Treynor Ratio</v>
      </c>
      <c r="B4225">
        <v>219</v>
      </c>
      <c r="C4225" s="9" t="s">
        <v>39</v>
      </c>
      <c r="D4225" s="8">
        <v>6.5000000000000002E-2</v>
      </c>
    </row>
    <row r="4226" spans="1:4" x14ac:dyDescent="0.35">
      <c r="A4226" t="str">
        <f t="shared" si="72"/>
        <v>219Total Fees</v>
      </c>
      <c r="B4226">
        <v>219</v>
      </c>
      <c r="C4226" s="9" t="s">
        <v>40</v>
      </c>
      <c r="D4226" s="8">
        <v>0</v>
      </c>
    </row>
    <row r="4227" spans="1:4" x14ac:dyDescent="0.35">
      <c r="A4227" t="str">
        <f t="shared" si="72"/>
        <v>219Estimated Strategy Capacity</v>
      </c>
      <c r="B4227">
        <v>219</v>
      </c>
      <c r="C4227" s="9" t="s">
        <v>41</v>
      </c>
      <c r="D4227" s="8">
        <v>610000</v>
      </c>
    </row>
    <row r="4228" spans="1:4" x14ac:dyDescent="0.35">
      <c r="A4228" t="str">
        <f t="shared" si="72"/>
        <v>220PSR</v>
      </c>
      <c r="B4228">
        <v>220</v>
      </c>
      <c r="C4228" s="9" t="s">
        <v>27</v>
      </c>
      <c r="D4228" s="8">
        <v>5.101E-2</v>
      </c>
    </row>
    <row r="4229" spans="1:4" x14ac:dyDescent="0.35">
      <c r="A4229" t="str">
        <f t="shared" si="72"/>
        <v>220Sharpe Ratio</v>
      </c>
      <c r="B4229">
        <v>220</v>
      </c>
      <c r="C4229" s="9" t="s">
        <v>1</v>
      </c>
      <c r="D4229" s="8">
        <v>-0.69699999999999995</v>
      </c>
    </row>
    <row r="4230" spans="1:4" x14ac:dyDescent="0.35">
      <c r="A4230" t="str">
        <f t="shared" si="72"/>
        <v>220Total Trades</v>
      </c>
      <c r="B4230">
        <v>220</v>
      </c>
      <c r="C4230" s="9" t="s">
        <v>28</v>
      </c>
      <c r="D4230" s="8">
        <v>459</v>
      </c>
    </row>
    <row r="4231" spans="1:4" x14ac:dyDescent="0.35">
      <c r="A4231" t="str">
        <f t="shared" si="72"/>
        <v>220Average Win</v>
      </c>
      <c r="B4231">
        <v>220</v>
      </c>
      <c r="C4231" s="9" t="s">
        <v>25</v>
      </c>
      <c r="D4231" s="8">
        <v>7.3000000000000001E-3</v>
      </c>
    </row>
    <row r="4232" spans="1:4" x14ac:dyDescent="0.35">
      <c r="A4232" t="str">
        <f t="shared" si="72"/>
        <v>220Average Loss</v>
      </c>
      <c r="B4232">
        <v>220</v>
      </c>
      <c r="C4232" s="9" t="s">
        <v>29</v>
      </c>
      <c r="D4232" s="8">
        <v>-1.47E-2</v>
      </c>
    </row>
    <row r="4233" spans="1:4" x14ac:dyDescent="0.35">
      <c r="A4233" t="str">
        <f t="shared" si="72"/>
        <v>220Compounding Annual Return</v>
      </c>
      <c r="B4233">
        <v>220</v>
      </c>
      <c r="C4233" s="9" t="s">
        <v>30</v>
      </c>
      <c r="D4233" s="8">
        <v>-9.9080000000000001E-2</v>
      </c>
    </row>
    <row r="4234" spans="1:4" x14ac:dyDescent="0.35">
      <c r="A4234" t="str">
        <f t="shared" si="72"/>
        <v>220Drawdown</v>
      </c>
      <c r="B4234">
        <v>220</v>
      </c>
      <c r="C4234" s="9" t="s">
        <v>8</v>
      </c>
      <c r="D4234" s="8">
        <v>0.13800000000000001</v>
      </c>
    </row>
    <row r="4235" spans="1:4" x14ac:dyDescent="0.35">
      <c r="A4235" t="str">
        <f t="shared" si="72"/>
        <v>220Expectancy</v>
      </c>
      <c r="B4235">
        <v>220</v>
      </c>
      <c r="C4235" s="9" t="s">
        <v>31</v>
      </c>
      <c r="D4235" s="8">
        <v>-0.3</v>
      </c>
    </row>
    <row r="4236" spans="1:4" x14ac:dyDescent="0.35">
      <c r="A4236" t="str">
        <f t="shared" si="72"/>
        <v>220Net Profit</v>
      </c>
      <c r="B4236">
        <v>220</v>
      </c>
      <c r="C4236" s="9" t="s">
        <v>32</v>
      </c>
      <c r="D4236" s="8">
        <v>-6.5490000000000007E-2</v>
      </c>
    </row>
    <row r="4237" spans="1:4" x14ac:dyDescent="0.35">
      <c r="A4237" t="str">
        <f t="shared" si="72"/>
        <v>220Loss Rate</v>
      </c>
      <c r="B4237">
        <v>220</v>
      </c>
      <c r="C4237" s="9" t="s">
        <v>33</v>
      </c>
      <c r="D4237" s="8">
        <v>0.53</v>
      </c>
    </row>
    <row r="4238" spans="1:4" x14ac:dyDescent="0.35">
      <c r="A4238" t="str">
        <f t="shared" si="72"/>
        <v>220Win Rate</v>
      </c>
      <c r="B4238">
        <v>220</v>
      </c>
      <c r="C4238" s="9" t="s">
        <v>34</v>
      </c>
      <c r="D4238" s="8">
        <v>0.47</v>
      </c>
    </row>
    <row r="4239" spans="1:4" x14ac:dyDescent="0.35">
      <c r="A4239" t="str">
        <f t="shared" si="72"/>
        <v>220Profit-Loss Ratio</v>
      </c>
      <c r="B4239">
        <v>220</v>
      </c>
      <c r="C4239" s="9" t="s">
        <v>26</v>
      </c>
      <c r="D4239" s="8">
        <v>0.5</v>
      </c>
    </row>
    <row r="4240" spans="1:4" x14ac:dyDescent="0.35">
      <c r="A4240" t="str">
        <f t="shared" si="72"/>
        <v>220Alpha</v>
      </c>
      <c r="B4240">
        <v>220</v>
      </c>
      <c r="C4240" s="9" t="s">
        <v>23</v>
      </c>
      <c r="D4240" s="8">
        <v>-8.6999999999999994E-2</v>
      </c>
    </row>
    <row r="4241" spans="1:4" x14ac:dyDescent="0.35">
      <c r="A4241" t="str">
        <f t="shared" si="72"/>
        <v>220Beta</v>
      </c>
      <c r="B4241">
        <v>220</v>
      </c>
      <c r="C4241" s="9" t="s">
        <v>24</v>
      </c>
      <c r="D4241" s="8">
        <v>0.376</v>
      </c>
    </row>
    <row r="4242" spans="1:4" x14ac:dyDescent="0.35">
      <c r="A4242" t="str">
        <f t="shared" si="72"/>
        <v>220Annual Standard Deviation</v>
      </c>
      <c r="B4242">
        <v>220</v>
      </c>
      <c r="C4242" s="9" t="s">
        <v>35</v>
      </c>
      <c r="D4242" s="8">
        <v>9.4E-2</v>
      </c>
    </row>
    <row r="4243" spans="1:4" x14ac:dyDescent="0.35">
      <c r="A4243" t="str">
        <f t="shared" si="72"/>
        <v>220Annual Variance</v>
      </c>
      <c r="B4243">
        <v>220</v>
      </c>
      <c r="C4243" s="9" t="s">
        <v>36</v>
      </c>
      <c r="D4243" s="8">
        <v>8.9999999999999993E-3</v>
      </c>
    </row>
    <row r="4244" spans="1:4" x14ac:dyDescent="0.35">
      <c r="A4244" t="str">
        <f t="shared" si="72"/>
        <v>220Information Ratio</v>
      </c>
      <c r="B4244">
        <v>220</v>
      </c>
      <c r="C4244" s="9" t="s">
        <v>37</v>
      </c>
      <c r="D4244" s="8">
        <v>-1.2290000000000001</v>
      </c>
    </row>
    <row r="4245" spans="1:4" x14ac:dyDescent="0.35">
      <c r="A4245" t="str">
        <f t="shared" si="72"/>
        <v>220Tracking Error</v>
      </c>
      <c r="B4245">
        <v>220</v>
      </c>
      <c r="C4245" s="9" t="s">
        <v>38</v>
      </c>
      <c r="D4245" s="8">
        <v>0.1</v>
      </c>
    </row>
    <row r="4246" spans="1:4" x14ac:dyDescent="0.35">
      <c r="A4246" t="str">
        <f t="shared" si="72"/>
        <v>220Treynor Ratio</v>
      </c>
      <c r="B4246">
        <v>220</v>
      </c>
      <c r="C4246" s="9" t="s">
        <v>39</v>
      </c>
      <c r="D4246" s="8">
        <v>-0.17399999999999999</v>
      </c>
    </row>
    <row r="4247" spans="1:4" x14ac:dyDescent="0.35">
      <c r="A4247" t="str">
        <f t="shared" si="72"/>
        <v>220Total Fees</v>
      </c>
      <c r="B4247">
        <v>220</v>
      </c>
      <c r="C4247" s="9" t="s">
        <v>40</v>
      </c>
      <c r="D4247" s="8">
        <v>0</v>
      </c>
    </row>
    <row r="4248" spans="1:4" x14ac:dyDescent="0.35">
      <c r="A4248" t="str">
        <f t="shared" si="72"/>
        <v>220Estimated Strategy Capacity</v>
      </c>
      <c r="B4248">
        <v>220</v>
      </c>
      <c r="C4248" s="9" t="s">
        <v>41</v>
      </c>
      <c r="D4248" s="8">
        <v>120000000</v>
      </c>
    </row>
    <row r="4249" spans="1:4" x14ac:dyDescent="0.35">
      <c r="A4249" t="str">
        <f t="shared" si="72"/>
        <v>221PSR</v>
      </c>
      <c r="B4249">
        <v>221</v>
      </c>
      <c r="C4249" s="9" t="s">
        <v>27</v>
      </c>
      <c r="D4249" s="8">
        <v>1.8460000000000001E-2</v>
      </c>
    </row>
    <row r="4250" spans="1:4" x14ac:dyDescent="0.35">
      <c r="A4250" t="str">
        <f t="shared" si="72"/>
        <v>221Sharpe Ratio</v>
      </c>
      <c r="B4250">
        <v>221</v>
      </c>
      <c r="C4250" s="9" t="s">
        <v>1</v>
      </c>
      <c r="D4250" s="8">
        <v>-0.65300000000000002</v>
      </c>
    </row>
    <row r="4251" spans="1:4" x14ac:dyDescent="0.35">
      <c r="A4251" t="str">
        <f t="shared" si="72"/>
        <v>221Total Trades</v>
      </c>
      <c r="B4251">
        <v>221</v>
      </c>
      <c r="C4251" s="9" t="s">
        <v>28</v>
      </c>
      <c r="D4251" s="8">
        <v>451</v>
      </c>
    </row>
    <row r="4252" spans="1:4" x14ac:dyDescent="0.35">
      <c r="A4252" t="str">
        <f t="shared" si="72"/>
        <v>221Average Win</v>
      </c>
      <c r="B4252">
        <v>221</v>
      </c>
      <c r="C4252" s="9" t="s">
        <v>25</v>
      </c>
      <c r="D4252" s="8">
        <v>7.6200000000000004E-2</v>
      </c>
    </row>
    <row r="4253" spans="1:4" x14ac:dyDescent="0.35">
      <c r="A4253" t="str">
        <f t="shared" si="72"/>
        <v>221Average Loss</v>
      </c>
      <c r="B4253">
        <v>221</v>
      </c>
      <c r="C4253" s="9" t="s">
        <v>29</v>
      </c>
      <c r="D4253" s="8">
        <v>-6.8599999999999994E-2</v>
      </c>
    </row>
    <row r="4254" spans="1:4" x14ac:dyDescent="0.35">
      <c r="A4254" t="str">
        <f t="shared" si="72"/>
        <v>221Compounding Annual Return</v>
      </c>
      <c r="B4254">
        <v>221</v>
      </c>
      <c r="C4254" s="9" t="s">
        <v>30</v>
      </c>
      <c r="D4254" s="8">
        <v>-0.95057000000000003</v>
      </c>
    </row>
    <row r="4255" spans="1:4" x14ac:dyDescent="0.35">
      <c r="A4255" t="str">
        <f t="shared" ref="A4255:A4318" si="73">B4255&amp;C4255</f>
        <v>221Drawdown</v>
      </c>
      <c r="B4255">
        <v>221</v>
      </c>
      <c r="C4255" s="9" t="s">
        <v>8</v>
      </c>
      <c r="D4255" s="8">
        <v>0.92600000000000005</v>
      </c>
    </row>
    <row r="4256" spans="1:4" x14ac:dyDescent="0.35">
      <c r="A4256" t="str">
        <f t="shared" si="73"/>
        <v>221Expectancy</v>
      </c>
      <c r="B4256">
        <v>221</v>
      </c>
      <c r="C4256" s="9" t="s">
        <v>31</v>
      </c>
      <c r="D4256" s="8">
        <v>-0.70699999999999996</v>
      </c>
    </row>
    <row r="4257" spans="1:4" x14ac:dyDescent="0.35">
      <c r="A4257" t="str">
        <f t="shared" si="73"/>
        <v>221Net Profit</v>
      </c>
      <c r="B4257">
        <v>221</v>
      </c>
      <c r="C4257" s="9" t="s">
        <v>32</v>
      </c>
      <c r="D4257" s="8">
        <v>-0.85804000000000002</v>
      </c>
    </row>
    <row r="4258" spans="1:4" x14ac:dyDescent="0.35">
      <c r="A4258" t="str">
        <f t="shared" si="73"/>
        <v>221Loss Rate</v>
      </c>
      <c r="B4258">
        <v>221</v>
      </c>
      <c r="C4258" s="9" t="s">
        <v>33</v>
      </c>
      <c r="D4258" s="8">
        <v>0.86</v>
      </c>
    </row>
    <row r="4259" spans="1:4" x14ac:dyDescent="0.35">
      <c r="A4259" t="str">
        <f t="shared" si="73"/>
        <v>221Win Rate</v>
      </c>
      <c r="B4259">
        <v>221</v>
      </c>
      <c r="C4259" s="9" t="s">
        <v>34</v>
      </c>
      <c r="D4259" s="8">
        <v>0.14000000000000001</v>
      </c>
    </row>
    <row r="4260" spans="1:4" x14ac:dyDescent="0.35">
      <c r="A4260" t="str">
        <f t="shared" si="73"/>
        <v>221Profit-Loss Ratio</v>
      </c>
      <c r="B4260">
        <v>221</v>
      </c>
      <c r="C4260" s="9" t="s">
        <v>26</v>
      </c>
      <c r="D4260" s="8">
        <v>1.1100000000000001</v>
      </c>
    </row>
    <row r="4261" spans="1:4" x14ac:dyDescent="0.35">
      <c r="A4261" t="str">
        <f t="shared" si="73"/>
        <v>221Alpha</v>
      </c>
      <c r="B4261">
        <v>221</v>
      </c>
      <c r="C4261" s="9" t="s">
        <v>23</v>
      </c>
      <c r="D4261" s="8">
        <v>-0.99099999999999999</v>
      </c>
    </row>
    <row r="4262" spans="1:4" x14ac:dyDescent="0.35">
      <c r="A4262" t="str">
        <f t="shared" si="73"/>
        <v>221Beta</v>
      </c>
      <c r="B4262">
        <v>221</v>
      </c>
      <c r="C4262" s="9" t="s">
        <v>24</v>
      </c>
      <c r="D4262" s="8">
        <v>4.2370000000000001</v>
      </c>
    </row>
    <row r="4263" spans="1:4" x14ac:dyDescent="0.35">
      <c r="A4263" t="str">
        <f t="shared" si="73"/>
        <v>221Annual Standard Deviation</v>
      </c>
      <c r="B4263">
        <v>221</v>
      </c>
      <c r="C4263" s="9" t="s">
        <v>35</v>
      </c>
      <c r="D4263" s="8">
        <v>1.1459999999999999</v>
      </c>
    </row>
    <row r="4264" spans="1:4" x14ac:dyDescent="0.35">
      <c r="A4264" t="str">
        <f t="shared" si="73"/>
        <v>221Annual Variance</v>
      </c>
      <c r="B4264">
        <v>221</v>
      </c>
      <c r="C4264" s="9" t="s">
        <v>36</v>
      </c>
      <c r="D4264" s="8">
        <v>1.3129999999999999</v>
      </c>
    </row>
    <row r="4265" spans="1:4" x14ac:dyDescent="0.35">
      <c r="A4265" t="str">
        <f t="shared" si="73"/>
        <v>221Information Ratio</v>
      </c>
      <c r="B4265">
        <v>221</v>
      </c>
      <c r="C4265" s="9" t="s">
        <v>37</v>
      </c>
      <c r="D4265" s="8">
        <v>-0.71199999999999997</v>
      </c>
    </row>
    <row r="4266" spans="1:4" x14ac:dyDescent="0.35">
      <c r="A4266" t="str">
        <f t="shared" si="73"/>
        <v>221Tracking Error</v>
      </c>
      <c r="B4266">
        <v>221</v>
      </c>
      <c r="C4266" s="9" t="s">
        <v>38</v>
      </c>
      <c r="D4266" s="8">
        <v>1.131</v>
      </c>
    </row>
    <row r="4267" spans="1:4" x14ac:dyDescent="0.35">
      <c r="A4267" t="str">
        <f t="shared" si="73"/>
        <v>221Treynor Ratio</v>
      </c>
      <c r="B4267">
        <v>221</v>
      </c>
      <c r="C4267" s="9" t="s">
        <v>39</v>
      </c>
      <c r="D4267" s="8">
        <v>-0.17699999999999999</v>
      </c>
    </row>
    <row r="4268" spans="1:4" x14ac:dyDescent="0.35">
      <c r="A4268" t="str">
        <f t="shared" si="73"/>
        <v>221Total Fees</v>
      </c>
      <c r="B4268">
        <v>221</v>
      </c>
      <c r="C4268" s="9" t="s">
        <v>40</v>
      </c>
      <c r="D4268" s="8">
        <v>0</v>
      </c>
    </row>
    <row r="4269" spans="1:4" x14ac:dyDescent="0.35">
      <c r="A4269" t="str">
        <f t="shared" si="73"/>
        <v>221Estimated Strategy Capacity</v>
      </c>
      <c r="B4269">
        <v>221</v>
      </c>
      <c r="C4269" s="9" t="s">
        <v>41</v>
      </c>
      <c r="D4269" s="8">
        <v>2900000</v>
      </c>
    </row>
    <row r="4270" spans="1:4" x14ac:dyDescent="0.35">
      <c r="A4270" t="str">
        <f t="shared" si="73"/>
        <v>222PSR</v>
      </c>
      <c r="B4270">
        <v>222</v>
      </c>
      <c r="C4270" s="9" t="s">
        <v>27</v>
      </c>
      <c r="D4270" s="8">
        <v>2.0709999999999999E-2</v>
      </c>
    </row>
    <row r="4271" spans="1:4" x14ac:dyDescent="0.35">
      <c r="A4271" t="str">
        <f t="shared" si="73"/>
        <v>222Sharpe Ratio</v>
      </c>
      <c r="B4271">
        <v>222</v>
      </c>
      <c r="C4271" s="9" t="s">
        <v>1</v>
      </c>
      <c r="D4271" s="8">
        <v>-0.58299999999999996</v>
      </c>
    </row>
    <row r="4272" spans="1:4" x14ac:dyDescent="0.35">
      <c r="A4272" t="str">
        <f t="shared" si="73"/>
        <v>222Total Trades</v>
      </c>
      <c r="B4272">
        <v>222</v>
      </c>
      <c r="C4272" s="9" t="s">
        <v>28</v>
      </c>
      <c r="D4272" s="8">
        <v>411</v>
      </c>
    </row>
    <row r="4273" spans="1:4" x14ac:dyDescent="0.35">
      <c r="A4273" t="str">
        <f t="shared" si="73"/>
        <v>222Average Win</v>
      </c>
      <c r="B4273">
        <v>222</v>
      </c>
      <c r="C4273" s="9" t="s">
        <v>25</v>
      </c>
      <c r="D4273" s="8">
        <v>0.14269999999999999</v>
      </c>
    </row>
    <row r="4274" spans="1:4" x14ac:dyDescent="0.35">
      <c r="A4274" t="str">
        <f t="shared" si="73"/>
        <v>222Average Loss</v>
      </c>
      <c r="B4274">
        <v>222</v>
      </c>
      <c r="C4274" s="9" t="s">
        <v>29</v>
      </c>
      <c r="D4274" s="8">
        <v>-8.0199999999999994E-2</v>
      </c>
    </row>
    <row r="4275" spans="1:4" x14ac:dyDescent="0.35">
      <c r="A4275" t="str">
        <f t="shared" si="73"/>
        <v>222Compounding Annual Return</v>
      </c>
      <c r="B4275">
        <v>222</v>
      </c>
      <c r="C4275" s="9" t="s">
        <v>30</v>
      </c>
      <c r="D4275" s="8">
        <v>-0.97353000000000001</v>
      </c>
    </row>
    <row r="4276" spans="1:4" x14ac:dyDescent="0.35">
      <c r="A4276" t="str">
        <f t="shared" si="73"/>
        <v>222Drawdown</v>
      </c>
      <c r="B4276">
        <v>222</v>
      </c>
      <c r="C4276" s="9" t="s">
        <v>8</v>
      </c>
      <c r="D4276" s="8">
        <v>0.96299999999999997</v>
      </c>
    </row>
    <row r="4277" spans="1:4" x14ac:dyDescent="0.35">
      <c r="A4277" t="str">
        <f t="shared" si="73"/>
        <v>222Expectancy</v>
      </c>
      <c r="B4277">
        <v>222</v>
      </c>
      <c r="C4277" s="9" t="s">
        <v>31</v>
      </c>
      <c r="D4277" s="8">
        <v>-0.59299999999999997</v>
      </c>
    </row>
    <row r="4278" spans="1:4" x14ac:dyDescent="0.35">
      <c r="A4278" t="str">
        <f t="shared" si="73"/>
        <v>222Net Profit</v>
      </c>
      <c r="B4278">
        <v>222</v>
      </c>
      <c r="C4278" s="9" t="s">
        <v>32</v>
      </c>
      <c r="D4278" s="8">
        <v>-0.90534999999999999</v>
      </c>
    </row>
    <row r="4279" spans="1:4" x14ac:dyDescent="0.35">
      <c r="A4279" t="str">
        <f t="shared" si="73"/>
        <v>222Loss Rate</v>
      </c>
      <c r="B4279">
        <v>222</v>
      </c>
      <c r="C4279" s="9" t="s">
        <v>33</v>
      </c>
      <c r="D4279" s="8">
        <v>0.85</v>
      </c>
    </row>
    <row r="4280" spans="1:4" x14ac:dyDescent="0.35">
      <c r="A4280" t="str">
        <f t="shared" si="73"/>
        <v>222Win Rate</v>
      </c>
      <c r="B4280">
        <v>222</v>
      </c>
      <c r="C4280" s="9" t="s">
        <v>34</v>
      </c>
      <c r="D4280" s="8">
        <v>0.15</v>
      </c>
    </row>
    <row r="4281" spans="1:4" x14ac:dyDescent="0.35">
      <c r="A4281" t="str">
        <f t="shared" si="73"/>
        <v>222Profit-Loss Ratio</v>
      </c>
      <c r="B4281">
        <v>222</v>
      </c>
      <c r="C4281" s="9" t="s">
        <v>26</v>
      </c>
      <c r="D4281" s="8">
        <v>1.78</v>
      </c>
    </row>
    <row r="4282" spans="1:4" x14ac:dyDescent="0.35">
      <c r="A4282" t="str">
        <f t="shared" si="73"/>
        <v>222Alpha</v>
      </c>
      <c r="B4282">
        <v>222</v>
      </c>
      <c r="C4282" s="9" t="s">
        <v>23</v>
      </c>
      <c r="D4282" s="8">
        <v>-1.17</v>
      </c>
    </row>
    <row r="4283" spans="1:4" x14ac:dyDescent="0.35">
      <c r="A4283" t="str">
        <f t="shared" si="73"/>
        <v>222Beta</v>
      </c>
      <c r="B4283">
        <v>222</v>
      </c>
      <c r="C4283" s="9" t="s">
        <v>24</v>
      </c>
      <c r="D4283" s="8">
        <v>6.6920000000000002</v>
      </c>
    </row>
    <row r="4284" spans="1:4" x14ac:dyDescent="0.35">
      <c r="A4284" t="str">
        <f t="shared" si="73"/>
        <v>222Annual Standard Deviation</v>
      </c>
      <c r="B4284">
        <v>222</v>
      </c>
      <c r="C4284" s="9" t="s">
        <v>35</v>
      </c>
      <c r="D4284" s="8">
        <v>1.3520000000000001</v>
      </c>
    </row>
    <row r="4285" spans="1:4" x14ac:dyDescent="0.35">
      <c r="A4285" t="str">
        <f t="shared" si="73"/>
        <v>222Annual Variance</v>
      </c>
      <c r="B4285">
        <v>222</v>
      </c>
      <c r="C4285" s="9" t="s">
        <v>36</v>
      </c>
      <c r="D4285" s="8">
        <v>1.8280000000000001</v>
      </c>
    </row>
    <row r="4286" spans="1:4" x14ac:dyDescent="0.35">
      <c r="A4286" t="str">
        <f t="shared" si="73"/>
        <v>222Information Ratio</v>
      </c>
      <c r="B4286">
        <v>222</v>
      </c>
      <c r="C4286" s="9" t="s">
        <v>37</v>
      </c>
      <c r="D4286" s="8">
        <v>-0.63500000000000001</v>
      </c>
    </row>
    <row r="4287" spans="1:4" x14ac:dyDescent="0.35">
      <c r="A4287" t="str">
        <f t="shared" si="73"/>
        <v>222Tracking Error</v>
      </c>
      <c r="B4287">
        <v>222</v>
      </c>
      <c r="C4287" s="9" t="s">
        <v>38</v>
      </c>
      <c r="D4287" s="8">
        <v>1.331</v>
      </c>
    </row>
    <row r="4288" spans="1:4" x14ac:dyDescent="0.35">
      <c r="A4288" t="str">
        <f t="shared" si="73"/>
        <v>222Treynor Ratio</v>
      </c>
      <c r="B4288">
        <v>222</v>
      </c>
      <c r="C4288" s="9" t="s">
        <v>39</v>
      </c>
      <c r="D4288" s="8">
        <v>-0.11799999999999999</v>
      </c>
    </row>
    <row r="4289" spans="1:4" x14ac:dyDescent="0.35">
      <c r="A4289" t="str">
        <f t="shared" si="73"/>
        <v>222Total Fees</v>
      </c>
      <c r="B4289">
        <v>222</v>
      </c>
      <c r="C4289" s="9" t="s">
        <v>40</v>
      </c>
      <c r="D4289" s="8">
        <v>0</v>
      </c>
    </row>
    <row r="4290" spans="1:4" x14ac:dyDescent="0.35">
      <c r="A4290" t="str">
        <f t="shared" si="73"/>
        <v>222Estimated Strategy Capacity</v>
      </c>
      <c r="B4290">
        <v>222</v>
      </c>
      <c r="C4290" s="9" t="s">
        <v>41</v>
      </c>
      <c r="D4290" s="8">
        <v>1100000</v>
      </c>
    </row>
    <row r="4291" spans="1:4" x14ac:dyDescent="0.35">
      <c r="A4291" t="str">
        <f t="shared" si="73"/>
        <v>223PSR</v>
      </c>
      <c r="B4291">
        <v>223</v>
      </c>
      <c r="C4291" s="9" t="s">
        <v>27</v>
      </c>
      <c r="D4291" s="8">
        <v>0.27661000000000002</v>
      </c>
    </row>
    <row r="4292" spans="1:4" x14ac:dyDescent="0.35">
      <c r="A4292" t="str">
        <f t="shared" si="73"/>
        <v>223Sharpe Ratio</v>
      </c>
      <c r="B4292">
        <v>223</v>
      </c>
      <c r="C4292" s="9" t="s">
        <v>1</v>
      </c>
      <c r="D4292" s="8">
        <v>0.44700000000000001</v>
      </c>
    </row>
    <row r="4293" spans="1:4" x14ac:dyDescent="0.35">
      <c r="A4293" t="str">
        <f t="shared" si="73"/>
        <v>223Total Trades</v>
      </c>
      <c r="B4293">
        <v>223</v>
      </c>
      <c r="C4293" s="9" t="s">
        <v>28</v>
      </c>
      <c r="D4293" s="8">
        <v>318</v>
      </c>
    </row>
    <row r="4294" spans="1:4" x14ac:dyDescent="0.35">
      <c r="A4294" t="str">
        <f t="shared" si="73"/>
        <v>223Average Win</v>
      </c>
      <c r="B4294">
        <v>223</v>
      </c>
      <c r="C4294" s="9" t="s">
        <v>25</v>
      </c>
      <c r="D4294" s="8">
        <v>1.46E-2</v>
      </c>
    </row>
    <row r="4295" spans="1:4" x14ac:dyDescent="0.35">
      <c r="A4295" t="str">
        <f t="shared" si="73"/>
        <v>223Average Loss</v>
      </c>
      <c r="B4295">
        <v>223</v>
      </c>
      <c r="C4295" s="9" t="s">
        <v>29</v>
      </c>
      <c r="D4295" s="8">
        <v>-1.09E-2</v>
      </c>
    </row>
    <row r="4296" spans="1:4" x14ac:dyDescent="0.35">
      <c r="A4296" t="str">
        <f t="shared" si="73"/>
        <v>223Compounding Annual Return</v>
      </c>
      <c r="B4296">
        <v>223</v>
      </c>
      <c r="C4296" s="9" t="s">
        <v>30</v>
      </c>
      <c r="D4296" s="8">
        <v>6.5659999999999996E-2</v>
      </c>
    </row>
    <row r="4297" spans="1:4" x14ac:dyDescent="0.35">
      <c r="A4297" t="str">
        <f t="shared" si="73"/>
        <v>223Drawdown</v>
      </c>
      <c r="B4297">
        <v>223</v>
      </c>
      <c r="C4297" s="9" t="s">
        <v>8</v>
      </c>
      <c r="D4297" s="8">
        <v>6.0999999999999999E-2</v>
      </c>
    </row>
    <row r="4298" spans="1:4" x14ac:dyDescent="0.35">
      <c r="A4298" t="str">
        <f t="shared" si="73"/>
        <v>223Expectancy</v>
      </c>
      <c r="B4298">
        <v>223</v>
      </c>
      <c r="C4298" s="9" t="s">
        <v>31</v>
      </c>
      <c r="D4298" s="8">
        <v>0.40500000000000003</v>
      </c>
    </row>
    <row r="4299" spans="1:4" x14ac:dyDescent="0.35">
      <c r="A4299" t="str">
        <f t="shared" si="73"/>
        <v>223Net Profit</v>
      </c>
      <c r="B4299">
        <v>223</v>
      </c>
      <c r="C4299" s="9" t="s">
        <v>32</v>
      </c>
      <c r="D4299" s="8">
        <v>4.215E-2</v>
      </c>
    </row>
    <row r="4300" spans="1:4" x14ac:dyDescent="0.35">
      <c r="A4300" t="str">
        <f t="shared" si="73"/>
        <v>223Loss Rate</v>
      </c>
      <c r="B4300">
        <v>223</v>
      </c>
      <c r="C4300" s="9" t="s">
        <v>33</v>
      </c>
      <c r="D4300" s="8">
        <v>0.4</v>
      </c>
    </row>
    <row r="4301" spans="1:4" x14ac:dyDescent="0.35">
      <c r="A4301" t="str">
        <f t="shared" si="73"/>
        <v>223Win Rate</v>
      </c>
      <c r="B4301">
        <v>223</v>
      </c>
      <c r="C4301" s="9" t="s">
        <v>34</v>
      </c>
      <c r="D4301" s="8">
        <v>0.6</v>
      </c>
    </row>
    <row r="4302" spans="1:4" x14ac:dyDescent="0.35">
      <c r="A4302" t="str">
        <f t="shared" si="73"/>
        <v>223Profit-Loss Ratio</v>
      </c>
      <c r="B4302">
        <v>223</v>
      </c>
      <c r="C4302" s="9" t="s">
        <v>26</v>
      </c>
      <c r="D4302" s="8">
        <v>1.34</v>
      </c>
    </row>
    <row r="4303" spans="1:4" x14ac:dyDescent="0.35">
      <c r="A4303" t="str">
        <f t="shared" si="73"/>
        <v>223Alpha</v>
      </c>
      <c r="B4303">
        <v>223</v>
      </c>
      <c r="C4303" s="9" t="s">
        <v>23</v>
      </c>
      <c r="D4303" s="8">
        <v>0.02</v>
      </c>
    </row>
    <row r="4304" spans="1:4" x14ac:dyDescent="0.35">
      <c r="A4304" t="str">
        <f t="shared" si="73"/>
        <v>223Beta</v>
      </c>
      <c r="B4304">
        <v>223</v>
      </c>
      <c r="C4304" s="9" t="s">
        <v>24</v>
      </c>
      <c r="D4304" s="8">
        <v>0.55800000000000005</v>
      </c>
    </row>
    <row r="4305" spans="1:4" x14ac:dyDescent="0.35">
      <c r="A4305" t="str">
        <f t="shared" si="73"/>
        <v>223Annual Standard Deviation</v>
      </c>
      <c r="B4305">
        <v>223</v>
      </c>
      <c r="C4305" s="9" t="s">
        <v>35</v>
      </c>
      <c r="D4305" s="8">
        <v>0.11600000000000001</v>
      </c>
    </row>
    <row r="4306" spans="1:4" x14ac:dyDescent="0.35">
      <c r="A4306" t="str">
        <f t="shared" si="73"/>
        <v>223Annual Variance</v>
      </c>
      <c r="B4306">
        <v>223</v>
      </c>
      <c r="C4306" s="9" t="s">
        <v>36</v>
      </c>
      <c r="D4306" s="8">
        <v>1.2999999999999999E-2</v>
      </c>
    </row>
    <row r="4307" spans="1:4" x14ac:dyDescent="0.35">
      <c r="A4307" t="str">
        <f t="shared" si="73"/>
        <v>223Information Ratio</v>
      </c>
      <c r="B4307">
        <v>223</v>
      </c>
      <c r="C4307" s="9" t="s">
        <v>37</v>
      </c>
      <c r="D4307" s="8">
        <v>-4.5999999999999999E-2</v>
      </c>
    </row>
    <row r="4308" spans="1:4" x14ac:dyDescent="0.35">
      <c r="A4308" t="str">
        <f t="shared" si="73"/>
        <v>223Tracking Error</v>
      </c>
      <c r="B4308">
        <v>223</v>
      </c>
      <c r="C4308" s="9" t="s">
        <v>38</v>
      </c>
      <c r="D4308" s="8">
        <v>0.114</v>
      </c>
    </row>
    <row r="4309" spans="1:4" x14ac:dyDescent="0.35">
      <c r="A4309" t="str">
        <f t="shared" si="73"/>
        <v>223Treynor Ratio</v>
      </c>
      <c r="B4309">
        <v>223</v>
      </c>
      <c r="C4309" s="9" t="s">
        <v>39</v>
      </c>
      <c r="D4309" s="8">
        <v>9.2999999999999999E-2</v>
      </c>
    </row>
    <row r="4310" spans="1:4" x14ac:dyDescent="0.35">
      <c r="A4310" t="str">
        <f t="shared" si="73"/>
        <v>223Total Fees</v>
      </c>
      <c r="B4310">
        <v>223</v>
      </c>
      <c r="C4310" s="9" t="s">
        <v>40</v>
      </c>
      <c r="D4310" s="8">
        <v>0</v>
      </c>
    </row>
    <row r="4311" spans="1:4" x14ac:dyDescent="0.35">
      <c r="A4311" t="str">
        <f t="shared" si="73"/>
        <v>223Estimated Strategy Capacity</v>
      </c>
      <c r="B4311">
        <v>223</v>
      </c>
      <c r="C4311" s="9" t="s">
        <v>41</v>
      </c>
      <c r="D4311" s="8">
        <v>20000000</v>
      </c>
    </row>
    <row r="4312" spans="1:4" x14ac:dyDescent="0.35">
      <c r="A4312" t="str">
        <f t="shared" si="73"/>
        <v>224PSR</v>
      </c>
      <c r="B4312">
        <v>224</v>
      </c>
      <c r="C4312" s="9" t="s">
        <v>27</v>
      </c>
      <c r="D4312" s="8">
        <v>0.36575999999999997</v>
      </c>
    </row>
    <row r="4313" spans="1:4" x14ac:dyDescent="0.35">
      <c r="A4313" t="str">
        <f t="shared" si="73"/>
        <v>224Sharpe Ratio</v>
      </c>
      <c r="B4313">
        <v>224</v>
      </c>
      <c r="C4313" s="9" t="s">
        <v>1</v>
      </c>
      <c r="D4313" s="8">
        <v>1.079</v>
      </c>
    </row>
    <row r="4314" spans="1:4" x14ac:dyDescent="0.35">
      <c r="A4314" t="str">
        <f t="shared" si="73"/>
        <v>224Total Trades</v>
      </c>
      <c r="B4314">
        <v>224</v>
      </c>
      <c r="C4314" s="9" t="s">
        <v>28</v>
      </c>
      <c r="D4314" s="8">
        <v>317</v>
      </c>
    </row>
    <row r="4315" spans="1:4" x14ac:dyDescent="0.35">
      <c r="A4315" t="str">
        <f t="shared" si="73"/>
        <v>224Average Win</v>
      </c>
      <c r="B4315">
        <v>224</v>
      </c>
      <c r="C4315" s="9" t="s">
        <v>25</v>
      </c>
      <c r="D4315" s="8">
        <v>0.11269999999999999</v>
      </c>
    </row>
    <row r="4316" spans="1:4" x14ac:dyDescent="0.35">
      <c r="A4316" t="str">
        <f t="shared" si="73"/>
        <v>224Average Loss</v>
      </c>
      <c r="B4316">
        <v>224</v>
      </c>
      <c r="C4316" s="9" t="s">
        <v>29</v>
      </c>
      <c r="D4316" s="8">
        <v>-8.3400000000000002E-2</v>
      </c>
    </row>
    <row r="4317" spans="1:4" x14ac:dyDescent="0.35">
      <c r="A4317" t="str">
        <f t="shared" si="73"/>
        <v>224Compounding Annual Return</v>
      </c>
      <c r="B4317">
        <v>224</v>
      </c>
      <c r="C4317" s="9" t="s">
        <v>30</v>
      </c>
      <c r="D4317" s="8">
        <v>0.49086000000000002</v>
      </c>
    </row>
    <row r="4318" spans="1:4" x14ac:dyDescent="0.35">
      <c r="A4318" t="str">
        <f t="shared" si="73"/>
        <v>224Drawdown</v>
      </c>
      <c r="B4318">
        <v>224</v>
      </c>
      <c r="C4318" s="9" t="s">
        <v>8</v>
      </c>
      <c r="D4318" s="8">
        <v>0.46100000000000002</v>
      </c>
    </row>
    <row r="4319" spans="1:4" x14ac:dyDescent="0.35">
      <c r="A4319" t="str">
        <f t="shared" ref="A4319:A4382" si="74">B4319&amp;C4319</f>
        <v>224Expectancy</v>
      </c>
      <c r="B4319">
        <v>224</v>
      </c>
      <c r="C4319" s="9" t="s">
        <v>31</v>
      </c>
      <c r="D4319" s="8">
        <v>0.41099999999999998</v>
      </c>
    </row>
    <row r="4320" spans="1:4" x14ac:dyDescent="0.35">
      <c r="A4320" t="str">
        <f t="shared" si="74"/>
        <v>224Net Profit</v>
      </c>
      <c r="B4320">
        <v>224</v>
      </c>
      <c r="C4320" s="9" t="s">
        <v>32</v>
      </c>
      <c r="D4320" s="8">
        <v>0.29597000000000001</v>
      </c>
    </row>
    <row r="4321" spans="1:4" x14ac:dyDescent="0.35">
      <c r="A4321" t="str">
        <f t="shared" si="74"/>
        <v>224Loss Rate</v>
      </c>
      <c r="B4321">
        <v>224</v>
      </c>
      <c r="C4321" s="9" t="s">
        <v>33</v>
      </c>
      <c r="D4321" s="8">
        <v>0.4</v>
      </c>
    </row>
    <row r="4322" spans="1:4" x14ac:dyDescent="0.35">
      <c r="A4322" t="str">
        <f t="shared" si="74"/>
        <v>224Win Rate</v>
      </c>
      <c r="B4322">
        <v>224</v>
      </c>
      <c r="C4322" s="9" t="s">
        <v>34</v>
      </c>
      <c r="D4322" s="8">
        <v>0.6</v>
      </c>
    </row>
    <row r="4323" spans="1:4" x14ac:dyDescent="0.35">
      <c r="A4323" t="str">
        <f t="shared" si="74"/>
        <v>224Profit-Loss Ratio</v>
      </c>
      <c r="B4323">
        <v>224</v>
      </c>
      <c r="C4323" s="9" t="s">
        <v>26</v>
      </c>
      <c r="D4323" s="8">
        <v>1.35</v>
      </c>
    </row>
    <row r="4324" spans="1:4" x14ac:dyDescent="0.35">
      <c r="A4324" t="str">
        <f t="shared" si="74"/>
        <v>224Alpha</v>
      </c>
      <c r="B4324">
        <v>224</v>
      </c>
      <c r="C4324" s="9" t="s">
        <v>23</v>
      </c>
      <c r="D4324" s="8">
        <v>0.93</v>
      </c>
    </row>
    <row r="4325" spans="1:4" x14ac:dyDescent="0.35">
      <c r="A4325" t="str">
        <f t="shared" si="74"/>
        <v>224Beta</v>
      </c>
      <c r="B4325">
        <v>224</v>
      </c>
      <c r="C4325" s="9" t="s">
        <v>24</v>
      </c>
      <c r="D4325" s="8">
        <v>6.085</v>
      </c>
    </row>
    <row r="4326" spans="1:4" x14ac:dyDescent="0.35">
      <c r="A4326" t="str">
        <f t="shared" si="74"/>
        <v>224Annual Standard Deviation</v>
      </c>
      <c r="B4326">
        <v>224</v>
      </c>
      <c r="C4326" s="9" t="s">
        <v>35</v>
      </c>
      <c r="D4326" s="8">
        <v>1.1850000000000001</v>
      </c>
    </row>
    <row r="4327" spans="1:4" x14ac:dyDescent="0.35">
      <c r="A4327" t="str">
        <f t="shared" si="74"/>
        <v>224Annual Variance</v>
      </c>
      <c r="B4327">
        <v>224</v>
      </c>
      <c r="C4327" s="9" t="s">
        <v>36</v>
      </c>
      <c r="D4327" s="8">
        <v>1.4039999999999999</v>
      </c>
    </row>
    <row r="4328" spans="1:4" x14ac:dyDescent="0.35">
      <c r="A4328" t="str">
        <f t="shared" si="74"/>
        <v>224Information Ratio</v>
      </c>
      <c r="B4328">
        <v>224</v>
      </c>
      <c r="C4328" s="9" t="s">
        <v>37</v>
      </c>
      <c r="D4328" s="8">
        <v>1.0489999999999999</v>
      </c>
    </row>
    <row r="4329" spans="1:4" x14ac:dyDescent="0.35">
      <c r="A4329" t="str">
        <f t="shared" si="74"/>
        <v>224Tracking Error</v>
      </c>
      <c r="B4329">
        <v>224</v>
      </c>
      <c r="C4329" s="9" t="s">
        <v>38</v>
      </c>
      <c r="D4329" s="8">
        <v>1.1639999999999999</v>
      </c>
    </row>
    <row r="4330" spans="1:4" x14ac:dyDescent="0.35">
      <c r="A4330" t="str">
        <f t="shared" si="74"/>
        <v>224Treynor Ratio</v>
      </c>
      <c r="B4330">
        <v>224</v>
      </c>
      <c r="C4330" s="9" t="s">
        <v>39</v>
      </c>
      <c r="D4330" s="8">
        <v>0.21</v>
      </c>
    </row>
    <row r="4331" spans="1:4" x14ac:dyDescent="0.35">
      <c r="A4331" t="str">
        <f t="shared" si="74"/>
        <v>224Total Fees</v>
      </c>
      <c r="B4331">
        <v>224</v>
      </c>
      <c r="C4331" s="9" t="s">
        <v>40</v>
      </c>
      <c r="D4331" s="8">
        <v>0</v>
      </c>
    </row>
    <row r="4332" spans="1:4" x14ac:dyDescent="0.35">
      <c r="A4332" t="str">
        <f t="shared" si="74"/>
        <v>224Estimated Strategy Capacity</v>
      </c>
      <c r="B4332">
        <v>224</v>
      </c>
      <c r="C4332" s="9" t="s">
        <v>41</v>
      </c>
      <c r="D4332" s="8">
        <v>3200000</v>
      </c>
    </row>
    <row r="4333" spans="1:4" x14ac:dyDescent="0.35">
      <c r="A4333" t="str">
        <f t="shared" si="74"/>
        <v>225PSR</v>
      </c>
      <c r="B4333">
        <v>225</v>
      </c>
      <c r="C4333" s="9" t="s">
        <v>27</v>
      </c>
      <c r="D4333" s="8">
        <v>0.25441000000000003</v>
      </c>
    </row>
    <row r="4334" spans="1:4" x14ac:dyDescent="0.35">
      <c r="A4334" t="str">
        <f t="shared" si="74"/>
        <v>225Sharpe Ratio</v>
      </c>
      <c r="B4334">
        <v>225</v>
      </c>
      <c r="C4334" s="9" t="s">
        <v>1</v>
      </c>
      <c r="D4334" s="8">
        <v>0.45800000000000002</v>
      </c>
    </row>
    <row r="4335" spans="1:4" x14ac:dyDescent="0.35">
      <c r="A4335" t="str">
        <f t="shared" si="74"/>
        <v>225Total Trades</v>
      </c>
      <c r="B4335">
        <v>225</v>
      </c>
      <c r="C4335" s="9" t="s">
        <v>28</v>
      </c>
      <c r="D4335" s="8">
        <v>284</v>
      </c>
    </row>
    <row r="4336" spans="1:4" x14ac:dyDescent="0.35">
      <c r="A4336" t="str">
        <f t="shared" si="74"/>
        <v>225Average Win</v>
      </c>
      <c r="B4336">
        <v>225</v>
      </c>
      <c r="C4336" s="9" t="s">
        <v>25</v>
      </c>
      <c r="D4336" s="8">
        <v>0.27229999999999999</v>
      </c>
    </row>
    <row r="4337" spans="1:4" x14ac:dyDescent="0.35">
      <c r="A4337" t="str">
        <f t="shared" si="74"/>
        <v>225Average Loss</v>
      </c>
      <c r="B4337">
        <v>225</v>
      </c>
      <c r="C4337" s="9" t="s">
        <v>29</v>
      </c>
      <c r="D4337" s="8">
        <v>-9.0200000000000002E-2</v>
      </c>
    </row>
    <row r="4338" spans="1:4" x14ac:dyDescent="0.35">
      <c r="A4338" t="str">
        <f t="shared" si="74"/>
        <v>225Compounding Annual Return</v>
      </c>
      <c r="B4338">
        <v>225</v>
      </c>
      <c r="C4338" s="9" t="s">
        <v>30</v>
      </c>
      <c r="D4338" s="8">
        <v>-0.77278999999999998</v>
      </c>
    </row>
    <row r="4339" spans="1:4" x14ac:dyDescent="0.35">
      <c r="A4339" t="str">
        <f t="shared" si="74"/>
        <v>225Drawdown</v>
      </c>
      <c r="B4339">
        <v>225</v>
      </c>
      <c r="C4339" s="9" t="s">
        <v>8</v>
      </c>
      <c r="D4339" s="8">
        <v>0.76500000000000001</v>
      </c>
    </row>
    <row r="4340" spans="1:4" x14ac:dyDescent="0.35">
      <c r="A4340" t="str">
        <f t="shared" si="74"/>
        <v>225Expectancy</v>
      </c>
      <c r="B4340">
        <v>225</v>
      </c>
      <c r="C4340" s="9" t="s">
        <v>31</v>
      </c>
      <c r="D4340" s="8">
        <v>-0.23499999999999999</v>
      </c>
    </row>
    <row r="4341" spans="1:4" x14ac:dyDescent="0.35">
      <c r="A4341" t="str">
        <f t="shared" si="74"/>
        <v>225Net Profit</v>
      </c>
      <c r="B4341">
        <v>225</v>
      </c>
      <c r="C4341" s="9" t="s">
        <v>32</v>
      </c>
      <c r="D4341" s="8">
        <v>-0.61789000000000005</v>
      </c>
    </row>
    <row r="4342" spans="1:4" x14ac:dyDescent="0.35">
      <c r="A4342" t="str">
        <f t="shared" si="74"/>
        <v>225Loss Rate</v>
      </c>
      <c r="B4342">
        <v>225</v>
      </c>
      <c r="C4342" s="9" t="s">
        <v>33</v>
      </c>
      <c r="D4342" s="8">
        <v>0.81</v>
      </c>
    </row>
    <row r="4343" spans="1:4" x14ac:dyDescent="0.35">
      <c r="A4343" t="str">
        <f t="shared" si="74"/>
        <v>225Win Rate</v>
      </c>
      <c r="B4343">
        <v>225</v>
      </c>
      <c r="C4343" s="9" t="s">
        <v>34</v>
      </c>
      <c r="D4343" s="8">
        <v>0.19</v>
      </c>
    </row>
    <row r="4344" spans="1:4" x14ac:dyDescent="0.35">
      <c r="A4344" t="str">
        <f t="shared" si="74"/>
        <v>225Profit-Loss Ratio</v>
      </c>
      <c r="B4344">
        <v>225</v>
      </c>
      <c r="C4344" s="9" t="s">
        <v>26</v>
      </c>
      <c r="D4344" s="8">
        <v>3.02</v>
      </c>
    </row>
    <row r="4345" spans="1:4" x14ac:dyDescent="0.35">
      <c r="A4345" t="str">
        <f t="shared" si="74"/>
        <v>225Alpha</v>
      </c>
      <c r="B4345">
        <v>225</v>
      </c>
      <c r="C4345" s="9" t="s">
        <v>23</v>
      </c>
      <c r="D4345" s="8">
        <v>0.11</v>
      </c>
    </row>
    <row r="4346" spans="1:4" x14ac:dyDescent="0.35">
      <c r="A4346" t="str">
        <f t="shared" si="74"/>
        <v>225Beta</v>
      </c>
      <c r="B4346">
        <v>225</v>
      </c>
      <c r="C4346" s="9" t="s">
        <v>24</v>
      </c>
      <c r="D4346" s="8">
        <v>13.24</v>
      </c>
    </row>
    <row r="4347" spans="1:4" x14ac:dyDescent="0.35">
      <c r="A4347" t="str">
        <f t="shared" si="74"/>
        <v>225Annual Standard Deviation</v>
      </c>
      <c r="B4347">
        <v>225</v>
      </c>
      <c r="C4347" s="9" t="s">
        <v>35</v>
      </c>
      <c r="D4347" s="8">
        <v>1.893</v>
      </c>
    </row>
    <row r="4348" spans="1:4" x14ac:dyDescent="0.35">
      <c r="A4348" t="str">
        <f t="shared" si="74"/>
        <v>225Annual Variance</v>
      </c>
      <c r="B4348">
        <v>225</v>
      </c>
      <c r="C4348" s="9" t="s">
        <v>36</v>
      </c>
      <c r="D4348" s="8">
        <v>3.5830000000000002</v>
      </c>
    </row>
    <row r="4349" spans="1:4" x14ac:dyDescent="0.35">
      <c r="A4349" t="str">
        <f t="shared" si="74"/>
        <v>225Information Ratio</v>
      </c>
      <c r="B4349">
        <v>225</v>
      </c>
      <c r="C4349" s="9" t="s">
        <v>37</v>
      </c>
      <c r="D4349" s="8">
        <v>0.435</v>
      </c>
    </row>
    <row r="4350" spans="1:4" x14ac:dyDescent="0.35">
      <c r="A4350" t="str">
        <f t="shared" si="74"/>
        <v>225Tracking Error</v>
      </c>
      <c r="B4350">
        <v>225</v>
      </c>
      <c r="C4350" s="9" t="s">
        <v>38</v>
      </c>
      <c r="D4350" s="8">
        <v>1.863</v>
      </c>
    </row>
    <row r="4351" spans="1:4" x14ac:dyDescent="0.35">
      <c r="A4351" t="str">
        <f t="shared" si="74"/>
        <v>225Treynor Ratio</v>
      </c>
      <c r="B4351">
        <v>225</v>
      </c>
      <c r="C4351" s="9" t="s">
        <v>39</v>
      </c>
      <c r="D4351" s="8">
        <v>6.5000000000000002E-2</v>
      </c>
    </row>
    <row r="4352" spans="1:4" x14ac:dyDescent="0.35">
      <c r="A4352" t="str">
        <f t="shared" si="74"/>
        <v>225Total Fees</v>
      </c>
      <c r="B4352">
        <v>225</v>
      </c>
      <c r="C4352" s="9" t="s">
        <v>40</v>
      </c>
      <c r="D4352" s="8">
        <v>0</v>
      </c>
    </row>
    <row r="4353" spans="1:4" x14ac:dyDescent="0.35">
      <c r="A4353" t="str">
        <f t="shared" si="74"/>
        <v>225Estimated Strategy Capacity</v>
      </c>
      <c r="B4353">
        <v>225</v>
      </c>
      <c r="C4353" s="9" t="s">
        <v>41</v>
      </c>
      <c r="D4353" s="8">
        <v>610000</v>
      </c>
    </row>
    <row r="4354" spans="1:4" x14ac:dyDescent="0.35">
      <c r="A4354" t="str">
        <f t="shared" si="74"/>
        <v>244PSR</v>
      </c>
      <c r="B4354">
        <v>244</v>
      </c>
      <c r="C4354" s="20" t="s">
        <v>27</v>
      </c>
      <c r="D4354" s="8">
        <v>0.53481999999999996</v>
      </c>
    </row>
    <row r="4355" spans="1:4" x14ac:dyDescent="0.35">
      <c r="A4355" t="str">
        <f t="shared" si="74"/>
        <v>244Sharpe Ratio</v>
      </c>
      <c r="B4355">
        <v>244</v>
      </c>
      <c r="C4355" s="20" t="s">
        <v>1</v>
      </c>
      <c r="D4355" s="8">
        <v>1.1830000000000001</v>
      </c>
    </row>
    <row r="4356" spans="1:4" x14ac:dyDescent="0.35">
      <c r="A4356" t="str">
        <f t="shared" si="74"/>
        <v>244Total Trades</v>
      </c>
      <c r="B4356">
        <v>244</v>
      </c>
      <c r="C4356" s="20" t="s">
        <v>28</v>
      </c>
      <c r="D4356" s="8">
        <v>896</v>
      </c>
    </row>
    <row r="4357" spans="1:4" x14ac:dyDescent="0.35">
      <c r="A4357" t="str">
        <f t="shared" si="74"/>
        <v>244Average Win</v>
      </c>
      <c r="B4357">
        <v>244</v>
      </c>
      <c r="C4357" s="20" t="s">
        <v>25</v>
      </c>
      <c r="D4357" s="8">
        <v>2.46E-2</v>
      </c>
    </row>
    <row r="4358" spans="1:4" x14ac:dyDescent="0.35">
      <c r="A4358" t="str">
        <f t="shared" si="74"/>
        <v>244Average Loss</v>
      </c>
      <c r="B4358">
        <v>244</v>
      </c>
      <c r="C4358" s="20" t="s">
        <v>29</v>
      </c>
      <c r="D4358" s="8">
        <v>-1.4999999999999999E-2</v>
      </c>
    </row>
    <row r="4359" spans="1:4" x14ac:dyDescent="0.35">
      <c r="A4359" t="str">
        <f t="shared" si="74"/>
        <v>244Compounding Annual Return</v>
      </c>
      <c r="B4359">
        <v>244</v>
      </c>
      <c r="C4359" s="20" t="s">
        <v>30</v>
      </c>
      <c r="D4359" s="8">
        <v>0.25446000000000002</v>
      </c>
    </row>
    <row r="4360" spans="1:4" x14ac:dyDescent="0.35">
      <c r="A4360" t="str">
        <f t="shared" si="74"/>
        <v>244Drawdown</v>
      </c>
      <c r="B4360">
        <v>244</v>
      </c>
      <c r="C4360" s="20" t="s">
        <v>8</v>
      </c>
      <c r="D4360" s="8">
        <v>6.9000000000000006E-2</v>
      </c>
    </row>
    <row r="4361" spans="1:4" x14ac:dyDescent="0.35">
      <c r="A4361" t="str">
        <f t="shared" si="74"/>
        <v>244Expectancy</v>
      </c>
      <c r="B4361">
        <v>244</v>
      </c>
      <c r="C4361" s="20" t="s">
        <v>31</v>
      </c>
      <c r="D4361" s="8">
        <v>0.36599999999999999</v>
      </c>
    </row>
    <row r="4362" spans="1:4" x14ac:dyDescent="0.35">
      <c r="A4362" t="str">
        <f t="shared" si="74"/>
        <v>244Net Profit</v>
      </c>
      <c r="B4362">
        <v>244</v>
      </c>
      <c r="C4362" s="20" t="s">
        <v>32</v>
      </c>
      <c r="D4362" s="8">
        <v>0.15856000000000001</v>
      </c>
    </row>
    <row r="4363" spans="1:4" x14ac:dyDescent="0.35">
      <c r="A4363" t="str">
        <f t="shared" si="74"/>
        <v>244Loss Rate</v>
      </c>
      <c r="B4363">
        <v>244</v>
      </c>
      <c r="C4363" s="20" t="s">
        <v>33</v>
      </c>
      <c r="D4363" s="8">
        <v>0.48</v>
      </c>
    </row>
    <row r="4364" spans="1:4" x14ac:dyDescent="0.35">
      <c r="A4364" t="str">
        <f t="shared" si="74"/>
        <v>244Win Rate</v>
      </c>
      <c r="B4364">
        <v>244</v>
      </c>
      <c r="C4364" s="20" t="s">
        <v>34</v>
      </c>
      <c r="D4364" s="8">
        <v>0.52</v>
      </c>
    </row>
    <row r="4365" spans="1:4" x14ac:dyDescent="0.35">
      <c r="A4365" t="str">
        <f t="shared" si="74"/>
        <v>244Profit-Loss Ratio</v>
      </c>
      <c r="B4365">
        <v>244</v>
      </c>
      <c r="C4365" s="20" t="s">
        <v>26</v>
      </c>
      <c r="D4365" s="8">
        <v>1.64</v>
      </c>
    </row>
    <row r="4366" spans="1:4" x14ac:dyDescent="0.35">
      <c r="A4366" t="str">
        <f t="shared" si="74"/>
        <v>244Alpha</v>
      </c>
      <c r="B4366">
        <v>244</v>
      </c>
      <c r="C4366" s="20" t="s">
        <v>23</v>
      </c>
      <c r="D4366" s="8">
        <v>0.183</v>
      </c>
    </row>
    <row r="4367" spans="1:4" x14ac:dyDescent="0.35">
      <c r="A4367" t="str">
        <f t="shared" si="74"/>
        <v>244Beta</v>
      </c>
      <c r="B4367">
        <v>244</v>
      </c>
      <c r="C4367" s="20" t="s">
        <v>24</v>
      </c>
      <c r="D4367" s="8">
        <v>2.9000000000000001E-2</v>
      </c>
    </row>
    <row r="4368" spans="1:4" x14ac:dyDescent="0.35">
      <c r="A4368" t="str">
        <f t="shared" si="74"/>
        <v>244Annual Standard Deviation</v>
      </c>
      <c r="B4368">
        <v>244</v>
      </c>
      <c r="C4368" s="20" t="s">
        <v>35</v>
      </c>
      <c r="D4368" s="8">
        <v>0.156</v>
      </c>
    </row>
    <row r="4369" spans="1:4" x14ac:dyDescent="0.35">
      <c r="A4369" t="str">
        <f t="shared" si="74"/>
        <v>244Annual Variance</v>
      </c>
      <c r="B4369">
        <v>244</v>
      </c>
      <c r="C4369" s="20" t="s">
        <v>36</v>
      </c>
      <c r="D4369" s="8">
        <v>2.4E-2</v>
      </c>
    </row>
    <row r="4370" spans="1:4" x14ac:dyDescent="0.35">
      <c r="A4370" t="str">
        <f t="shared" si="74"/>
        <v>244Information Ratio</v>
      </c>
      <c r="B4370">
        <v>244</v>
      </c>
      <c r="C4370" s="20" t="s">
        <v>37</v>
      </c>
      <c r="D4370" s="8">
        <v>0.753</v>
      </c>
    </row>
    <row r="4371" spans="1:4" x14ac:dyDescent="0.35">
      <c r="A4371" t="str">
        <f t="shared" si="74"/>
        <v>244Tracking Error</v>
      </c>
      <c r="B4371">
        <v>244</v>
      </c>
      <c r="C4371" s="20" t="s">
        <v>38</v>
      </c>
      <c r="D4371" s="8">
        <v>0.16900000000000001</v>
      </c>
    </row>
    <row r="4372" spans="1:4" x14ac:dyDescent="0.35">
      <c r="A4372" t="str">
        <f t="shared" si="74"/>
        <v>244Treynor Ratio</v>
      </c>
      <c r="B4372">
        <v>244</v>
      </c>
      <c r="C4372" s="20" t="s">
        <v>39</v>
      </c>
      <c r="D4372" s="8">
        <v>6.2690000000000001</v>
      </c>
    </row>
    <row r="4373" spans="1:4" x14ac:dyDescent="0.35">
      <c r="A4373" t="str">
        <f t="shared" si="74"/>
        <v>244Total Fees</v>
      </c>
      <c r="B4373">
        <v>244</v>
      </c>
      <c r="C4373" s="20" t="s">
        <v>40</v>
      </c>
      <c r="D4373" s="8">
        <v>0</v>
      </c>
    </row>
    <row r="4374" spans="1:4" x14ac:dyDescent="0.35">
      <c r="A4374" t="str">
        <f t="shared" si="74"/>
        <v>244Estimated Strategy Capacity</v>
      </c>
      <c r="B4374">
        <v>244</v>
      </c>
      <c r="C4374" s="20" t="s">
        <v>41</v>
      </c>
      <c r="D4374" s="8">
        <v>10000000</v>
      </c>
    </row>
    <row r="4375" spans="1:4" x14ac:dyDescent="0.35">
      <c r="A4375" t="str">
        <f t="shared" si="74"/>
        <v>245PSR</v>
      </c>
      <c r="B4375">
        <v>245</v>
      </c>
      <c r="C4375" s="9" t="s">
        <v>27</v>
      </c>
      <c r="D4375" s="8">
        <v>0.71192</v>
      </c>
    </row>
    <row r="4376" spans="1:4" x14ac:dyDescent="0.35">
      <c r="A4376" t="str">
        <f t="shared" si="74"/>
        <v>245Sharpe Ratio</v>
      </c>
      <c r="B4376">
        <v>245</v>
      </c>
      <c r="C4376" s="9" t="s">
        <v>1</v>
      </c>
      <c r="D4376" s="8">
        <v>3.944</v>
      </c>
    </row>
    <row r="4377" spans="1:4" x14ac:dyDescent="0.35">
      <c r="A4377" t="str">
        <f t="shared" si="74"/>
        <v>245Total Trades</v>
      </c>
      <c r="B4377">
        <v>245</v>
      </c>
      <c r="C4377" s="9" t="s">
        <v>28</v>
      </c>
      <c r="D4377" s="8">
        <v>891</v>
      </c>
    </row>
    <row r="4378" spans="1:4" x14ac:dyDescent="0.35">
      <c r="A4378" t="str">
        <f t="shared" si="74"/>
        <v>245Average Win</v>
      </c>
      <c r="B4378">
        <v>245</v>
      </c>
      <c r="C4378" s="9" t="s">
        <v>25</v>
      </c>
      <c r="D4378" s="8">
        <v>0.15260000000000001</v>
      </c>
    </row>
    <row r="4379" spans="1:4" x14ac:dyDescent="0.35">
      <c r="A4379" t="str">
        <f t="shared" si="74"/>
        <v>245Average Loss</v>
      </c>
      <c r="B4379">
        <v>245</v>
      </c>
      <c r="C4379" s="9" t="s">
        <v>29</v>
      </c>
      <c r="D4379" s="8">
        <v>-6.7100000000000007E-2</v>
      </c>
    </row>
    <row r="4380" spans="1:4" x14ac:dyDescent="0.35">
      <c r="A4380" t="str">
        <f t="shared" si="74"/>
        <v>245Compounding Annual Return</v>
      </c>
      <c r="B4380">
        <v>245</v>
      </c>
      <c r="C4380" s="9" t="s">
        <v>30</v>
      </c>
      <c r="D4380" s="8">
        <v>3.9276300000000002</v>
      </c>
    </row>
    <row r="4381" spans="1:4" x14ac:dyDescent="0.35">
      <c r="A4381" t="str">
        <f t="shared" si="74"/>
        <v>245Drawdown</v>
      </c>
      <c r="B4381">
        <v>245</v>
      </c>
      <c r="C4381" s="9" t="s">
        <v>8</v>
      </c>
      <c r="D4381" s="8">
        <v>0.53900000000000003</v>
      </c>
    </row>
    <row r="4382" spans="1:4" x14ac:dyDescent="0.35">
      <c r="A4382" t="str">
        <f t="shared" si="74"/>
        <v>245Expectancy</v>
      </c>
      <c r="B4382">
        <v>245</v>
      </c>
      <c r="C4382" s="9" t="s">
        <v>31</v>
      </c>
      <c r="D4382" s="8">
        <v>0.63800000000000001</v>
      </c>
    </row>
    <row r="4383" spans="1:4" x14ac:dyDescent="0.35">
      <c r="A4383" t="str">
        <f t="shared" ref="A4383:A4446" si="75">B4383&amp;C4383</f>
        <v>245Net Profit</v>
      </c>
      <c r="B4383">
        <v>245</v>
      </c>
      <c r="C4383" s="9" t="s">
        <v>32</v>
      </c>
      <c r="D4383" s="8">
        <v>1.81619</v>
      </c>
    </row>
    <row r="4384" spans="1:4" x14ac:dyDescent="0.35">
      <c r="A4384" t="str">
        <f t="shared" si="75"/>
        <v>245Loss Rate</v>
      </c>
      <c r="B4384">
        <v>245</v>
      </c>
      <c r="C4384" s="9" t="s">
        <v>33</v>
      </c>
      <c r="D4384" s="8">
        <v>0.5</v>
      </c>
    </row>
    <row r="4385" spans="1:4" x14ac:dyDescent="0.35">
      <c r="A4385" t="str">
        <f t="shared" si="75"/>
        <v>245Win Rate</v>
      </c>
      <c r="B4385">
        <v>245</v>
      </c>
      <c r="C4385" s="9" t="s">
        <v>34</v>
      </c>
      <c r="D4385" s="8">
        <v>0.5</v>
      </c>
    </row>
    <row r="4386" spans="1:4" x14ac:dyDescent="0.35">
      <c r="A4386" t="str">
        <f t="shared" si="75"/>
        <v>245Profit-Loss Ratio</v>
      </c>
      <c r="B4386">
        <v>245</v>
      </c>
      <c r="C4386" s="9" t="s">
        <v>26</v>
      </c>
      <c r="D4386" s="8">
        <v>2.2799999999999998</v>
      </c>
    </row>
    <row r="4387" spans="1:4" x14ac:dyDescent="0.35">
      <c r="A4387" t="str">
        <f t="shared" si="75"/>
        <v>245Alpha</v>
      </c>
      <c r="B4387">
        <v>245</v>
      </c>
      <c r="C4387" s="9" t="s">
        <v>23</v>
      </c>
      <c r="D4387" s="8">
        <v>4.2290000000000001</v>
      </c>
    </row>
    <row r="4388" spans="1:4" x14ac:dyDescent="0.35">
      <c r="A4388" t="str">
        <f t="shared" si="75"/>
        <v>245Beta</v>
      </c>
      <c r="B4388">
        <v>245</v>
      </c>
      <c r="C4388" s="9" t="s">
        <v>24</v>
      </c>
      <c r="D4388" s="8">
        <v>0.19400000000000001</v>
      </c>
    </row>
    <row r="4389" spans="1:4" x14ac:dyDescent="0.35">
      <c r="A4389" t="str">
        <f t="shared" si="75"/>
        <v>245Annual Standard Deviation</v>
      </c>
      <c r="B4389">
        <v>245</v>
      </c>
      <c r="C4389" s="9" t="s">
        <v>35</v>
      </c>
      <c r="D4389" s="8">
        <v>1.075</v>
      </c>
    </row>
    <row r="4390" spans="1:4" x14ac:dyDescent="0.35">
      <c r="A4390" t="str">
        <f t="shared" si="75"/>
        <v>245Annual Variance</v>
      </c>
      <c r="B4390">
        <v>245</v>
      </c>
      <c r="C4390" s="9" t="s">
        <v>36</v>
      </c>
      <c r="D4390" s="8">
        <v>1.1559999999999999</v>
      </c>
    </row>
    <row r="4391" spans="1:4" x14ac:dyDescent="0.35">
      <c r="A4391" t="str">
        <f t="shared" si="75"/>
        <v>245Information Ratio</v>
      </c>
      <c r="B4391">
        <v>245</v>
      </c>
      <c r="C4391" s="9" t="s">
        <v>37</v>
      </c>
      <c r="D4391" s="8">
        <v>3.8860000000000001</v>
      </c>
    </row>
    <row r="4392" spans="1:4" x14ac:dyDescent="0.35">
      <c r="A4392" t="str">
        <f t="shared" si="75"/>
        <v>245Tracking Error</v>
      </c>
      <c r="B4392">
        <v>245</v>
      </c>
      <c r="C4392" s="9" t="s">
        <v>38</v>
      </c>
      <c r="D4392" s="8">
        <v>1.0760000000000001</v>
      </c>
    </row>
    <row r="4393" spans="1:4" x14ac:dyDescent="0.35">
      <c r="A4393" t="str">
        <f t="shared" si="75"/>
        <v>245Treynor Ratio</v>
      </c>
      <c r="B4393">
        <v>245</v>
      </c>
      <c r="C4393" s="9" t="s">
        <v>39</v>
      </c>
      <c r="D4393" s="8">
        <v>21.882000000000001</v>
      </c>
    </row>
    <row r="4394" spans="1:4" x14ac:dyDescent="0.35">
      <c r="A4394" t="str">
        <f t="shared" si="75"/>
        <v>245Total Fees</v>
      </c>
      <c r="B4394">
        <v>245</v>
      </c>
      <c r="C4394" s="9" t="s">
        <v>40</v>
      </c>
      <c r="D4394" s="8">
        <v>0</v>
      </c>
    </row>
    <row r="4395" spans="1:4" x14ac:dyDescent="0.35">
      <c r="A4395" t="str">
        <f t="shared" si="75"/>
        <v>245Estimated Strategy Capacity</v>
      </c>
      <c r="B4395">
        <v>245</v>
      </c>
      <c r="C4395" s="9" t="s">
        <v>41</v>
      </c>
      <c r="D4395" s="8">
        <v>3900000</v>
      </c>
    </row>
    <row r="4396" spans="1:4" x14ac:dyDescent="0.35">
      <c r="A4396" t="str">
        <f t="shared" si="75"/>
        <v>246PSR</v>
      </c>
      <c r="B4396">
        <v>246</v>
      </c>
      <c r="C4396" s="9" t="s">
        <v>27</v>
      </c>
      <c r="D4396" s="8">
        <v>0.75007999999999997</v>
      </c>
    </row>
    <row r="4397" spans="1:4" x14ac:dyDescent="0.35">
      <c r="A4397" t="str">
        <f t="shared" si="75"/>
        <v>246Sharpe Ratio</v>
      </c>
      <c r="B4397">
        <v>246</v>
      </c>
      <c r="C4397" s="9" t="s">
        <v>1</v>
      </c>
      <c r="D4397" s="8">
        <v>6.8330000000000002</v>
      </c>
    </row>
    <row r="4398" spans="1:4" x14ac:dyDescent="0.35">
      <c r="A4398" t="str">
        <f t="shared" si="75"/>
        <v>246Total Trades</v>
      </c>
      <c r="B4398">
        <v>246</v>
      </c>
      <c r="C4398" s="9" t="s">
        <v>28</v>
      </c>
      <c r="D4398" s="8">
        <v>859</v>
      </c>
    </row>
    <row r="4399" spans="1:4" x14ac:dyDescent="0.35">
      <c r="A4399" t="str">
        <f t="shared" si="75"/>
        <v>246Average Win</v>
      </c>
      <c r="B4399">
        <v>246</v>
      </c>
      <c r="C4399" s="9" t="s">
        <v>25</v>
      </c>
      <c r="D4399" s="8">
        <v>0.22819999999999999</v>
      </c>
    </row>
    <row r="4400" spans="1:4" x14ac:dyDescent="0.35">
      <c r="A4400" t="str">
        <f t="shared" si="75"/>
        <v>246Average Loss</v>
      </c>
      <c r="B4400">
        <v>246</v>
      </c>
      <c r="C4400" s="9" t="s">
        <v>29</v>
      </c>
      <c r="D4400" s="8">
        <v>-7.3800000000000004E-2</v>
      </c>
    </row>
    <row r="4401" spans="1:4" x14ac:dyDescent="0.35">
      <c r="A4401" t="str">
        <f t="shared" si="75"/>
        <v>246Compounding Annual Return</v>
      </c>
      <c r="B4401">
        <v>246</v>
      </c>
      <c r="C4401" s="9" t="s">
        <v>30</v>
      </c>
      <c r="D4401" s="8">
        <v>6.2493600000000002</v>
      </c>
    </row>
    <row r="4402" spans="1:4" x14ac:dyDescent="0.35">
      <c r="A4402" t="str">
        <f t="shared" si="75"/>
        <v>246Drawdown</v>
      </c>
      <c r="B4402">
        <v>246</v>
      </c>
      <c r="C4402" s="9" t="s">
        <v>8</v>
      </c>
      <c r="D4402" s="8">
        <v>0.67800000000000005</v>
      </c>
    </row>
    <row r="4403" spans="1:4" x14ac:dyDescent="0.35">
      <c r="A4403" t="str">
        <f t="shared" si="75"/>
        <v>246Expectancy</v>
      </c>
      <c r="B4403">
        <v>246</v>
      </c>
      <c r="C4403" s="9" t="s">
        <v>31</v>
      </c>
      <c r="D4403" s="8">
        <v>0.70499999999999996</v>
      </c>
    </row>
    <row r="4404" spans="1:4" x14ac:dyDescent="0.35">
      <c r="A4404" t="str">
        <f t="shared" si="75"/>
        <v>246Net Profit</v>
      </c>
      <c r="B4404">
        <v>246</v>
      </c>
      <c r="C4404" s="9" t="s">
        <v>32</v>
      </c>
      <c r="D4404" s="8">
        <v>2.6183200000000002</v>
      </c>
    </row>
    <row r="4405" spans="1:4" x14ac:dyDescent="0.35">
      <c r="A4405" t="str">
        <f t="shared" si="75"/>
        <v>246Loss Rate</v>
      </c>
      <c r="B4405">
        <v>246</v>
      </c>
      <c r="C4405" s="9" t="s">
        <v>33</v>
      </c>
      <c r="D4405" s="8">
        <v>0.57999999999999996</v>
      </c>
    </row>
    <row r="4406" spans="1:4" x14ac:dyDescent="0.35">
      <c r="A4406" t="str">
        <f t="shared" si="75"/>
        <v>246Win Rate</v>
      </c>
      <c r="B4406">
        <v>246</v>
      </c>
      <c r="C4406" s="9" t="s">
        <v>34</v>
      </c>
      <c r="D4406" s="8">
        <v>0.42</v>
      </c>
    </row>
    <row r="4407" spans="1:4" x14ac:dyDescent="0.35">
      <c r="A4407" t="str">
        <f t="shared" si="75"/>
        <v>246Profit-Loss Ratio</v>
      </c>
      <c r="B4407">
        <v>246</v>
      </c>
      <c r="C4407" s="9" t="s">
        <v>26</v>
      </c>
      <c r="D4407" s="8">
        <v>3.09</v>
      </c>
    </row>
    <row r="4408" spans="1:4" x14ac:dyDescent="0.35">
      <c r="A4408" t="str">
        <f t="shared" si="75"/>
        <v>246Alpha</v>
      </c>
      <c r="B4408">
        <v>246</v>
      </c>
      <c r="C4408" s="9" t="s">
        <v>23</v>
      </c>
      <c r="D4408" s="8">
        <v>9.7910000000000004</v>
      </c>
    </row>
    <row r="4409" spans="1:4" x14ac:dyDescent="0.35">
      <c r="A4409" t="str">
        <f t="shared" si="75"/>
        <v>246Beta</v>
      </c>
      <c r="B4409">
        <v>246</v>
      </c>
      <c r="C4409" s="9" t="s">
        <v>24</v>
      </c>
      <c r="D4409" s="8">
        <v>0.34599999999999997</v>
      </c>
    </row>
    <row r="4410" spans="1:4" x14ac:dyDescent="0.35">
      <c r="A4410" t="str">
        <f t="shared" si="75"/>
        <v>246Annual Standard Deviation</v>
      </c>
      <c r="B4410">
        <v>246</v>
      </c>
      <c r="C4410" s="9" t="s">
        <v>35</v>
      </c>
      <c r="D4410" s="8">
        <v>1.4359999999999999</v>
      </c>
    </row>
    <row r="4411" spans="1:4" x14ac:dyDescent="0.35">
      <c r="A4411" t="str">
        <f t="shared" si="75"/>
        <v>246Annual Variance</v>
      </c>
      <c r="B4411">
        <v>246</v>
      </c>
      <c r="C4411" s="9" t="s">
        <v>36</v>
      </c>
      <c r="D4411" s="8">
        <v>2.0609999999999999</v>
      </c>
    </row>
    <row r="4412" spans="1:4" x14ac:dyDescent="0.35">
      <c r="A4412" t="str">
        <f t="shared" si="75"/>
        <v>246Information Ratio</v>
      </c>
      <c r="B4412">
        <v>246</v>
      </c>
      <c r="C4412" s="9" t="s">
        <v>37</v>
      </c>
      <c r="D4412" s="8">
        <v>6.7919999999999998</v>
      </c>
    </row>
    <row r="4413" spans="1:4" x14ac:dyDescent="0.35">
      <c r="A4413" t="str">
        <f t="shared" si="75"/>
        <v>246Tracking Error</v>
      </c>
      <c r="B4413">
        <v>246</v>
      </c>
      <c r="C4413" s="9" t="s">
        <v>38</v>
      </c>
      <c r="D4413" s="8">
        <v>1.4359999999999999</v>
      </c>
    </row>
    <row r="4414" spans="1:4" x14ac:dyDescent="0.35">
      <c r="A4414" t="str">
        <f t="shared" si="75"/>
        <v>246Treynor Ratio</v>
      </c>
      <c r="B4414">
        <v>246</v>
      </c>
      <c r="C4414" s="9" t="s">
        <v>39</v>
      </c>
      <c r="D4414" s="8">
        <v>28.376999999999999</v>
      </c>
    </row>
    <row r="4415" spans="1:4" x14ac:dyDescent="0.35">
      <c r="A4415" t="str">
        <f t="shared" si="75"/>
        <v>246Total Fees</v>
      </c>
      <c r="B4415">
        <v>246</v>
      </c>
      <c r="C4415" s="9" t="s">
        <v>40</v>
      </c>
      <c r="D4415" s="8">
        <v>0</v>
      </c>
    </row>
    <row r="4416" spans="1:4" x14ac:dyDescent="0.35">
      <c r="A4416" t="str">
        <f t="shared" si="75"/>
        <v>246Estimated Strategy Capacity</v>
      </c>
      <c r="B4416">
        <v>246</v>
      </c>
      <c r="C4416" s="9" t="s">
        <v>41</v>
      </c>
      <c r="D4416" s="8">
        <v>3200000</v>
      </c>
    </row>
    <row r="4417" spans="1:4" x14ac:dyDescent="0.35">
      <c r="A4417" t="str">
        <f t="shared" si="75"/>
        <v>247PSR</v>
      </c>
      <c r="B4417">
        <v>247</v>
      </c>
      <c r="C4417" s="9" t="s">
        <v>27</v>
      </c>
      <c r="D4417" s="8">
        <v>0.87436999999999998</v>
      </c>
    </row>
    <row r="4418" spans="1:4" x14ac:dyDescent="0.35">
      <c r="A4418" t="str">
        <f t="shared" si="75"/>
        <v>247Sharpe Ratio</v>
      </c>
      <c r="B4418">
        <v>247</v>
      </c>
      <c r="C4418" s="9" t="s">
        <v>1</v>
      </c>
      <c r="D4418" s="8">
        <v>2.218</v>
      </c>
    </row>
    <row r="4419" spans="1:4" x14ac:dyDescent="0.35">
      <c r="A4419" t="str">
        <f t="shared" si="75"/>
        <v>247Total Trades</v>
      </c>
      <c r="B4419">
        <v>247</v>
      </c>
      <c r="C4419" s="9" t="s">
        <v>28</v>
      </c>
      <c r="D4419" s="8">
        <v>504</v>
      </c>
    </row>
    <row r="4420" spans="1:4" x14ac:dyDescent="0.35">
      <c r="A4420" t="str">
        <f t="shared" si="75"/>
        <v>247Average Win</v>
      </c>
      <c r="B4420">
        <v>247</v>
      </c>
      <c r="C4420" s="9" t="s">
        <v>25</v>
      </c>
      <c r="D4420" s="8">
        <v>2.6599999999999999E-2</v>
      </c>
    </row>
    <row r="4421" spans="1:4" x14ac:dyDescent="0.35">
      <c r="A4421" t="str">
        <f t="shared" si="75"/>
        <v>247Average Loss</v>
      </c>
      <c r="B4421">
        <v>247</v>
      </c>
      <c r="C4421" s="9" t="s">
        <v>29</v>
      </c>
      <c r="D4421" s="8">
        <v>-0.01</v>
      </c>
    </row>
    <row r="4422" spans="1:4" x14ac:dyDescent="0.35">
      <c r="A4422" t="str">
        <f t="shared" si="75"/>
        <v>247Compounding Annual Return</v>
      </c>
      <c r="B4422">
        <v>247</v>
      </c>
      <c r="C4422" s="9" t="s">
        <v>30</v>
      </c>
      <c r="D4422" s="8">
        <v>0.35386000000000001</v>
      </c>
    </row>
    <row r="4423" spans="1:4" x14ac:dyDescent="0.35">
      <c r="A4423" t="str">
        <f t="shared" si="75"/>
        <v>247Drawdown</v>
      </c>
      <c r="B4423">
        <v>247</v>
      </c>
      <c r="C4423" s="9" t="s">
        <v>8</v>
      </c>
      <c r="D4423" s="8">
        <v>6.0999999999999999E-2</v>
      </c>
    </row>
    <row r="4424" spans="1:4" x14ac:dyDescent="0.35">
      <c r="A4424" t="str">
        <f t="shared" si="75"/>
        <v>247Expectancy</v>
      </c>
      <c r="B4424">
        <v>247</v>
      </c>
      <c r="C4424" s="9" t="s">
        <v>31</v>
      </c>
      <c r="D4424" s="8">
        <v>1.2849999999999999</v>
      </c>
    </row>
    <row r="4425" spans="1:4" x14ac:dyDescent="0.35">
      <c r="A4425" t="str">
        <f t="shared" si="75"/>
        <v>247Net Profit</v>
      </c>
      <c r="B4425">
        <v>247</v>
      </c>
      <c r="C4425" s="9" t="s">
        <v>32</v>
      </c>
      <c r="D4425" s="8">
        <v>0.21734999999999999</v>
      </c>
    </row>
    <row r="4426" spans="1:4" x14ac:dyDescent="0.35">
      <c r="A4426" t="str">
        <f t="shared" si="75"/>
        <v>247Loss Rate</v>
      </c>
      <c r="B4426">
        <v>247</v>
      </c>
      <c r="C4426" s="9" t="s">
        <v>33</v>
      </c>
      <c r="D4426" s="8">
        <v>0.38</v>
      </c>
    </row>
    <row r="4427" spans="1:4" x14ac:dyDescent="0.35">
      <c r="A4427" t="str">
        <f t="shared" si="75"/>
        <v>247Win Rate</v>
      </c>
      <c r="B4427">
        <v>247</v>
      </c>
      <c r="C4427" s="9" t="s">
        <v>34</v>
      </c>
      <c r="D4427" s="8">
        <v>0.62</v>
      </c>
    </row>
    <row r="4428" spans="1:4" x14ac:dyDescent="0.35">
      <c r="A4428" t="str">
        <f t="shared" si="75"/>
        <v>247Profit-Loss Ratio</v>
      </c>
      <c r="B4428">
        <v>247</v>
      </c>
      <c r="C4428" s="9" t="s">
        <v>26</v>
      </c>
      <c r="D4428" s="8">
        <v>2.66</v>
      </c>
    </row>
    <row r="4429" spans="1:4" x14ac:dyDescent="0.35">
      <c r="A4429" t="str">
        <f t="shared" si="75"/>
        <v>247Alpha</v>
      </c>
      <c r="B4429">
        <v>247</v>
      </c>
      <c r="C4429" s="9" t="s">
        <v>23</v>
      </c>
      <c r="D4429" s="8">
        <v>0.23699999999999999</v>
      </c>
    </row>
    <row r="4430" spans="1:4" x14ac:dyDescent="0.35">
      <c r="A4430" t="str">
        <f t="shared" si="75"/>
        <v>247Beta</v>
      </c>
      <c r="B4430">
        <v>247</v>
      </c>
      <c r="C4430" s="9" t="s">
        <v>24</v>
      </c>
      <c r="D4430" s="8">
        <v>6.0999999999999999E-2</v>
      </c>
    </row>
    <row r="4431" spans="1:4" x14ac:dyDescent="0.35">
      <c r="A4431" t="str">
        <f t="shared" si="75"/>
        <v>247Annual Standard Deviation</v>
      </c>
      <c r="B4431">
        <v>247</v>
      </c>
      <c r="C4431" s="9" t="s">
        <v>35</v>
      </c>
      <c r="D4431" s="8">
        <v>0.109</v>
      </c>
    </row>
    <row r="4432" spans="1:4" x14ac:dyDescent="0.35">
      <c r="A4432" t="str">
        <f t="shared" si="75"/>
        <v>247Annual Variance</v>
      </c>
      <c r="B4432">
        <v>247</v>
      </c>
      <c r="C4432" s="9" t="s">
        <v>36</v>
      </c>
      <c r="D4432" s="8">
        <v>1.2E-2</v>
      </c>
    </row>
    <row r="4433" spans="1:4" x14ac:dyDescent="0.35">
      <c r="A4433" t="str">
        <f t="shared" si="75"/>
        <v>247Information Ratio</v>
      </c>
      <c r="B4433">
        <v>247</v>
      </c>
      <c r="C4433" s="9" t="s">
        <v>37</v>
      </c>
      <c r="D4433" s="8">
        <v>1.476</v>
      </c>
    </row>
    <row r="4434" spans="1:4" x14ac:dyDescent="0.35">
      <c r="A4434" t="str">
        <f t="shared" si="75"/>
        <v>247Tracking Error</v>
      </c>
      <c r="B4434">
        <v>247</v>
      </c>
      <c r="C4434" s="9" t="s">
        <v>38</v>
      </c>
      <c r="D4434" s="8">
        <v>0.125</v>
      </c>
    </row>
    <row r="4435" spans="1:4" x14ac:dyDescent="0.35">
      <c r="A4435" t="str">
        <f t="shared" si="75"/>
        <v>247Treynor Ratio</v>
      </c>
      <c r="B4435">
        <v>247</v>
      </c>
      <c r="C4435" s="9" t="s">
        <v>39</v>
      </c>
      <c r="D4435" s="8">
        <v>3.976</v>
      </c>
    </row>
    <row r="4436" spans="1:4" x14ac:dyDescent="0.35">
      <c r="A4436" t="str">
        <f t="shared" si="75"/>
        <v>247Total Fees</v>
      </c>
      <c r="B4436">
        <v>247</v>
      </c>
      <c r="C4436" s="9" t="s">
        <v>40</v>
      </c>
      <c r="D4436" s="8">
        <v>0</v>
      </c>
    </row>
    <row r="4437" spans="1:4" x14ac:dyDescent="0.35">
      <c r="A4437" t="str">
        <f t="shared" si="75"/>
        <v>247Estimated Strategy Capacity</v>
      </c>
      <c r="B4437">
        <v>247</v>
      </c>
      <c r="C4437" s="9" t="s">
        <v>41</v>
      </c>
      <c r="D4437" s="8">
        <v>9000000</v>
      </c>
    </row>
    <row r="4438" spans="1:4" x14ac:dyDescent="0.35">
      <c r="A4438" t="str">
        <f t="shared" si="75"/>
        <v>248PSR</v>
      </c>
      <c r="B4438">
        <v>248</v>
      </c>
      <c r="C4438" s="9" t="s">
        <v>27</v>
      </c>
      <c r="D4438" s="8">
        <v>0.80354999999999999</v>
      </c>
    </row>
    <row r="4439" spans="1:4" x14ac:dyDescent="0.35">
      <c r="A4439" t="str">
        <f t="shared" si="75"/>
        <v>248Sharpe Ratio</v>
      </c>
      <c r="B4439">
        <v>248</v>
      </c>
      <c r="C4439" s="9" t="s">
        <v>1</v>
      </c>
      <c r="D4439" s="8">
        <v>3.5830000000000002</v>
      </c>
    </row>
    <row r="4440" spans="1:4" x14ac:dyDescent="0.35">
      <c r="A4440" t="str">
        <f t="shared" si="75"/>
        <v>248Total Trades</v>
      </c>
      <c r="B4440">
        <v>248</v>
      </c>
      <c r="C4440" s="9" t="s">
        <v>28</v>
      </c>
      <c r="D4440" s="8">
        <v>493</v>
      </c>
    </row>
    <row r="4441" spans="1:4" x14ac:dyDescent="0.35">
      <c r="A4441" t="str">
        <f t="shared" si="75"/>
        <v>248Average Win</v>
      </c>
      <c r="B4441">
        <v>248</v>
      </c>
      <c r="C4441" s="9" t="s">
        <v>25</v>
      </c>
      <c r="D4441" s="8">
        <v>0.1517</v>
      </c>
    </row>
    <row r="4442" spans="1:4" x14ac:dyDescent="0.35">
      <c r="A4442" t="str">
        <f t="shared" si="75"/>
        <v>248Average Loss</v>
      </c>
      <c r="B4442">
        <v>248</v>
      </c>
      <c r="C4442" s="9" t="s">
        <v>29</v>
      </c>
      <c r="D4442" s="8">
        <v>-5.7099999999999998E-2</v>
      </c>
    </row>
    <row r="4443" spans="1:4" x14ac:dyDescent="0.35">
      <c r="A4443" t="str">
        <f t="shared" si="75"/>
        <v>248Compounding Annual Return</v>
      </c>
      <c r="B4443">
        <v>248</v>
      </c>
      <c r="C4443" s="9" t="s">
        <v>30</v>
      </c>
      <c r="D4443" s="8">
        <v>3.4684200000000001</v>
      </c>
    </row>
    <row r="4444" spans="1:4" x14ac:dyDescent="0.35">
      <c r="A4444" t="str">
        <f t="shared" si="75"/>
        <v>248Drawdown</v>
      </c>
      <c r="B4444">
        <v>248</v>
      </c>
      <c r="C4444" s="9" t="s">
        <v>8</v>
      </c>
      <c r="D4444" s="8">
        <v>0.36699999999999999</v>
      </c>
    </row>
    <row r="4445" spans="1:4" x14ac:dyDescent="0.35">
      <c r="A4445" t="str">
        <f t="shared" si="75"/>
        <v>248Expectancy</v>
      </c>
      <c r="B4445">
        <v>248</v>
      </c>
      <c r="C4445" s="9" t="s">
        <v>31</v>
      </c>
      <c r="D4445" s="8">
        <v>1.119</v>
      </c>
    </row>
    <row r="4446" spans="1:4" x14ac:dyDescent="0.35">
      <c r="A4446" t="str">
        <f t="shared" si="75"/>
        <v>248Net Profit</v>
      </c>
      <c r="B4446">
        <v>248</v>
      </c>
      <c r="C4446" s="9" t="s">
        <v>32</v>
      </c>
      <c r="D4446" s="8">
        <v>1.6429</v>
      </c>
    </row>
    <row r="4447" spans="1:4" x14ac:dyDescent="0.35">
      <c r="A4447" t="str">
        <f t="shared" ref="A4447:A4510" si="76">B4447&amp;C4447</f>
        <v>248Loss Rate</v>
      </c>
      <c r="B4447">
        <v>248</v>
      </c>
      <c r="C4447" s="9" t="s">
        <v>33</v>
      </c>
      <c r="D4447" s="8">
        <v>0.42</v>
      </c>
    </row>
    <row r="4448" spans="1:4" x14ac:dyDescent="0.35">
      <c r="A4448" t="str">
        <f t="shared" si="76"/>
        <v>248Win Rate</v>
      </c>
      <c r="B4448">
        <v>248</v>
      </c>
      <c r="C4448" s="9" t="s">
        <v>34</v>
      </c>
      <c r="D4448" s="8">
        <v>0.57999999999999996</v>
      </c>
    </row>
    <row r="4449" spans="1:4" x14ac:dyDescent="0.35">
      <c r="A4449" t="str">
        <f t="shared" si="76"/>
        <v>248Profit-Loss Ratio</v>
      </c>
      <c r="B4449">
        <v>248</v>
      </c>
      <c r="C4449" s="9" t="s">
        <v>26</v>
      </c>
      <c r="D4449" s="8">
        <v>2.66</v>
      </c>
    </row>
    <row r="4450" spans="1:4" x14ac:dyDescent="0.35">
      <c r="A4450" t="str">
        <f t="shared" si="76"/>
        <v>248Alpha</v>
      </c>
      <c r="B4450">
        <v>248</v>
      </c>
      <c r="C4450" s="9" t="s">
        <v>23</v>
      </c>
      <c r="D4450" s="8">
        <v>2.58</v>
      </c>
    </row>
    <row r="4451" spans="1:4" x14ac:dyDescent="0.35">
      <c r="A4451" t="str">
        <f t="shared" si="76"/>
        <v>248Beta</v>
      </c>
      <c r="B4451">
        <v>248</v>
      </c>
      <c r="C4451" s="9" t="s">
        <v>24</v>
      </c>
      <c r="D4451" s="8">
        <v>0.36299999999999999</v>
      </c>
    </row>
    <row r="4452" spans="1:4" x14ac:dyDescent="0.35">
      <c r="A4452" t="str">
        <f t="shared" si="76"/>
        <v>248Annual Standard Deviation</v>
      </c>
      <c r="B4452">
        <v>248</v>
      </c>
      <c r="C4452" s="9" t="s">
        <v>35</v>
      </c>
      <c r="D4452" s="8">
        <v>0.72599999999999998</v>
      </c>
    </row>
    <row r="4453" spans="1:4" x14ac:dyDescent="0.35">
      <c r="A4453" t="str">
        <f t="shared" si="76"/>
        <v>248Annual Variance</v>
      </c>
      <c r="B4453">
        <v>248</v>
      </c>
      <c r="C4453" s="9" t="s">
        <v>36</v>
      </c>
      <c r="D4453" s="8">
        <v>0.52700000000000002</v>
      </c>
    </row>
    <row r="4454" spans="1:4" x14ac:dyDescent="0.35">
      <c r="A4454" t="str">
        <f t="shared" si="76"/>
        <v>248Information Ratio</v>
      </c>
      <c r="B4454">
        <v>248</v>
      </c>
      <c r="C4454" s="9" t="s">
        <v>37</v>
      </c>
      <c r="D4454" s="8">
        <v>3.5</v>
      </c>
    </row>
    <row r="4455" spans="1:4" x14ac:dyDescent="0.35">
      <c r="A4455" t="str">
        <f t="shared" si="76"/>
        <v>248Tracking Error</v>
      </c>
      <c r="B4455">
        <v>248</v>
      </c>
      <c r="C4455" s="9" t="s">
        <v>38</v>
      </c>
      <c r="D4455" s="8">
        <v>0.72699999999999998</v>
      </c>
    </row>
    <row r="4456" spans="1:4" x14ac:dyDescent="0.35">
      <c r="A4456" t="str">
        <f t="shared" si="76"/>
        <v>248Treynor Ratio</v>
      </c>
      <c r="B4456">
        <v>248</v>
      </c>
      <c r="C4456" s="9" t="s">
        <v>39</v>
      </c>
      <c r="D4456" s="8">
        <v>7.1580000000000004</v>
      </c>
    </row>
    <row r="4457" spans="1:4" x14ac:dyDescent="0.35">
      <c r="A4457" t="str">
        <f t="shared" si="76"/>
        <v>248Total Fees</v>
      </c>
      <c r="B4457">
        <v>248</v>
      </c>
      <c r="C4457" s="9" t="s">
        <v>40</v>
      </c>
      <c r="D4457" s="8">
        <v>0</v>
      </c>
    </row>
    <row r="4458" spans="1:4" x14ac:dyDescent="0.35">
      <c r="A4458" t="str">
        <f t="shared" si="76"/>
        <v>248Estimated Strategy Capacity</v>
      </c>
      <c r="B4458">
        <v>248</v>
      </c>
      <c r="C4458" s="9" t="s">
        <v>41</v>
      </c>
      <c r="D4458" s="8">
        <v>3100000</v>
      </c>
    </row>
    <row r="4459" spans="1:4" x14ac:dyDescent="0.35">
      <c r="A4459" t="str">
        <f t="shared" si="76"/>
        <v>249PSR</v>
      </c>
      <c r="B4459">
        <v>249</v>
      </c>
      <c r="C4459" s="9" t="s">
        <v>27</v>
      </c>
      <c r="D4459" s="8">
        <v>0.84875</v>
      </c>
    </row>
    <row r="4460" spans="1:4" x14ac:dyDescent="0.35">
      <c r="A4460" t="str">
        <f t="shared" si="76"/>
        <v>249Sharpe Ratio</v>
      </c>
      <c r="B4460">
        <v>249</v>
      </c>
      <c r="C4460" s="9" t="s">
        <v>1</v>
      </c>
      <c r="D4460" s="8">
        <v>5.7190000000000003</v>
      </c>
    </row>
    <row r="4461" spans="1:4" x14ac:dyDescent="0.35">
      <c r="A4461" t="str">
        <f t="shared" si="76"/>
        <v>249Total Trades</v>
      </c>
      <c r="B4461">
        <v>249</v>
      </c>
      <c r="C4461" s="9" t="s">
        <v>28</v>
      </c>
      <c r="D4461" s="8">
        <v>477</v>
      </c>
    </row>
    <row r="4462" spans="1:4" x14ac:dyDescent="0.35">
      <c r="A4462" t="str">
        <f t="shared" si="76"/>
        <v>249Average Win</v>
      </c>
      <c r="B4462">
        <v>249</v>
      </c>
      <c r="C4462" s="9" t="s">
        <v>25</v>
      </c>
      <c r="D4462" s="8">
        <v>0.16389999999999999</v>
      </c>
    </row>
    <row r="4463" spans="1:4" x14ac:dyDescent="0.35">
      <c r="A4463" t="str">
        <f t="shared" si="76"/>
        <v>249Average Loss</v>
      </c>
      <c r="B4463">
        <v>249</v>
      </c>
      <c r="C4463" s="9" t="s">
        <v>29</v>
      </c>
      <c r="D4463" s="8">
        <v>-5.7799999999999997E-2</v>
      </c>
    </row>
    <row r="4464" spans="1:4" x14ac:dyDescent="0.35">
      <c r="A4464" t="str">
        <f t="shared" si="76"/>
        <v>249Compounding Annual Return</v>
      </c>
      <c r="B4464">
        <v>249</v>
      </c>
      <c r="C4464" s="9" t="s">
        <v>30</v>
      </c>
      <c r="D4464" s="8">
        <v>6.8448900000000004</v>
      </c>
    </row>
    <row r="4465" spans="1:4" x14ac:dyDescent="0.35">
      <c r="A4465" t="str">
        <f t="shared" si="76"/>
        <v>249Drawdown</v>
      </c>
      <c r="B4465">
        <v>249</v>
      </c>
      <c r="C4465" s="9" t="s">
        <v>8</v>
      </c>
      <c r="D4465" s="8">
        <v>0.48899999999999999</v>
      </c>
    </row>
    <row r="4466" spans="1:4" x14ac:dyDescent="0.35">
      <c r="A4466" t="str">
        <f t="shared" si="76"/>
        <v>249Expectancy</v>
      </c>
      <c r="B4466">
        <v>249</v>
      </c>
      <c r="C4466" s="9" t="s">
        <v>31</v>
      </c>
      <c r="D4466" s="8">
        <v>1.238</v>
      </c>
    </row>
    <row r="4467" spans="1:4" x14ac:dyDescent="0.35">
      <c r="A4467" t="str">
        <f t="shared" si="76"/>
        <v>249Net Profit</v>
      </c>
      <c r="B4467">
        <v>249</v>
      </c>
      <c r="C4467" s="9" t="s">
        <v>32</v>
      </c>
      <c r="D4467" s="8">
        <v>2.8086099999999998</v>
      </c>
    </row>
    <row r="4468" spans="1:4" x14ac:dyDescent="0.35">
      <c r="A4468" t="str">
        <f t="shared" si="76"/>
        <v>249Loss Rate</v>
      </c>
      <c r="B4468">
        <v>249</v>
      </c>
      <c r="C4468" s="9" t="s">
        <v>33</v>
      </c>
      <c r="D4468" s="8">
        <v>0.42</v>
      </c>
    </row>
    <row r="4469" spans="1:4" x14ac:dyDescent="0.35">
      <c r="A4469" t="str">
        <f t="shared" si="76"/>
        <v>249Win Rate</v>
      </c>
      <c r="B4469">
        <v>249</v>
      </c>
      <c r="C4469" s="9" t="s">
        <v>34</v>
      </c>
      <c r="D4469" s="8">
        <v>0.57999999999999996</v>
      </c>
    </row>
    <row r="4470" spans="1:4" x14ac:dyDescent="0.35">
      <c r="A4470" t="str">
        <f t="shared" si="76"/>
        <v>249Profit-Loss Ratio</v>
      </c>
      <c r="B4470">
        <v>249</v>
      </c>
      <c r="C4470" s="9" t="s">
        <v>26</v>
      </c>
      <c r="D4470" s="8">
        <v>2.84</v>
      </c>
    </row>
    <row r="4471" spans="1:4" x14ac:dyDescent="0.35">
      <c r="A4471" t="str">
        <f t="shared" si="76"/>
        <v>249Alpha</v>
      </c>
      <c r="B4471">
        <v>249</v>
      </c>
      <c r="C4471" s="9" t="s">
        <v>23</v>
      </c>
      <c r="D4471" s="8">
        <v>5.1639999999999997</v>
      </c>
    </row>
    <row r="4472" spans="1:4" x14ac:dyDescent="0.35">
      <c r="A4472" t="str">
        <f t="shared" si="76"/>
        <v>249Beta</v>
      </c>
      <c r="B4472">
        <v>249</v>
      </c>
      <c r="C4472" s="9" t="s">
        <v>24</v>
      </c>
      <c r="D4472" s="8">
        <v>0.879</v>
      </c>
    </row>
    <row r="4473" spans="1:4" x14ac:dyDescent="0.35">
      <c r="A4473" t="str">
        <f t="shared" si="76"/>
        <v>249Annual Standard Deviation</v>
      </c>
      <c r="B4473">
        <v>249</v>
      </c>
      <c r="C4473" s="9" t="s">
        <v>35</v>
      </c>
      <c r="D4473" s="8">
        <v>0.91200000000000003</v>
      </c>
    </row>
    <row r="4474" spans="1:4" x14ac:dyDescent="0.35">
      <c r="A4474" t="str">
        <f t="shared" si="76"/>
        <v>249Annual Variance</v>
      </c>
      <c r="B4474">
        <v>249</v>
      </c>
      <c r="C4474" s="9" t="s">
        <v>36</v>
      </c>
      <c r="D4474" s="8">
        <v>0.83099999999999996</v>
      </c>
    </row>
    <row r="4475" spans="1:4" x14ac:dyDescent="0.35">
      <c r="A4475" t="str">
        <f t="shared" si="76"/>
        <v>249Information Ratio</v>
      </c>
      <c r="B4475">
        <v>249</v>
      </c>
      <c r="C4475" s="9" t="s">
        <v>37</v>
      </c>
      <c r="D4475" s="8">
        <v>5.6680000000000001</v>
      </c>
    </row>
    <row r="4476" spans="1:4" x14ac:dyDescent="0.35">
      <c r="A4476" t="str">
        <f t="shared" si="76"/>
        <v>249Tracking Error</v>
      </c>
      <c r="B4476">
        <v>249</v>
      </c>
      <c r="C4476" s="9" t="s">
        <v>38</v>
      </c>
      <c r="D4476" s="8">
        <v>0.91</v>
      </c>
    </row>
    <row r="4477" spans="1:4" x14ac:dyDescent="0.35">
      <c r="A4477" t="str">
        <f t="shared" si="76"/>
        <v>249Treynor Ratio</v>
      </c>
      <c r="B4477">
        <v>249</v>
      </c>
      <c r="C4477" s="9" t="s">
        <v>39</v>
      </c>
      <c r="D4477" s="8">
        <v>5.9340000000000002</v>
      </c>
    </row>
    <row r="4478" spans="1:4" x14ac:dyDescent="0.35">
      <c r="A4478" t="str">
        <f t="shared" si="76"/>
        <v>249Total Fees</v>
      </c>
      <c r="B4478">
        <v>249</v>
      </c>
      <c r="C4478" s="9" t="s">
        <v>40</v>
      </c>
      <c r="D4478" s="8">
        <v>0</v>
      </c>
    </row>
    <row r="4479" spans="1:4" x14ac:dyDescent="0.35">
      <c r="A4479" t="str">
        <f t="shared" si="76"/>
        <v>249Estimated Strategy Capacity</v>
      </c>
      <c r="B4479">
        <v>249</v>
      </c>
      <c r="C4479" s="9" t="s">
        <v>41</v>
      </c>
      <c r="D4479" s="8">
        <v>2500000</v>
      </c>
    </row>
    <row r="4480" spans="1:4" x14ac:dyDescent="0.35">
      <c r="A4480" t="str">
        <f t="shared" si="76"/>
        <v>250PSR</v>
      </c>
      <c r="B4480">
        <v>250</v>
      </c>
      <c r="C4480" s="9" t="s">
        <v>27</v>
      </c>
      <c r="D4480" s="8">
        <v>0.52515999999999996</v>
      </c>
    </row>
    <row r="4481" spans="1:4" x14ac:dyDescent="0.35">
      <c r="A4481" t="str">
        <f t="shared" si="76"/>
        <v>250Sharpe Ratio</v>
      </c>
      <c r="B4481">
        <v>250</v>
      </c>
      <c r="C4481" s="9" t="s">
        <v>1</v>
      </c>
      <c r="D4481" s="8">
        <v>1.1479999999999999</v>
      </c>
    </row>
    <row r="4482" spans="1:4" x14ac:dyDescent="0.35">
      <c r="A4482" t="str">
        <f t="shared" si="76"/>
        <v>250Total Trades</v>
      </c>
      <c r="B4482">
        <v>250</v>
      </c>
      <c r="C4482" s="9" t="s">
        <v>28</v>
      </c>
      <c r="D4482" s="8">
        <v>387</v>
      </c>
    </row>
    <row r="4483" spans="1:4" x14ac:dyDescent="0.35">
      <c r="A4483" t="str">
        <f t="shared" si="76"/>
        <v>250Average Win</v>
      </c>
      <c r="B4483">
        <v>250</v>
      </c>
      <c r="C4483" s="9" t="s">
        <v>25</v>
      </c>
      <c r="D4483" s="8">
        <v>4.4900000000000002E-2</v>
      </c>
    </row>
    <row r="4484" spans="1:4" x14ac:dyDescent="0.35">
      <c r="A4484" t="str">
        <f t="shared" si="76"/>
        <v>250Average Loss</v>
      </c>
      <c r="B4484">
        <v>250</v>
      </c>
      <c r="C4484" s="9" t="s">
        <v>29</v>
      </c>
      <c r="D4484" s="8">
        <v>-2.23E-2</v>
      </c>
    </row>
    <row r="4485" spans="1:4" x14ac:dyDescent="0.35">
      <c r="A4485" t="str">
        <f t="shared" si="76"/>
        <v>250Compounding Annual Return</v>
      </c>
      <c r="B4485">
        <v>250</v>
      </c>
      <c r="C4485" s="9" t="s">
        <v>30</v>
      </c>
      <c r="D4485" s="8">
        <v>0.22270000000000001</v>
      </c>
    </row>
    <row r="4486" spans="1:4" x14ac:dyDescent="0.35">
      <c r="A4486" t="str">
        <f t="shared" si="76"/>
        <v>250Drawdown</v>
      </c>
      <c r="B4486">
        <v>250</v>
      </c>
      <c r="C4486" s="9" t="s">
        <v>8</v>
      </c>
      <c r="D4486" s="8">
        <v>6.8000000000000005E-2</v>
      </c>
    </row>
    <row r="4487" spans="1:4" x14ac:dyDescent="0.35">
      <c r="A4487" t="str">
        <f t="shared" si="76"/>
        <v>250Expectancy</v>
      </c>
      <c r="B4487">
        <v>250</v>
      </c>
      <c r="C4487" s="9" t="s">
        <v>31</v>
      </c>
      <c r="D4487" s="8">
        <v>0.50700000000000001</v>
      </c>
    </row>
    <row r="4488" spans="1:4" x14ac:dyDescent="0.35">
      <c r="A4488" t="str">
        <f t="shared" si="76"/>
        <v>250Net Profit</v>
      </c>
      <c r="B4488">
        <v>250</v>
      </c>
      <c r="C4488" s="9" t="s">
        <v>32</v>
      </c>
      <c r="D4488" s="8">
        <v>0.13943</v>
      </c>
    </row>
    <row r="4489" spans="1:4" x14ac:dyDescent="0.35">
      <c r="A4489" t="str">
        <f t="shared" si="76"/>
        <v>250Loss Rate</v>
      </c>
      <c r="B4489">
        <v>250</v>
      </c>
      <c r="C4489" s="9" t="s">
        <v>33</v>
      </c>
      <c r="D4489" s="8">
        <v>0.5</v>
      </c>
    </row>
    <row r="4490" spans="1:4" x14ac:dyDescent="0.35">
      <c r="A4490" t="str">
        <f t="shared" si="76"/>
        <v>250Win Rate</v>
      </c>
      <c r="B4490">
        <v>250</v>
      </c>
      <c r="C4490" s="9" t="s">
        <v>34</v>
      </c>
      <c r="D4490" s="8">
        <v>0.5</v>
      </c>
    </row>
    <row r="4491" spans="1:4" x14ac:dyDescent="0.35">
      <c r="A4491" t="str">
        <f t="shared" si="76"/>
        <v>250Profit-Loss Ratio</v>
      </c>
      <c r="B4491">
        <v>250</v>
      </c>
      <c r="C4491" s="9" t="s">
        <v>26</v>
      </c>
      <c r="D4491" s="8">
        <v>2.0099999999999998</v>
      </c>
    </row>
    <row r="4492" spans="1:4" x14ac:dyDescent="0.35">
      <c r="A4492" t="str">
        <f t="shared" si="76"/>
        <v>250Alpha</v>
      </c>
      <c r="B4492">
        <v>250</v>
      </c>
      <c r="C4492" s="9" t="s">
        <v>23</v>
      </c>
      <c r="D4492" s="8">
        <v>0.152</v>
      </c>
    </row>
    <row r="4493" spans="1:4" x14ac:dyDescent="0.35">
      <c r="A4493" t="str">
        <f t="shared" si="76"/>
        <v>250Beta</v>
      </c>
      <c r="B4493">
        <v>250</v>
      </c>
      <c r="C4493" s="9" t="s">
        <v>24</v>
      </c>
      <c r="D4493" s="8">
        <v>0.16400000000000001</v>
      </c>
    </row>
    <row r="4494" spans="1:4" x14ac:dyDescent="0.35">
      <c r="A4494" t="str">
        <f t="shared" si="76"/>
        <v>250Annual Standard Deviation</v>
      </c>
      <c r="B4494">
        <v>250</v>
      </c>
      <c r="C4494" s="9" t="s">
        <v>35</v>
      </c>
      <c r="D4494" s="8">
        <v>0.14000000000000001</v>
      </c>
    </row>
    <row r="4495" spans="1:4" x14ac:dyDescent="0.35">
      <c r="A4495" t="str">
        <f t="shared" si="76"/>
        <v>250Annual Variance</v>
      </c>
      <c r="B4495">
        <v>250</v>
      </c>
      <c r="C4495" s="9" t="s">
        <v>36</v>
      </c>
      <c r="D4495" s="8">
        <v>0.02</v>
      </c>
    </row>
    <row r="4496" spans="1:4" x14ac:dyDescent="0.35">
      <c r="A4496" t="str">
        <f t="shared" si="76"/>
        <v>250Information Ratio</v>
      </c>
      <c r="B4496">
        <v>250</v>
      </c>
      <c r="C4496" s="9" t="s">
        <v>37</v>
      </c>
      <c r="D4496" s="8">
        <v>0.69799999999999995</v>
      </c>
    </row>
    <row r="4497" spans="1:4" x14ac:dyDescent="0.35">
      <c r="A4497" t="str">
        <f t="shared" si="76"/>
        <v>250Tracking Error</v>
      </c>
      <c r="B4497">
        <v>250</v>
      </c>
      <c r="C4497" s="9" t="s">
        <v>38</v>
      </c>
      <c r="D4497" s="8">
        <v>0.15</v>
      </c>
    </row>
    <row r="4498" spans="1:4" x14ac:dyDescent="0.35">
      <c r="A4498" t="str">
        <f t="shared" si="76"/>
        <v>250Treynor Ratio</v>
      </c>
      <c r="B4498">
        <v>250</v>
      </c>
      <c r="C4498" s="9" t="s">
        <v>39</v>
      </c>
      <c r="D4498" s="8">
        <v>0.97799999999999998</v>
      </c>
    </row>
    <row r="4499" spans="1:4" x14ac:dyDescent="0.35">
      <c r="A4499" t="str">
        <f t="shared" si="76"/>
        <v>250Total Fees</v>
      </c>
      <c r="B4499">
        <v>250</v>
      </c>
      <c r="C4499" s="9" t="s">
        <v>40</v>
      </c>
      <c r="D4499" s="8">
        <v>0</v>
      </c>
    </row>
    <row r="4500" spans="1:4" x14ac:dyDescent="0.35">
      <c r="A4500" t="str">
        <f t="shared" si="76"/>
        <v>250Estimated Strategy Capacity</v>
      </c>
      <c r="B4500">
        <v>250</v>
      </c>
      <c r="C4500" s="9" t="s">
        <v>41</v>
      </c>
      <c r="D4500" s="8">
        <v>3900000</v>
      </c>
    </row>
    <row r="4501" spans="1:4" x14ac:dyDescent="0.35">
      <c r="A4501" t="str">
        <f t="shared" si="76"/>
        <v>252PSR</v>
      </c>
      <c r="B4501">
        <v>252</v>
      </c>
      <c r="C4501" s="9" t="s">
        <v>27</v>
      </c>
      <c r="D4501" s="8">
        <v>0.64390999999999998</v>
      </c>
    </row>
    <row r="4502" spans="1:4" x14ac:dyDescent="0.35">
      <c r="A4502" t="str">
        <f t="shared" si="76"/>
        <v>252Sharpe Ratio</v>
      </c>
      <c r="B4502">
        <v>252</v>
      </c>
      <c r="C4502" s="9" t="s">
        <v>1</v>
      </c>
      <c r="D4502" s="8">
        <v>4.0780000000000003</v>
      </c>
    </row>
    <row r="4503" spans="1:4" x14ac:dyDescent="0.35">
      <c r="A4503" t="str">
        <f t="shared" si="76"/>
        <v>252Total Trades</v>
      </c>
      <c r="B4503">
        <v>252</v>
      </c>
      <c r="C4503" s="9" t="s">
        <v>28</v>
      </c>
      <c r="D4503" s="8">
        <v>348</v>
      </c>
    </row>
    <row r="4504" spans="1:4" x14ac:dyDescent="0.35">
      <c r="A4504" t="str">
        <f t="shared" si="76"/>
        <v>252Average Win</v>
      </c>
      <c r="B4504">
        <v>252</v>
      </c>
      <c r="C4504" s="9" t="s">
        <v>25</v>
      </c>
      <c r="D4504" s="8">
        <v>0.19939999999999999</v>
      </c>
    </row>
    <row r="4505" spans="1:4" x14ac:dyDescent="0.35">
      <c r="A4505" t="str">
        <f t="shared" si="76"/>
        <v>252Average Loss</v>
      </c>
      <c r="B4505">
        <v>252</v>
      </c>
      <c r="C4505" s="9" t="s">
        <v>29</v>
      </c>
      <c r="D4505" s="8">
        <v>-7.2700000000000001E-2</v>
      </c>
    </row>
    <row r="4506" spans="1:4" x14ac:dyDescent="0.35">
      <c r="A4506" t="str">
        <f t="shared" si="76"/>
        <v>252Compounding Annual Return</v>
      </c>
      <c r="B4506">
        <v>252</v>
      </c>
      <c r="C4506" s="9" t="s">
        <v>30</v>
      </c>
      <c r="D4506" s="8">
        <v>2.8515299999999999</v>
      </c>
    </row>
    <row r="4507" spans="1:4" x14ac:dyDescent="0.35">
      <c r="A4507" t="str">
        <f t="shared" si="76"/>
        <v>252Drawdown</v>
      </c>
      <c r="B4507">
        <v>252</v>
      </c>
      <c r="C4507" s="9" t="s">
        <v>8</v>
      </c>
      <c r="D4507" s="8">
        <v>0.69799999999999995</v>
      </c>
    </row>
    <row r="4508" spans="1:4" x14ac:dyDescent="0.35">
      <c r="A4508" t="str">
        <f t="shared" si="76"/>
        <v>252Expectancy</v>
      </c>
      <c r="B4508">
        <v>252</v>
      </c>
      <c r="C4508" s="9" t="s">
        <v>31</v>
      </c>
      <c r="D4508" s="8">
        <v>0.63700000000000001</v>
      </c>
    </row>
    <row r="4509" spans="1:4" x14ac:dyDescent="0.35">
      <c r="A4509" t="str">
        <f t="shared" si="76"/>
        <v>252Net Profit</v>
      </c>
      <c r="B4509">
        <v>252</v>
      </c>
      <c r="C4509" s="9" t="s">
        <v>32</v>
      </c>
      <c r="D4509" s="8">
        <v>1.3998999999999999</v>
      </c>
    </row>
    <row r="4510" spans="1:4" x14ac:dyDescent="0.35">
      <c r="A4510" t="str">
        <f t="shared" si="76"/>
        <v>252Loss Rate</v>
      </c>
      <c r="B4510">
        <v>252</v>
      </c>
      <c r="C4510" s="9" t="s">
        <v>33</v>
      </c>
      <c r="D4510" s="8">
        <v>0.56000000000000005</v>
      </c>
    </row>
    <row r="4511" spans="1:4" x14ac:dyDescent="0.35">
      <c r="A4511" t="str">
        <f t="shared" ref="A4511:A4574" si="77">B4511&amp;C4511</f>
        <v>252Win Rate</v>
      </c>
      <c r="B4511">
        <v>252</v>
      </c>
      <c r="C4511" s="9" t="s">
        <v>34</v>
      </c>
      <c r="D4511" s="8">
        <v>0.44</v>
      </c>
    </row>
    <row r="4512" spans="1:4" x14ac:dyDescent="0.35">
      <c r="A4512" t="str">
        <f t="shared" si="77"/>
        <v>252Profit-Loss Ratio</v>
      </c>
      <c r="B4512">
        <v>252</v>
      </c>
      <c r="C4512" s="9" t="s">
        <v>26</v>
      </c>
      <c r="D4512" s="8">
        <v>2.74</v>
      </c>
    </row>
    <row r="4513" spans="1:4" x14ac:dyDescent="0.35">
      <c r="A4513" t="str">
        <f t="shared" si="77"/>
        <v>252Alpha</v>
      </c>
      <c r="B4513">
        <v>252</v>
      </c>
      <c r="C4513" s="9" t="s">
        <v>23</v>
      </c>
      <c r="D4513" s="8">
        <v>5.4729999999999999</v>
      </c>
    </row>
    <row r="4514" spans="1:4" x14ac:dyDescent="0.35">
      <c r="A4514" t="str">
        <f t="shared" si="77"/>
        <v>252Beta</v>
      </c>
      <c r="B4514">
        <v>252</v>
      </c>
      <c r="C4514" s="9" t="s">
        <v>24</v>
      </c>
      <c r="D4514" s="8">
        <v>2.226</v>
      </c>
    </row>
    <row r="4515" spans="1:4" x14ac:dyDescent="0.35">
      <c r="A4515" t="str">
        <f t="shared" si="77"/>
        <v>252Annual Standard Deviation</v>
      </c>
      <c r="B4515">
        <v>252</v>
      </c>
      <c r="C4515" s="9" t="s">
        <v>35</v>
      </c>
      <c r="D4515" s="8">
        <v>1.373</v>
      </c>
    </row>
    <row r="4516" spans="1:4" x14ac:dyDescent="0.35">
      <c r="A4516" t="str">
        <f t="shared" si="77"/>
        <v>252Annual Variance</v>
      </c>
      <c r="B4516">
        <v>252</v>
      </c>
      <c r="C4516" s="9" t="s">
        <v>36</v>
      </c>
      <c r="D4516" s="8">
        <v>1.8859999999999999</v>
      </c>
    </row>
    <row r="4517" spans="1:4" x14ac:dyDescent="0.35">
      <c r="A4517" t="str">
        <f t="shared" si="77"/>
        <v>252Information Ratio</v>
      </c>
      <c r="B4517">
        <v>252</v>
      </c>
      <c r="C4517" s="9" t="s">
        <v>37</v>
      </c>
      <c r="D4517" s="8">
        <v>4.0529999999999999</v>
      </c>
    </row>
    <row r="4518" spans="1:4" x14ac:dyDescent="0.35">
      <c r="A4518" t="str">
        <f t="shared" si="77"/>
        <v>252Tracking Error</v>
      </c>
      <c r="B4518">
        <v>252</v>
      </c>
      <c r="C4518" s="9" t="s">
        <v>38</v>
      </c>
      <c r="D4518" s="8">
        <v>1.3680000000000001</v>
      </c>
    </row>
    <row r="4519" spans="1:4" x14ac:dyDescent="0.35">
      <c r="A4519" t="str">
        <f t="shared" si="77"/>
        <v>252Treynor Ratio</v>
      </c>
      <c r="B4519">
        <v>252</v>
      </c>
      <c r="C4519" s="9" t="s">
        <v>39</v>
      </c>
      <c r="D4519" s="8">
        <v>2.516</v>
      </c>
    </row>
    <row r="4520" spans="1:4" x14ac:dyDescent="0.35">
      <c r="A4520" t="str">
        <f t="shared" si="77"/>
        <v>252Total Fees</v>
      </c>
      <c r="B4520">
        <v>252</v>
      </c>
      <c r="C4520" s="9" t="s">
        <v>40</v>
      </c>
      <c r="D4520" s="8">
        <v>0</v>
      </c>
    </row>
    <row r="4521" spans="1:4" x14ac:dyDescent="0.35">
      <c r="A4521" t="str">
        <f t="shared" si="77"/>
        <v>252Estimated Strategy Capacity</v>
      </c>
      <c r="B4521">
        <v>252</v>
      </c>
      <c r="C4521" s="9" t="s">
        <v>41</v>
      </c>
      <c r="D4521" s="8">
        <v>1200000</v>
      </c>
    </row>
    <row r="4522" spans="1:4" x14ac:dyDescent="0.35">
      <c r="A4522" t="str">
        <f t="shared" si="77"/>
        <v>251PSR</v>
      </c>
      <c r="B4522">
        <v>251</v>
      </c>
      <c r="C4522" s="9" t="s">
        <v>27</v>
      </c>
      <c r="D4522" s="8">
        <v>0.63382000000000005</v>
      </c>
    </row>
    <row r="4523" spans="1:4" x14ac:dyDescent="0.35">
      <c r="A4523" t="str">
        <f t="shared" si="77"/>
        <v>251Sharpe Ratio</v>
      </c>
      <c r="B4523">
        <v>251</v>
      </c>
      <c r="C4523" s="9" t="s">
        <v>1</v>
      </c>
      <c r="D4523" s="8">
        <v>2.8050000000000002</v>
      </c>
    </row>
    <row r="4524" spans="1:4" x14ac:dyDescent="0.35">
      <c r="A4524" t="str">
        <f t="shared" si="77"/>
        <v>251Total Trades</v>
      </c>
      <c r="B4524">
        <v>251</v>
      </c>
      <c r="C4524" s="9" t="s">
        <v>28</v>
      </c>
      <c r="D4524" s="8">
        <v>367</v>
      </c>
    </row>
    <row r="4525" spans="1:4" x14ac:dyDescent="0.35">
      <c r="A4525" t="str">
        <f t="shared" si="77"/>
        <v>251Average Win</v>
      </c>
      <c r="B4525">
        <v>251</v>
      </c>
      <c r="C4525" s="9" t="s">
        <v>25</v>
      </c>
      <c r="D4525" s="8">
        <v>0.3407</v>
      </c>
    </row>
    <row r="4526" spans="1:4" x14ac:dyDescent="0.35">
      <c r="A4526" t="str">
        <f t="shared" si="77"/>
        <v>251Average Loss</v>
      </c>
      <c r="B4526">
        <v>251</v>
      </c>
      <c r="C4526" s="9" t="s">
        <v>29</v>
      </c>
      <c r="D4526" s="8">
        <v>-0.1081</v>
      </c>
    </row>
    <row r="4527" spans="1:4" x14ac:dyDescent="0.35">
      <c r="A4527" t="str">
        <f t="shared" si="77"/>
        <v>251Compounding Annual Return</v>
      </c>
      <c r="B4527">
        <v>251</v>
      </c>
      <c r="C4527" s="9" t="s">
        <v>30</v>
      </c>
      <c r="D4527" s="8">
        <v>2.3747699999999998</v>
      </c>
    </row>
    <row r="4528" spans="1:4" x14ac:dyDescent="0.35">
      <c r="A4528" t="str">
        <f t="shared" si="77"/>
        <v>251Drawdown</v>
      </c>
      <c r="B4528">
        <v>251</v>
      </c>
      <c r="C4528" s="9" t="s">
        <v>8</v>
      </c>
      <c r="D4528" s="8">
        <v>0.48599999999999999</v>
      </c>
    </row>
    <row r="4529" spans="1:4" x14ac:dyDescent="0.35">
      <c r="A4529" t="str">
        <f t="shared" si="77"/>
        <v>251Expectancy</v>
      </c>
      <c r="B4529">
        <v>251</v>
      </c>
      <c r="C4529" s="9" t="s">
        <v>31</v>
      </c>
      <c r="D4529" s="8">
        <v>0.77900000000000003</v>
      </c>
    </row>
    <row r="4530" spans="1:4" x14ac:dyDescent="0.35">
      <c r="A4530" t="str">
        <f t="shared" si="77"/>
        <v>251Net Profit</v>
      </c>
      <c r="B4530">
        <v>251</v>
      </c>
      <c r="C4530" s="9" t="s">
        <v>32</v>
      </c>
      <c r="D4530" s="8">
        <v>1.20261</v>
      </c>
    </row>
    <row r="4531" spans="1:4" x14ac:dyDescent="0.35">
      <c r="A4531" t="str">
        <f t="shared" si="77"/>
        <v>251Loss Rate</v>
      </c>
      <c r="B4531">
        <v>251</v>
      </c>
      <c r="C4531" s="9" t="s">
        <v>33</v>
      </c>
      <c r="D4531" s="8">
        <v>0.56999999999999995</v>
      </c>
    </row>
    <row r="4532" spans="1:4" x14ac:dyDescent="0.35">
      <c r="A4532" t="str">
        <f t="shared" si="77"/>
        <v>251Win Rate</v>
      </c>
      <c r="B4532">
        <v>251</v>
      </c>
      <c r="C4532" s="9" t="s">
        <v>34</v>
      </c>
      <c r="D4532" s="8">
        <v>0.43</v>
      </c>
    </row>
    <row r="4533" spans="1:4" x14ac:dyDescent="0.35">
      <c r="A4533" t="str">
        <f t="shared" si="77"/>
        <v>251Profit-Loss Ratio</v>
      </c>
      <c r="B4533">
        <v>251</v>
      </c>
      <c r="C4533" s="9" t="s">
        <v>26</v>
      </c>
      <c r="D4533" s="8">
        <v>3.15</v>
      </c>
    </row>
    <row r="4534" spans="1:4" x14ac:dyDescent="0.35">
      <c r="A4534" t="str">
        <f t="shared" si="77"/>
        <v>251Alpha</v>
      </c>
      <c r="B4534">
        <v>251</v>
      </c>
      <c r="C4534" s="9" t="s">
        <v>23</v>
      </c>
      <c r="D4534" s="8">
        <v>2.6880000000000002</v>
      </c>
    </row>
    <row r="4535" spans="1:4" x14ac:dyDescent="0.35">
      <c r="A4535" t="str">
        <f t="shared" si="77"/>
        <v>251Beta</v>
      </c>
      <c r="B4535">
        <v>251</v>
      </c>
      <c r="C4535" s="9" t="s">
        <v>24</v>
      </c>
      <c r="D4535" s="8">
        <v>1.145</v>
      </c>
    </row>
    <row r="4536" spans="1:4" x14ac:dyDescent="0.35">
      <c r="A4536" t="str">
        <f t="shared" si="77"/>
        <v>251Annual Standard Deviation</v>
      </c>
      <c r="B4536">
        <v>251</v>
      </c>
      <c r="C4536" s="9" t="s">
        <v>35</v>
      </c>
      <c r="D4536" s="8">
        <v>0.98099999999999998</v>
      </c>
    </row>
    <row r="4537" spans="1:4" x14ac:dyDescent="0.35">
      <c r="A4537" t="str">
        <f t="shared" si="77"/>
        <v>251Annual Variance</v>
      </c>
      <c r="B4537">
        <v>251</v>
      </c>
      <c r="C4537" s="9" t="s">
        <v>36</v>
      </c>
      <c r="D4537" s="8">
        <v>0.96299999999999997</v>
      </c>
    </row>
    <row r="4538" spans="1:4" x14ac:dyDescent="0.35">
      <c r="A4538" t="str">
        <f t="shared" si="77"/>
        <v>251Information Ratio</v>
      </c>
      <c r="B4538">
        <v>251</v>
      </c>
      <c r="C4538" s="9" t="s">
        <v>37</v>
      </c>
      <c r="D4538" s="8">
        <v>2.7549999999999999</v>
      </c>
    </row>
    <row r="4539" spans="1:4" x14ac:dyDescent="0.35">
      <c r="A4539" t="str">
        <f t="shared" si="77"/>
        <v>251Tracking Error</v>
      </c>
      <c r="B4539">
        <v>251</v>
      </c>
      <c r="C4539" s="9" t="s">
        <v>38</v>
      </c>
      <c r="D4539" s="8">
        <v>0.97899999999999998</v>
      </c>
    </row>
    <row r="4540" spans="1:4" x14ac:dyDescent="0.35">
      <c r="A4540" t="str">
        <f t="shared" si="77"/>
        <v>251Treynor Ratio</v>
      </c>
      <c r="B4540">
        <v>251</v>
      </c>
      <c r="C4540" s="9" t="s">
        <v>39</v>
      </c>
      <c r="D4540" s="8">
        <v>2.4039999999999999</v>
      </c>
    </row>
    <row r="4541" spans="1:4" x14ac:dyDescent="0.35">
      <c r="A4541" t="str">
        <f t="shared" si="77"/>
        <v>251Total Fees</v>
      </c>
      <c r="B4541">
        <v>251</v>
      </c>
      <c r="C4541" s="9" t="s">
        <v>40</v>
      </c>
      <c r="D4541" s="8">
        <v>0</v>
      </c>
    </row>
    <row r="4542" spans="1:4" x14ac:dyDescent="0.35">
      <c r="A4542" t="str">
        <f t="shared" si="77"/>
        <v>251Estimated Strategy Capacity</v>
      </c>
      <c r="B4542">
        <v>251</v>
      </c>
      <c r="C4542" s="9" t="s">
        <v>41</v>
      </c>
      <c r="D4542" s="8">
        <v>1700000</v>
      </c>
    </row>
    <row r="4543" spans="1:4" x14ac:dyDescent="0.35">
      <c r="A4543" t="str">
        <f t="shared" si="77"/>
        <v>271PSR</v>
      </c>
      <c r="B4543">
        <v>271</v>
      </c>
      <c r="C4543" s="9" t="s">
        <v>27</v>
      </c>
      <c r="D4543" s="8">
        <v>0.79584999999999995</v>
      </c>
    </row>
    <row r="4544" spans="1:4" x14ac:dyDescent="0.35">
      <c r="A4544" t="str">
        <f t="shared" si="77"/>
        <v>271Sharpe Ratio</v>
      </c>
      <c r="B4544">
        <v>271</v>
      </c>
      <c r="C4544" s="9" t="s">
        <v>1</v>
      </c>
      <c r="D4544" s="8">
        <v>2.0270000000000001</v>
      </c>
    </row>
    <row r="4545" spans="1:4" x14ac:dyDescent="0.35">
      <c r="A4545" t="str">
        <f t="shared" si="77"/>
        <v>271Total Trades</v>
      </c>
      <c r="B4545">
        <v>271</v>
      </c>
      <c r="C4545" s="9" t="s">
        <v>28</v>
      </c>
      <c r="D4545" s="8">
        <v>893</v>
      </c>
    </row>
    <row r="4546" spans="1:4" x14ac:dyDescent="0.35">
      <c r="A4546" t="str">
        <f t="shared" si="77"/>
        <v>271Average Win</v>
      </c>
      <c r="B4546">
        <v>271</v>
      </c>
      <c r="C4546" s="9" t="s">
        <v>25</v>
      </c>
      <c r="D4546" s="8">
        <v>2.0299999999999999E-2</v>
      </c>
    </row>
    <row r="4547" spans="1:4" x14ac:dyDescent="0.35">
      <c r="A4547" t="str">
        <f t="shared" si="77"/>
        <v>271Average Loss</v>
      </c>
      <c r="B4547">
        <v>271</v>
      </c>
      <c r="C4547" s="9" t="s">
        <v>29</v>
      </c>
      <c r="D4547" s="8">
        <v>-1.34E-2</v>
      </c>
    </row>
    <row r="4548" spans="1:4" x14ac:dyDescent="0.35">
      <c r="A4548" t="str">
        <f t="shared" si="77"/>
        <v>271Compounding Annual Return</v>
      </c>
      <c r="B4548">
        <v>271</v>
      </c>
      <c r="C4548" s="9" t="s">
        <v>30</v>
      </c>
      <c r="D4548" s="8">
        <v>0.37667</v>
      </c>
    </row>
    <row r="4549" spans="1:4" x14ac:dyDescent="0.35">
      <c r="A4549" t="str">
        <f t="shared" si="77"/>
        <v>271Drawdown</v>
      </c>
      <c r="B4549">
        <v>271</v>
      </c>
      <c r="C4549" s="9" t="s">
        <v>8</v>
      </c>
      <c r="D4549" s="8">
        <v>8.2000000000000003E-2</v>
      </c>
    </row>
    <row r="4550" spans="1:4" x14ac:dyDescent="0.35">
      <c r="A4550" t="str">
        <f t="shared" si="77"/>
        <v>271Expectancy</v>
      </c>
      <c r="B4550">
        <v>271</v>
      </c>
      <c r="C4550" s="9" t="s">
        <v>31</v>
      </c>
      <c r="D4550" s="8">
        <v>0.56299999999999994</v>
      </c>
    </row>
    <row r="4551" spans="1:4" x14ac:dyDescent="0.35">
      <c r="A4551" t="str">
        <f t="shared" si="77"/>
        <v>271Net Profit</v>
      </c>
      <c r="B4551">
        <v>271</v>
      </c>
      <c r="C4551" s="9" t="s">
        <v>32</v>
      </c>
      <c r="D4551" s="8">
        <v>0.23063</v>
      </c>
    </row>
    <row r="4552" spans="1:4" x14ac:dyDescent="0.35">
      <c r="A4552" t="str">
        <f t="shared" si="77"/>
        <v>271Loss Rate</v>
      </c>
      <c r="B4552">
        <v>271</v>
      </c>
      <c r="C4552" s="9" t="s">
        <v>33</v>
      </c>
      <c r="D4552" s="8">
        <v>0.38</v>
      </c>
    </row>
    <row r="4553" spans="1:4" x14ac:dyDescent="0.35">
      <c r="A4553" t="str">
        <f t="shared" si="77"/>
        <v>271Win Rate</v>
      </c>
      <c r="B4553">
        <v>271</v>
      </c>
      <c r="C4553" s="9" t="s">
        <v>34</v>
      </c>
      <c r="D4553" s="8">
        <v>0.62</v>
      </c>
    </row>
    <row r="4554" spans="1:4" x14ac:dyDescent="0.35">
      <c r="A4554" t="str">
        <f t="shared" si="77"/>
        <v>271Profit-Loss Ratio</v>
      </c>
      <c r="B4554">
        <v>271</v>
      </c>
      <c r="C4554" s="9" t="s">
        <v>26</v>
      </c>
      <c r="D4554" s="8">
        <v>1.52</v>
      </c>
    </row>
    <row r="4555" spans="1:4" x14ac:dyDescent="0.35">
      <c r="A4555" t="str">
        <f t="shared" si="77"/>
        <v>271Alpha</v>
      </c>
      <c r="B4555">
        <v>271</v>
      </c>
      <c r="C4555" s="9" t="s">
        <v>23</v>
      </c>
      <c r="D4555" s="8">
        <v>0.221</v>
      </c>
    </row>
    <row r="4556" spans="1:4" x14ac:dyDescent="0.35">
      <c r="A4556" t="str">
        <f t="shared" si="77"/>
        <v>271Beta</v>
      </c>
      <c r="B4556">
        <v>271</v>
      </c>
      <c r="C4556" s="9" t="s">
        <v>24</v>
      </c>
      <c r="D4556" s="8">
        <v>0.65800000000000003</v>
      </c>
    </row>
    <row r="4557" spans="1:4" x14ac:dyDescent="0.35">
      <c r="A4557" t="str">
        <f t="shared" si="77"/>
        <v>271Annual Standard Deviation</v>
      </c>
      <c r="B4557">
        <v>271</v>
      </c>
      <c r="C4557" s="9" t="s">
        <v>35</v>
      </c>
      <c r="D4557" s="8">
        <v>0.127</v>
      </c>
    </row>
    <row r="4558" spans="1:4" x14ac:dyDescent="0.35">
      <c r="A4558" t="str">
        <f t="shared" si="77"/>
        <v>271Annual Variance</v>
      </c>
      <c r="B4558">
        <v>271</v>
      </c>
      <c r="C4558" s="9" t="s">
        <v>36</v>
      </c>
      <c r="D4558" s="8">
        <v>1.6E-2</v>
      </c>
    </row>
    <row r="4559" spans="1:4" x14ac:dyDescent="0.35">
      <c r="A4559" t="str">
        <f t="shared" si="77"/>
        <v>271Information Ratio</v>
      </c>
      <c r="B4559">
        <v>271</v>
      </c>
      <c r="C4559" s="9" t="s">
        <v>37</v>
      </c>
      <c r="D4559" s="8">
        <v>1.651</v>
      </c>
    </row>
    <row r="4560" spans="1:4" x14ac:dyDescent="0.35">
      <c r="A4560" t="str">
        <f t="shared" si="77"/>
        <v>271Tracking Error</v>
      </c>
      <c r="B4560">
        <v>271</v>
      </c>
      <c r="C4560" s="9" t="s">
        <v>38</v>
      </c>
      <c r="D4560" s="8">
        <v>0.122</v>
      </c>
    </row>
    <row r="4561" spans="1:4" x14ac:dyDescent="0.35">
      <c r="A4561" t="str">
        <f t="shared" si="77"/>
        <v>271Treynor Ratio</v>
      </c>
      <c r="B4561">
        <v>271</v>
      </c>
      <c r="C4561" s="9" t="s">
        <v>39</v>
      </c>
      <c r="D4561" s="8">
        <v>0.39200000000000002</v>
      </c>
    </row>
    <row r="4562" spans="1:4" x14ac:dyDescent="0.35">
      <c r="A4562" t="str">
        <f t="shared" si="77"/>
        <v>271Total Fees</v>
      </c>
      <c r="B4562">
        <v>271</v>
      </c>
      <c r="C4562" s="9" t="s">
        <v>40</v>
      </c>
      <c r="D4562" s="8">
        <v>0</v>
      </c>
    </row>
    <row r="4563" spans="1:4" x14ac:dyDescent="0.35">
      <c r="A4563" t="str">
        <f t="shared" si="77"/>
        <v>271Estimated Strategy Capacity</v>
      </c>
      <c r="B4563">
        <v>271</v>
      </c>
      <c r="C4563" s="9" t="s">
        <v>41</v>
      </c>
      <c r="D4563" s="8">
        <v>5000000</v>
      </c>
    </row>
    <row r="4564" spans="1:4" x14ac:dyDescent="0.35">
      <c r="A4564" t="str">
        <f t="shared" si="77"/>
        <v>272PSR</v>
      </c>
      <c r="B4564">
        <v>272</v>
      </c>
      <c r="C4564" s="9" t="s">
        <v>27</v>
      </c>
      <c r="D4564" s="8">
        <v>0.82501000000000002</v>
      </c>
    </row>
    <row r="4565" spans="1:4" x14ac:dyDescent="0.35">
      <c r="A4565" t="str">
        <f t="shared" si="77"/>
        <v>272Sharpe Ratio</v>
      </c>
      <c r="B4565">
        <v>272</v>
      </c>
      <c r="C4565" s="9" t="s">
        <v>1</v>
      </c>
      <c r="D4565" s="8">
        <v>4.399</v>
      </c>
    </row>
    <row r="4566" spans="1:4" x14ac:dyDescent="0.35">
      <c r="A4566" t="str">
        <f t="shared" si="77"/>
        <v>272Total Trades</v>
      </c>
      <c r="B4566">
        <v>272</v>
      </c>
      <c r="C4566" s="9" t="s">
        <v>28</v>
      </c>
      <c r="D4566" s="8">
        <v>876</v>
      </c>
    </row>
    <row r="4567" spans="1:4" x14ac:dyDescent="0.35">
      <c r="A4567" t="str">
        <f t="shared" si="77"/>
        <v>272Average Win</v>
      </c>
      <c r="B4567">
        <v>272</v>
      </c>
      <c r="C4567" s="9" t="s">
        <v>25</v>
      </c>
      <c r="D4567" s="8">
        <v>0.13550000000000001</v>
      </c>
    </row>
    <row r="4568" spans="1:4" x14ac:dyDescent="0.35">
      <c r="A4568" t="str">
        <f t="shared" si="77"/>
        <v>272Average Loss</v>
      </c>
      <c r="B4568">
        <v>272</v>
      </c>
      <c r="C4568" s="9" t="s">
        <v>29</v>
      </c>
      <c r="D4568" s="8">
        <v>-7.3700000000000002E-2</v>
      </c>
    </row>
    <row r="4569" spans="1:4" x14ac:dyDescent="0.35">
      <c r="A4569" t="str">
        <f t="shared" si="77"/>
        <v>272Compounding Annual Return</v>
      </c>
      <c r="B4569">
        <v>272</v>
      </c>
      <c r="C4569" s="9" t="s">
        <v>30</v>
      </c>
      <c r="D4569" s="8">
        <v>4.5813699999999997</v>
      </c>
    </row>
    <row r="4570" spans="1:4" x14ac:dyDescent="0.35">
      <c r="A4570" t="str">
        <f t="shared" si="77"/>
        <v>272Drawdown</v>
      </c>
      <c r="B4570">
        <v>272</v>
      </c>
      <c r="C4570" s="9" t="s">
        <v>8</v>
      </c>
      <c r="D4570" s="8">
        <v>0.46</v>
      </c>
    </row>
    <row r="4571" spans="1:4" x14ac:dyDescent="0.35">
      <c r="A4571" t="str">
        <f t="shared" si="77"/>
        <v>272Expectancy</v>
      </c>
      <c r="B4571">
        <v>272</v>
      </c>
      <c r="C4571" s="9" t="s">
        <v>31</v>
      </c>
      <c r="D4571" s="8">
        <v>0.66400000000000003</v>
      </c>
    </row>
    <row r="4572" spans="1:4" x14ac:dyDescent="0.35">
      <c r="A4572" t="str">
        <f t="shared" si="77"/>
        <v>272Net Profit</v>
      </c>
      <c r="B4572">
        <v>272</v>
      </c>
      <c r="C4572" s="9" t="s">
        <v>32</v>
      </c>
      <c r="D4572" s="8">
        <v>2.05341</v>
      </c>
    </row>
    <row r="4573" spans="1:4" x14ac:dyDescent="0.35">
      <c r="A4573" t="str">
        <f t="shared" si="77"/>
        <v>272Loss Rate</v>
      </c>
      <c r="B4573">
        <v>272</v>
      </c>
      <c r="C4573" s="9" t="s">
        <v>33</v>
      </c>
      <c r="D4573" s="8">
        <v>0.41</v>
      </c>
    </row>
    <row r="4574" spans="1:4" x14ac:dyDescent="0.35">
      <c r="A4574" t="str">
        <f t="shared" si="77"/>
        <v>272Win Rate</v>
      </c>
      <c r="B4574">
        <v>272</v>
      </c>
      <c r="C4574" s="9" t="s">
        <v>34</v>
      </c>
      <c r="D4574" s="8">
        <v>0.59</v>
      </c>
    </row>
    <row r="4575" spans="1:4" x14ac:dyDescent="0.35">
      <c r="A4575" t="str">
        <f t="shared" ref="A4575:A4638" si="78">B4575&amp;C4575</f>
        <v>272Profit-Loss Ratio</v>
      </c>
      <c r="B4575">
        <v>272</v>
      </c>
      <c r="C4575" s="9" t="s">
        <v>26</v>
      </c>
      <c r="D4575" s="8">
        <v>1.84</v>
      </c>
    </row>
    <row r="4576" spans="1:4" x14ac:dyDescent="0.35">
      <c r="A4576" t="str">
        <f t="shared" si="78"/>
        <v>272Alpha</v>
      </c>
      <c r="B4576">
        <v>272</v>
      </c>
      <c r="C4576" s="9" t="s">
        <v>23</v>
      </c>
      <c r="D4576" s="8">
        <v>3.1389999999999998</v>
      </c>
    </row>
    <row r="4577" spans="1:4" x14ac:dyDescent="0.35">
      <c r="A4577" t="str">
        <f t="shared" si="78"/>
        <v>272Beta</v>
      </c>
      <c r="B4577">
        <v>272</v>
      </c>
      <c r="C4577" s="9" t="s">
        <v>24</v>
      </c>
      <c r="D4577" s="8">
        <v>4.3419999999999996</v>
      </c>
    </row>
    <row r="4578" spans="1:4" x14ac:dyDescent="0.35">
      <c r="A4578" t="str">
        <f t="shared" si="78"/>
        <v>272Annual Standard Deviation</v>
      </c>
      <c r="B4578">
        <v>272</v>
      </c>
      <c r="C4578" s="9" t="s">
        <v>35</v>
      </c>
      <c r="D4578" s="8">
        <v>0.77</v>
      </c>
    </row>
    <row r="4579" spans="1:4" x14ac:dyDescent="0.35">
      <c r="A4579" t="str">
        <f t="shared" si="78"/>
        <v>272Annual Variance</v>
      </c>
      <c r="B4579">
        <v>272</v>
      </c>
      <c r="C4579" s="9" t="s">
        <v>36</v>
      </c>
      <c r="D4579" s="8">
        <v>0.59299999999999997</v>
      </c>
    </row>
    <row r="4580" spans="1:4" x14ac:dyDescent="0.35">
      <c r="A4580" t="str">
        <f t="shared" si="78"/>
        <v>272Information Ratio</v>
      </c>
      <c r="B4580">
        <v>272</v>
      </c>
      <c r="C4580" s="9" t="s">
        <v>37</v>
      </c>
      <c r="D4580" s="8">
        <v>4.4560000000000004</v>
      </c>
    </row>
    <row r="4581" spans="1:4" x14ac:dyDescent="0.35">
      <c r="A4581" t="str">
        <f t="shared" si="78"/>
        <v>272Tracking Error</v>
      </c>
      <c r="B4581">
        <v>272</v>
      </c>
      <c r="C4581" s="9" t="s">
        <v>38</v>
      </c>
      <c r="D4581" s="8">
        <v>0.747</v>
      </c>
    </row>
    <row r="4582" spans="1:4" x14ac:dyDescent="0.35">
      <c r="A4582" t="str">
        <f t="shared" si="78"/>
        <v>272Treynor Ratio</v>
      </c>
      <c r="B4582">
        <v>272</v>
      </c>
      <c r="C4582" s="9" t="s">
        <v>39</v>
      </c>
      <c r="D4582" s="8">
        <v>0.78</v>
      </c>
    </row>
    <row r="4583" spans="1:4" x14ac:dyDescent="0.35">
      <c r="A4583" t="str">
        <f t="shared" si="78"/>
        <v>272Total Fees</v>
      </c>
      <c r="B4583">
        <v>272</v>
      </c>
      <c r="C4583" s="9" t="s">
        <v>40</v>
      </c>
      <c r="D4583" s="8">
        <v>0</v>
      </c>
    </row>
    <row r="4584" spans="1:4" x14ac:dyDescent="0.35">
      <c r="A4584" t="str">
        <f t="shared" si="78"/>
        <v>272Estimated Strategy Capacity</v>
      </c>
      <c r="B4584">
        <v>272</v>
      </c>
      <c r="C4584" s="9" t="s">
        <v>41</v>
      </c>
      <c r="D4584" s="8">
        <v>2500000</v>
      </c>
    </row>
    <row r="4585" spans="1:4" x14ac:dyDescent="0.35">
      <c r="A4585" t="str">
        <f t="shared" si="78"/>
        <v>273PSR</v>
      </c>
      <c r="B4585">
        <v>273</v>
      </c>
      <c r="C4585" s="9" t="s">
        <v>27</v>
      </c>
      <c r="D4585" s="8">
        <v>0.76468000000000003</v>
      </c>
    </row>
    <row r="4586" spans="1:4" x14ac:dyDescent="0.35">
      <c r="A4586" t="str">
        <f t="shared" si="78"/>
        <v>273Sharpe Ratio</v>
      </c>
      <c r="B4586">
        <v>273</v>
      </c>
      <c r="C4586" s="9" t="s">
        <v>1</v>
      </c>
      <c r="D4586" s="8">
        <v>5.4630000000000001</v>
      </c>
    </row>
    <row r="4587" spans="1:4" x14ac:dyDescent="0.35">
      <c r="A4587" t="str">
        <f t="shared" si="78"/>
        <v>273Total Trades</v>
      </c>
      <c r="B4587">
        <v>273</v>
      </c>
      <c r="C4587" s="9" t="s">
        <v>28</v>
      </c>
      <c r="D4587" s="8">
        <v>825</v>
      </c>
    </row>
    <row r="4588" spans="1:4" x14ac:dyDescent="0.35">
      <c r="A4588" t="str">
        <f t="shared" si="78"/>
        <v>273Average Win</v>
      </c>
      <c r="B4588">
        <v>273</v>
      </c>
      <c r="C4588" s="9" t="s">
        <v>25</v>
      </c>
      <c r="D4588" s="8">
        <v>0.22450000000000001</v>
      </c>
    </row>
    <row r="4589" spans="1:4" x14ac:dyDescent="0.35">
      <c r="A4589" t="str">
        <f t="shared" si="78"/>
        <v>273Average Loss</v>
      </c>
      <c r="B4589">
        <v>273</v>
      </c>
      <c r="C4589" s="9" t="s">
        <v>29</v>
      </c>
      <c r="D4589" s="8">
        <v>-6.1800000000000001E-2</v>
      </c>
    </row>
    <row r="4590" spans="1:4" x14ac:dyDescent="0.35">
      <c r="A4590" t="str">
        <f t="shared" si="78"/>
        <v>273Compounding Annual Return</v>
      </c>
      <c r="B4590">
        <v>273</v>
      </c>
      <c r="C4590" s="9" t="s">
        <v>30</v>
      </c>
      <c r="D4590" s="8">
        <v>5.8875000000000002</v>
      </c>
    </row>
    <row r="4591" spans="1:4" x14ac:dyDescent="0.35">
      <c r="A4591" t="str">
        <f t="shared" si="78"/>
        <v>273Drawdown</v>
      </c>
      <c r="B4591">
        <v>273</v>
      </c>
      <c r="C4591" s="9" t="s">
        <v>8</v>
      </c>
      <c r="D4591" s="8">
        <v>0.68400000000000005</v>
      </c>
    </row>
    <row r="4592" spans="1:4" x14ac:dyDescent="0.35">
      <c r="A4592" t="str">
        <f t="shared" si="78"/>
        <v>273Expectancy</v>
      </c>
      <c r="B4592">
        <v>273</v>
      </c>
      <c r="C4592" s="9" t="s">
        <v>31</v>
      </c>
      <c r="D4592" s="8">
        <v>0.78100000000000003</v>
      </c>
    </row>
    <row r="4593" spans="1:4" x14ac:dyDescent="0.35">
      <c r="A4593" t="str">
        <f t="shared" si="78"/>
        <v>273Net Profit</v>
      </c>
      <c r="B4593">
        <v>273</v>
      </c>
      <c r="C4593" s="9" t="s">
        <v>32</v>
      </c>
      <c r="D4593" s="8">
        <v>2.5000200000000001</v>
      </c>
    </row>
    <row r="4594" spans="1:4" x14ac:dyDescent="0.35">
      <c r="A4594" t="str">
        <f t="shared" si="78"/>
        <v>273Loss Rate</v>
      </c>
      <c r="B4594">
        <v>273</v>
      </c>
      <c r="C4594" s="9" t="s">
        <v>33</v>
      </c>
      <c r="D4594" s="8">
        <v>0.62</v>
      </c>
    </row>
    <row r="4595" spans="1:4" x14ac:dyDescent="0.35">
      <c r="A4595" t="str">
        <f t="shared" si="78"/>
        <v>273Win Rate</v>
      </c>
      <c r="B4595">
        <v>273</v>
      </c>
      <c r="C4595" s="9" t="s">
        <v>34</v>
      </c>
      <c r="D4595" s="8">
        <v>0.38</v>
      </c>
    </row>
    <row r="4596" spans="1:4" x14ac:dyDescent="0.35">
      <c r="A4596" t="str">
        <f t="shared" si="78"/>
        <v>273Profit-Loss Ratio</v>
      </c>
      <c r="B4596">
        <v>273</v>
      </c>
      <c r="C4596" s="9" t="s">
        <v>26</v>
      </c>
      <c r="D4596" s="8">
        <v>3.63</v>
      </c>
    </row>
    <row r="4597" spans="1:4" x14ac:dyDescent="0.35">
      <c r="A4597" t="str">
        <f t="shared" si="78"/>
        <v>273Alpha</v>
      </c>
      <c r="B4597">
        <v>273</v>
      </c>
      <c r="C4597" s="9" t="s">
        <v>23</v>
      </c>
      <c r="D4597" s="8">
        <v>5.91</v>
      </c>
    </row>
    <row r="4598" spans="1:4" x14ac:dyDescent="0.35">
      <c r="A4598" t="str">
        <f t="shared" si="78"/>
        <v>273Beta</v>
      </c>
      <c r="B4598">
        <v>273</v>
      </c>
      <c r="C4598" s="9" t="s">
        <v>24</v>
      </c>
      <c r="D4598" s="8">
        <v>7.0309999999999997</v>
      </c>
    </row>
    <row r="4599" spans="1:4" x14ac:dyDescent="0.35">
      <c r="A4599" t="str">
        <f t="shared" si="78"/>
        <v>273Annual Standard Deviation</v>
      </c>
      <c r="B4599">
        <v>273</v>
      </c>
      <c r="C4599" s="9" t="s">
        <v>35</v>
      </c>
      <c r="D4599" s="8">
        <v>1.155</v>
      </c>
    </row>
    <row r="4600" spans="1:4" x14ac:dyDescent="0.35">
      <c r="A4600" t="str">
        <f t="shared" si="78"/>
        <v>273Annual Variance</v>
      </c>
      <c r="B4600">
        <v>273</v>
      </c>
      <c r="C4600" s="9" t="s">
        <v>36</v>
      </c>
      <c r="D4600" s="8">
        <v>1.335</v>
      </c>
    </row>
    <row r="4601" spans="1:4" x14ac:dyDescent="0.35">
      <c r="A4601" t="str">
        <f t="shared" si="78"/>
        <v>273Information Ratio</v>
      </c>
      <c r="B4601">
        <v>273</v>
      </c>
      <c r="C4601" s="9" t="s">
        <v>37</v>
      </c>
      <c r="D4601" s="8">
        <v>5.5359999999999996</v>
      </c>
    </row>
    <row r="4602" spans="1:4" x14ac:dyDescent="0.35">
      <c r="A4602" t="str">
        <f t="shared" si="78"/>
        <v>273Tracking Error</v>
      </c>
      <c r="B4602">
        <v>273</v>
      </c>
      <c r="C4602" s="9" t="s">
        <v>38</v>
      </c>
      <c r="D4602" s="8">
        <v>1.1299999999999999</v>
      </c>
    </row>
    <row r="4603" spans="1:4" x14ac:dyDescent="0.35">
      <c r="A4603" t="str">
        <f t="shared" si="78"/>
        <v>273Treynor Ratio</v>
      </c>
      <c r="B4603">
        <v>273</v>
      </c>
      <c r="C4603" s="9" t="s">
        <v>39</v>
      </c>
      <c r="D4603" s="8">
        <v>0.89800000000000002</v>
      </c>
    </row>
    <row r="4604" spans="1:4" x14ac:dyDescent="0.35">
      <c r="A4604" t="str">
        <f t="shared" si="78"/>
        <v>273Total Fees</v>
      </c>
      <c r="B4604">
        <v>273</v>
      </c>
      <c r="C4604" s="9" t="s">
        <v>40</v>
      </c>
      <c r="D4604" s="8">
        <v>0</v>
      </c>
    </row>
    <row r="4605" spans="1:4" x14ac:dyDescent="0.35">
      <c r="A4605" t="str">
        <f t="shared" si="78"/>
        <v>273Estimated Strategy Capacity</v>
      </c>
      <c r="B4605">
        <v>273</v>
      </c>
      <c r="C4605" s="9" t="s">
        <v>41</v>
      </c>
      <c r="D4605" s="8">
        <v>2200000</v>
      </c>
    </row>
    <row r="4606" spans="1:4" x14ac:dyDescent="0.35">
      <c r="A4606" t="str">
        <f t="shared" si="78"/>
        <v>274PSR</v>
      </c>
      <c r="B4606">
        <v>274</v>
      </c>
      <c r="C4606" s="9" t="s">
        <v>27</v>
      </c>
      <c r="D4606" s="8">
        <v>0.15468000000000001</v>
      </c>
    </row>
    <row r="4607" spans="1:4" x14ac:dyDescent="0.35">
      <c r="A4607" t="str">
        <f t="shared" si="78"/>
        <v>274Sharpe Ratio</v>
      </c>
      <c r="B4607">
        <v>274</v>
      </c>
      <c r="C4607" s="9" t="s">
        <v>1</v>
      </c>
      <c r="D4607" s="8">
        <v>-5.3999999999999999E-2</v>
      </c>
    </row>
    <row r="4608" spans="1:4" x14ac:dyDescent="0.35">
      <c r="A4608" t="str">
        <f t="shared" si="78"/>
        <v>274Total Trades</v>
      </c>
      <c r="B4608">
        <v>274</v>
      </c>
      <c r="C4608" s="9" t="s">
        <v>28</v>
      </c>
      <c r="D4608" s="8">
        <v>558</v>
      </c>
    </row>
    <row r="4609" spans="1:4" x14ac:dyDescent="0.35">
      <c r="A4609" t="str">
        <f t="shared" si="78"/>
        <v>274Average Win</v>
      </c>
      <c r="B4609">
        <v>274</v>
      </c>
      <c r="C4609" s="9" t="s">
        <v>25</v>
      </c>
      <c r="D4609" s="8">
        <v>3.3000000000000002E-2</v>
      </c>
    </row>
    <row r="4610" spans="1:4" x14ac:dyDescent="0.35">
      <c r="A4610" t="str">
        <f t="shared" si="78"/>
        <v>274Average Loss</v>
      </c>
      <c r="B4610">
        <v>274</v>
      </c>
      <c r="C4610" s="9" t="s">
        <v>29</v>
      </c>
      <c r="D4610" s="8">
        <v>-1.7100000000000001E-2</v>
      </c>
    </row>
    <row r="4611" spans="1:4" x14ac:dyDescent="0.35">
      <c r="A4611" t="str">
        <f t="shared" si="78"/>
        <v>274Compounding Annual Return</v>
      </c>
      <c r="B4611">
        <v>274</v>
      </c>
      <c r="C4611" s="9" t="s">
        <v>30</v>
      </c>
      <c r="D4611" s="8">
        <v>-2.317E-2</v>
      </c>
    </row>
    <row r="4612" spans="1:4" x14ac:dyDescent="0.35">
      <c r="A4612" t="str">
        <f t="shared" si="78"/>
        <v>274Drawdown</v>
      </c>
      <c r="B4612">
        <v>274</v>
      </c>
      <c r="C4612" s="9" t="s">
        <v>8</v>
      </c>
      <c r="D4612" s="8">
        <v>8.4000000000000005E-2</v>
      </c>
    </row>
    <row r="4613" spans="1:4" x14ac:dyDescent="0.35">
      <c r="A4613" t="str">
        <f t="shared" si="78"/>
        <v>274Expectancy</v>
      </c>
      <c r="B4613">
        <v>274</v>
      </c>
      <c r="C4613" s="9" t="s">
        <v>31</v>
      </c>
      <c r="D4613" s="8">
        <v>-2.5000000000000001E-2</v>
      </c>
    </row>
    <row r="4614" spans="1:4" x14ac:dyDescent="0.35">
      <c r="A4614" t="str">
        <f t="shared" si="78"/>
        <v>274Net Profit</v>
      </c>
      <c r="B4614">
        <v>274</v>
      </c>
      <c r="C4614" s="9" t="s">
        <v>32</v>
      </c>
      <c r="D4614" s="8">
        <v>-1.5100000000000001E-2</v>
      </c>
    </row>
    <row r="4615" spans="1:4" x14ac:dyDescent="0.35">
      <c r="A4615" t="str">
        <f t="shared" si="78"/>
        <v>274Loss Rate</v>
      </c>
      <c r="B4615">
        <v>274</v>
      </c>
      <c r="C4615" s="9" t="s">
        <v>33</v>
      </c>
      <c r="D4615" s="8">
        <v>0.67</v>
      </c>
    </row>
    <row r="4616" spans="1:4" x14ac:dyDescent="0.35">
      <c r="A4616" t="str">
        <f t="shared" si="78"/>
        <v>274Win Rate</v>
      </c>
      <c r="B4616">
        <v>274</v>
      </c>
      <c r="C4616" s="9" t="s">
        <v>34</v>
      </c>
      <c r="D4616" s="8">
        <v>0.33</v>
      </c>
    </row>
    <row r="4617" spans="1:4" x14ac:dyDescent="0.35">
      <c r="A4617" t="str">
        <f t="shared" si="78"/>
        <v>274Profit-Loss Ratio</v>
      </c>
      <c r="B4617">
        <v>274</v>
      </c>
      <c r="C4617" s="9" t="s">
        <v>26</v>
      </c>
      <c r="D4617" s="8">
        <v>1.93</v>
      </c>
    </row>
    <row r="4618" spans="1:4" x14ac:dyDescent="0.35">
      <c r="A4618" t="str">
        <f t="shared" si="78"/>
        <v>274Alpha</v>
      </c>
      <c r="B4618">
        <v>274</v>
      </c>
      <c r="C4618" s="9" t="s">
        <v>23</v>
      </c>
      <c r="D4618" s="8">
        <v>-5.2999999999999999E-2</v>
      </c>
    </row>
    <row r="4619" spans="1:4" x14ac:dyDescent="0.35">
      <c r="A4619" t="str">
        <f t="shared" si="78"/>
        <v>274Beta</v>
      </c>
      <c r="B4619">
        <v>274</v>
      </c>
      <c r="C4619" s="9" t="s">
        <v>24</v>
      </c>
      <c r="D4619" s="8">
        <v>0.81599999999999995</v>
      </c>
    </row>
    <row r="4620" spans="1:4" x14ac:dyDescent="0.35">
      <c r="A4620" t="str">
        <f t="shared" si="78"/>
        <v>274Annual Standard Deviation</v>
      </c>
      <c r="B4620">
        <v>274</v>
      </c>
      <c r="C4620" s="9" t="s">
        <v>35</v>
      </c>
      <c r="D4620" s="8">
        <v>0.13400000000000001</v>
      </c>
    </row>
    <row r="4621" spans="1:4" x14ac:dyDescent="0.35">
      <c r="A4621" t="str">
        <f t="shared" si="78"/>
        <v>274Annual Variance</v>
      </c>
      <c r="B4621">
        <v>274</v>
      </c>
      <c r="C4621" s="9" t="s">
        <v>36</v>
      </c>
      <c r="D4621" s="8">
        <v>1.7999999999999999E-2</v>
      </c>
    </row>
    <row r="4622" spans="1:4" x14ac:dyDescent="0.35">
      <c r="A4622" t="str">
        <f t="shared" si="78"/>
        <v>274Information Ratio</v>
      </c>
      <c r="B4622">
        <v>274</v>
      </c>
      <c r="C4622" s="9" t="s">
        <v>37</v>
      </c>
      <c r="D4622" s="8">
        <v>-0.51200000000000001</v>
      </c>
    </row>
    <row r="4623" spans="1:4" x14ac:dyDescent="0.35">
      <c r="A4623" t="str">
        <f t="shared" si="78"/>
        <v>274Tracking Error</v>
      </c>
      <c r="B4623">
        <v>274</v>
      </c>
      <c r="C4623" s="9" t="s">
        <v>38</v>
      </c>
      <c r="D4623" s="8">
        <v>0.123</v>
      </c>
    </row>
    <row r="4624" spans="1:4" x14ac:dyDescent="0.35">
      <c r="A4624" t="str">
        <f t="shared" si="78"/>
        <v>274Treynor Ratio</v>
      </c>
      <c r="B4624">
        <v>274</v>
      </c>
      <c r="C4624" s="9" t="s">
        <v>39</v>
      </c>
      <c r="D4624" s="8">
        <v>-8.9999999999999993E-3</v>
      </c>
    </row>
    <row r="4625" spans="1:4" x14ac:dyDescent="0.35">
      <c r="A4625" t="str">
        <f t="shared" si="78"/>
        <v>274Total Fees</v>
      </c>
      <c r="B4625">
        <v>274</v>
      </c>
      <c r="C4625" s="9" t="s">
        <v>40</v>
      </c>
      <c r="D4625" s="8">
        <v>0</v>
      </c>
    </row>
    <row r="4626" spans="1:4" x14ac:dyDescent="0.35">
      <c r="A4626" t="str">
        <f t="shared" si="78"/>
        <v>274Estimated Strategy Capacity</v>
      </c>
      <c r="B4626">
        <v>274</v>
      </c>
      <c r="C4626" s="9" t="s">
        <v>41</v>
      </c>
      <c r="D4626" s="8">
        <v>12000000</v>
      </c>
    </row>
    <row r="4627" spans="1:4" x14ac:dyDescent="0.35">
      <c r="A4627" t="str">
        <f t="shared" si="78"/>
        <v>275PSR</v>
      </c>
      <c r="B4627">
        <v>275</v>
      </c>
      <c r="C4627" s="9" t="s">
        <v>27</v>
      </c>
      <c r="D4627" s="8">
        <v>0.18522</v>
      </c>
    </row>
    <row r="4628" spans="1:4" x14ac:dyDescent="0.35">
      <c r="A4628" t="str">
        <f t="shared" si="78"/>
        <v>275Sharpe Ratio</v>
      </c>
      <c r="B4628">
        <v>275</v>
      </c>
      <c r="C4628" s="9" t="s">
        <v>1</v>
      </c>
      <c r="D4628" s="8">
        <v>7.8E-2</v>
      </c>
    </row>
    <row r="4629" spans="1:4" x14ac:dyDescent="0.35">
      <c r="A4629" t="str">
        <f t="shared" si="78"/>
        <v>275Total Trades</v>
      </c>
      <c r="B4629">
        <v>275</v>
      </c>
      <c r="C4629" s="9" t="s">
        <v>28</v>
      </c>
      <c r="D4629" s="8">
        <v>494</v>
      </c>
    </row>
    <row r="4630" spans="1:4" x14ac:dyDescent="0.35">
      <c r="A4630" t="str">
        <f t="shared" si="78"/>
        <v>275Average Win</v>
      </c>
      <c r="B4630">
        <v>275</v>
      </c>
      <c r="C4630" s="9" t="s">
        <v>25</v>
      </c>
      <c r="D4630" s="8">
        <v>0.15440000000000001</v>
      </c>
    </row>
    <row r="4631" spans="1:4" x14ac:dyDescent="0.35">
      <c r="A4631" t="str">
        <f t="shared" si="78"/>
        <v>275Average Loss</v>
      </c>
      <c r="B4631">
        <v>275</v>
      </c>
      <c r="C4631" s="9" t="s">
        <v>29</v>
      </c>
      <c r="D4631" s="8">
        <v>-8.0600000000000005E-2</v>
      </c>
    </row>
    <row r="4632" spans="1:4" x14ac:dyDescent="0.35">
      <c r="A4632" t="str">
        <f t="shared" si="78"/>
        <v>275Compounding Annual Return</v>
      </c>
      <c r="B4632">
        <v>275</v>
      </c>
      <c r="C4632" s="9" t="s">
        <v>30</v>
      </c>
      <c r="D4632" s="8">
        <v>-0.49641999999999997</v>
      </c>
    </row>
    <row r="4633" spans="1:4" x14ac:dyDescent="0.35">
      <c r="A4633" t="str">
        <f t="shared" si="78"/>
        <v>275Drawdown</v>
      </c>
      <c r="B4633">
        <v>275</v>
      </c>
      <c r="C4633" s="9" t="s">
        <v>8</v>
      </c>
      <c r="D4633" s="8">
        <v>0.61899999999999999</v>
      </c>
    </row>
    <row r="4634" spans="1:4" x14ac:dyDescent="0.35">
      <c r="A4634" t="str">
        <f t="shared" si="78"/>
        <v>275Expectancy</v>
      </c>
      <c r="B4634">
        <v>275</v>
      </c>
      <c r="C4634" s="9" t="s">
        <v>31</v>
      </c>
      <c r="D4634" s="8">
        <v>-7.1999999999999995E-2</v>
      </c>
    </row>
    <row r="4635" spans="1:4" x14ac:dyDescent="0.35">
      <c r="A4635" t="str">
        <f t="shared" si="78"/>
        <v>275Net Profit</v>
      </c>
      <c r="B4635">
        <v>275</v>
      </c>
      <c r="C4635" s="9" t="s">
        <v>32</v>
      </c>
      <c r="D4635" s="8">
        <v>-0.35941000000000001</v>
      </c>
    </row>
    <row r="4636" spans="1:4" x14ac:dyDescent="0.35">
      <c r="A4636" t="str">
        <f t="shared" si="78"/>
        <v>275Loss Rate</v>
      </c>
      <c r="B4636">
        <v>275</v>
      </c>
      <c r="C4636" s="9" t="s">
        <v>33</v>
      </c>
      <c r="D4636" s="8">
        <v>0.68</v>
      </c>
    </row>
    <row r="4637" spans="1:4" x14ac:dyDescent="0.35">
      <c r="A4637" t="str">
        <f t="shared" si="78"/>
        <v>275Win Rate</v>
      </c>
      <c r="B4637">
        <v>275</v>
      </c>
      <c r="C4637" s="9" t="s">
        <v>34</v>
      </c>
      <c r="D4637" s="8">
        <v>0.32</v>
      </c>
    </row>
    <row r="4638" spans="1:4" x14ac:dyDescent="0.35">
      <c r="A4638" t="str">
        <f t="shared" si="78"/>
        <v>275Profit-Loss Ratio</v>
      </c>
      <c r="B4638">
        <v>275</v>
      </c>
      <c r="C4638" s="9" t="s">
        <v>26</v>
      </c>
      <c r="D4638" s="8">
        <v>1.92</v>
      </c>
    </row>
    <row r="4639" spans="1:4" x14ac:dyDescent="0.35">
      <c r="A4639" t="str">
        <f t="shared" ref="A4639:A4702" si="79">B4639&amp;C4639</f>
        <v>275Alpha</v>
      </c>
      <c r="B4639">
        <v>275</v>
      </c>
      <c r="C4639" s="9" t="s">
        <v>23</v>
      </c>
      <c r="D4639" s="8">
        <v>-0.36</v>
      </c>
    </row>
    <row r="4640" spans="1:4" x14ac:dyDescent="0.35">
      <c r="A4640" t="str">
        <f t="shared" si="79"/>
        <v>275Beta</v>
      </c>
      <c r="B4640">
        <v>275</v>
      </c>
      <c r="C4640" s="9" t="s">
        <v>24</v>
      </c>
      <c r="D4640" s="8">
        <v>7.7720000000000002</v>
      </c>
    </row>
    <row r="4641" spans="1:4" x14ac:dyDescent="0.35">
      <c r="A4641" t="str">
        <f t="shared" si="79"/>
        <v>275Annual Standard Deviation</v>
      </c>
      <c r="B4641">
        <v>275</v>
      </c>
      <c r="C4641" s="9" t="s">
        <v>35</v>
      </c>
      <c r="D4641" s="8">
        <v>1.073</v>
      </c>
    </row>
    <row r="4642" spans="1:4" x14ac:dyDescent="0.35">
      <c r="A4642" t="str">
        <f t="shared" si="79"/>
        <v>275Annual Variance</v>
      </c>
      <c r="B4642">
        <v>275</v>
      </c>
      <c r="C4642" s="9" t="s">
        <v>36</v>
      </c>
      <c r="D4642" s="8">
        <v>1.1499999999999999</v>
      </c>
    </row>
    <row r="4643" spans="1:4" x14ac:dyDescent="0.35">
      <c r="A4643" t="str">
        <f t="shared" si="79"/>
        <v>275Information Ratio</v>
      </c>
      <c r="B4643">
        <v>275</v>
      </c>
      <c r="C4643" s="9" t="s">
        <v>37</v>
      </c>
      <c r="D4643" s="8">
        <v>2.5999999999999999E-2</v>
      </c>
    </row>
    <row r="4644" spans="1:4" x14ac:dyDescent="0.35">
      <c r="A4644" t="str">
        <f t="shared" si="79"/>
        <v>275Tracking Error</v>
      </c>
      <c r="B4644">
        <v>275</v>
      </c>
      <c r="C4644" s="9" t="s">
        <v>38</v>
      </c>
      <c r="D4644" s="8">
        <v>1.042</v>
      </c>
    </row>
    <row r="4645" spans="1:4" x14ac:dyDescent="0.35">
      <c r="A4645" t="str">
        <f t="shared" si="79"/>
        <v>275Treynor Ratio</v>
      </c>
      <c r="B4645">
        <v>275</v>
      </c>
      <c r="C4645" s="9" t="s">
        <v>39</v>
      </c>
      <c r="D4645" s="8">
        <v>1.0999999999999999E-2</v>
      </c>
    </row>
    <row r="4646" spans="1:4" x14ac:dyDescent="0.35">
      <c r="A4646" t="str">
        <f t="shared" si="79"/>
        <v>275Total Fees</v>
      </c>
      <c r="B4646">
        <v>275</v>
      </c>
      <c r="C4646" s="9" t="s">
        <v>40</v>
      </c>
      <c r="D4646" s="8">
        <v>0</v>
      </c>
    </row>
    <row r="4647" spans="1:4" x14ac:dyDescent="0.35">
      <c r="A4647" t="str">
        <f t="shared" si="79"/>
        <v>275Estimated Strategy Capacity</v>
      </c>
      <c r="B4647">
        <v>275</v>
      </c>
      <c r="C4647" s="9" t="s">
        <v>41</v>
      </c>
      <c r="D4647" s="8">
        <v>2600000</v>
      </c>
    </row>
    <row r="4648" spans="1:4" x14ac:dyDescent="0.35">
      <c r="A4648" t="str">
        <f t="shared" si="79"/>
        <v>276PSR</v>
      </c>
      <c r="B4648">
        <v>276</v>
      </c>
      <c r="C4648" s="9" t="s">
        <v>27</v>
      </c>
      <c r="D4648" s="8">
        <v>0.31472</v>
      </c>
    </row>
    <row r="4649" spans="1:4" x14ac:dyDescent="0.35">
      <c r="A4649" t="str">
        <f t="shared" si="79"/>
        <v>276Sharpe Ratio</v>
      </c>
      <c r="B4649">
        <v>276</v>
      </c>
      <c r="C4649" s="9" t="s">
        <v>1</v>
      </c>
      <c r="D4649" s="8">
        <v>0.73799999999999999</v>
      </c>
    </row>
    <row r="4650" spans="1:4" x14ac:dyDescent="0.35">
      <c r="A4650" t="str">
        <f t="shared" si="79"/>
        <v>276Total Trades</v>
      </c>
      <c r="B4650">
        <v>276</v>
      </c>
      <c r="C4650" s="9" t="s">
        <v>28</v>
      </c>
      <c r="D4650" s="8">
        <v>454</v>
      </c>
    </row>
    <row r="4651" spans="1:4" x14ac:dyDescent="0.35">
      <c r="A4651" t="str">
        <f t="shared" si="79"/>
        <v>276Average Win</v>
      </c>
      <c r="B4651">
        <v>276</v>
      </c>
      <c r="C4651" s="9" t="s">
        <v>25</v>
      </c>
      <c r="D4651" s="8">
        <v>0.17330000000000001</v>
      </c>
    </row>
    <row r="4652" spans="1:4" x14ac:dyDescent="0.35">
      <c r="A4652" t="str">
        <f t="shared" si="79"/>
        <v>276Average Loss</v>
      </c>
      <c r="B4652">
        <v>276</v>
      </c>
      <c r="C4652" s="9" t="s">
        <v>29</v>
      </c>
      <c r="D4652" s="8">
        <v>-5.2900000000000003E-2</v>
      </c>
    </row>
    <row r="4653" spans="1:4" x14ac:dyDescent="0.35">
      <c r="A4653" t="str">
        <f t="shared" si="79"/>
        <v>276Compounding Annual Return</v>
      </c>
      <c r="B4653">
        <v>276</v>
      </c>
      <c r="C4653" s="9" t="s">
        <v>30</v>
      </c>
      <c r="D4653" s="8">
        <v>-0.35003000000000001</v>
      </c>
    </row>
    <row r="4654" spans="1:4" x14ac:dyDescent="0.35">
      <c r="A4654" t="str">
        <f t="shared" si="79"/>
        <v>276Drawdown</v>
      </c>
      <c r="B4654">
        <v>276</v>
      </c>
      <c r="C4654" s="9" t="s">
        <v>8</v>
      </c>
      <c r="D4654" s="8">
        <v>0.80500000000000005</v>
      </c>
    </row>
    <row r="4655" spans="1:4" x14ac:dyDescent="0.35">
      <c r="A4655" t="str">
        <f t="shared" si="79"/>
        <v>276Expectancy</v>
      </c>
      <c r="B4655">
        <v>276</v>
      </c>
      <c r="C4655" s="9" t="s">
        <v>31</v>
      </c>
      <c r="D4655" s="8">
        <v>0.125</v>
      </c>
    </row>
    <row r="4656" spans="1:4" x14ac:dyDescent="0.35">
      <c r="A4656" t="str">
        <f t="shared" si="79"/>
        <v>276Net Profit</v>
      </c>
      <c r="B4656">
        <v>276</v>
      </c>
      <c r="C4656" s="9" t="s">
        <v>32</v>
      </c>
      <c r="D4656" s="8">
        <v>-0.24399000000000001</v>
      </c>
    </row>
    <row r="4657" spans="1:4" x14ac:dyDescent="0.35">
      <c r="A4657" t="str">
        <f t="shared" si="79"/>
        <v>276Loss Rate</v>
      </c>
      <c r="B4657">
        <v>276</v>
      </c>
      <c r="C4657" s="9" t="s">
        <v>33</v>
      </c>
      <c r="D4657" s="8">
        <v>0.74</v>
      </c>
    </row>
    <row r="4658" spans="1:4" x14ac:dyDescent="0.35">
      <c r="A4658" t="str">
        <f t="shared" si="79"/>
        <v>276Win Rate</v>
      </c>
      <c r="B4658">
        <v>276</v>
      </c>
      <c r="C4658" s="9" t="s">
        <v>34</v>
      </c>
      <c r="D4658" s="8">
        <v>0.26</v>
      </c>
    </row>
    <row r="4659" spans="1:4" x14ac:dyDescent="0.35">
      <c r="A4659" t="str">
        <f t="shared" si="79"/>
        <v>276Profit-Loss Ratio</v>
      </c>
      <c r="B4659">
        <v>276</v>
      </c>
      <c r="C4659" s="9" t="s">
        <v>26</v>
      </c>
      <c r="D4659" s="8">
        <v>3.27</v>
      </c>
    </row>
    <row r="4660" spans="1:4" x14ac:dyDescent="0.35">
      <c r="A4660" t="str">
        <f t="shared" si="79"/>
        <v>276Alpha</v>
      </c>
      <c r="B4660">
        <v>276</v>
      </c>
      <c r="C4660" s="9" t="s">
        <v>23</v>
      </c>
      <c r="D4660" s="8">
        <v>0.441</v>
      </c>
    </row>
    <row r="4661" spans="1:4" x14ac:dyDescent="0.35">
      <c r="A4661" t="str">
        <f t="shared" si="79"/>
        <v>276Beta</v>
      </c>
      <c r="B4661">
        <v>276</v>
      </c>
      <c r="C4661" s="9" t="s">
        <v>24</v>
      </c>
      <c r="D4661" s="8">
        <v>11.054</v>
      </c>
    </row>
    <row r="4662" spans="1:4" x14ac:dyDescent="0.35">
      <c r="A4662" t="str">
        <f t="shared" si="79"/>
        <v>276Annual Standard Deviation</v>
      </c>
      <c r="B4662">
        <v>276</v>
      </c>
      <c r="C4662" s="9" t="s">
        <v>35</v>
      </c>
      <c r="D4662" s="8">
        <v>1.4339999999999999</v>
      </c>
    </row>
    <row r="4663" spans="1:4" x14ac:dyDescent="0.35">
      <c r="A4663" t="str">
        <f t="shared" si="79"/>
        <v>276Annual Variance</v>
      </c>
      <c r="B4663">
        <v>276</v>
      </c>
      <c r="C4663" s="9" t="s">
        <v>36</v>
      </c>
      <c r="D4663" s="8">
        <v>2.056</v>
      </c>
    </row>
    <row r="4664" spans="1:4" x14ac:dyDescent="0.35">
      <c r="A4664" t="str">
        <f t="shared" si="79"/>
        <v>276Information Ratio</v>
      </c>
      <c r="B4664">
        <v>276</v>
      </c>
      <c r="C4664" s="9" t="s">
        <v>37</v>
      </c>
      <c r="D4664" s="8">
        <v>0.71599999999999997</v>
      </c>
    </row>
    <row r="4665" spans="1:4" x14ac:dyDescent="0.35">
      <c r="A4665" t="str">
        <f t="shared" si="79"/>
        <v>276Tracking Error</v>
      </c>
      <c r="B4665">
        <v>276</v>
      </c>
      <c r="C4665" s="9" t="s">
        <v>38</v>
      </c>
      <c r="D4665" s="8">
        <v>1.401</v>
      </c>
    </row>
    <row r="4666" spans="1:4" x14ac:dyDescent="0.35">
      <c r="A4666" t="str">
        <f t="shared" si="79"/>
        <v>276Treynor Ratio</v>
      </c>
      <c r="B4666">
        <v>276</v>
      </c>
      <c r="C4666" s="9" t="s">
        <v>39</v>
      </c>
      <c r="D4666" s="8">
        <v>9.6000000000000002E-2</v>
      </c>
    </row>
    <row r="4667" spans="1:4" x14ac:dyDescent="0.35">
      <c r="A4667" t="str">
        <f t="shared" si="79"/>
        <v>276Total Fees</v>
      </c>
      <c r="B4667">
        <v>276</v>
      </c>
      <c r="C4667" s="9" t="s">
        <v>40</v>
      </c>
      <c r="D4667" s="8">
        <v>0</v>
      </c>
    </row>
    <row r="4668" spans="1:4" x14ac:dyDescent="0.35">
      <c r="A4668" t="str">
        <f t="shared" si="79"/>
        <v>276Estimated Strategy Capacity</v>
      </c>
      <c r="B4668">
        <v>276</v>
      </c>
      <c r="C4668" s="9" t="s">
        <v>41</v>
      </c>
      <c r="D4668" s="8">
        <v>2500000</v>
      </c>
    </row>
    <row r="4669" spans="1:4" x14ac:dyDescent="0.35">
      <c r="A4669" t="str">
        <f t="shared" si="79"/>
        <v>2762500000</v>
      </c>
      <c r="B4669">
        <v>276</v>
      </c>
      <c r="C4669" s="11">
        <v>2500000</v>
      </c>
      <c r="D4669" s="8">
        <v>0</v>
      </c>
    </row>
    <row r="4670" spans="1:4" x14ac:dyDescent="0.35">
      <c r="A4670" t="str">
        <f t="shared" si="79"/>
        <v>277PSR</v>
      </c>
      <c r="B4670">
        <v>277</v>
      </c>
      <c r="C4670" s="9" t="s">
        <v>27</v>
      </c>
      <c r="D4670" s="8">
        <v>0.14471000000000001</v>
      </c>
    </row>
    <row r="4671" spans="1:4" x14ac:dyDescent="0.35">
      <c r="A4671" t="str">
        <f t="shared" si="79"/>
        <v>277Sharpe Ratio</v>
      </c>
      <c r="B4671">
        <v>277</v>
      </c>
      <c r="C4671" s="9" t="s">
        <v>1</v>
      </c>
      <c r="D4671" s="8">
        <v>-9.9000000000000005E-2</v>
      </c>
    </row>
    <row r="4672" spans="1:4" x14ac:dyDescent="0.35">
      <c r="A4672" t="str">
        <f t="shared" si="79"/>
        <v>277Total Trades</v>
      </c>
      <c r="B4672">
        <v>277</v>
      </c>
      <c r="C4672" s="9" t="s">
        <v>28</v>
      </c>
      <c r="D4672" s="8">
        <v>372</v>
      </c>
    </row>
    <row r="4673" spans="1:4" x14ac:dyDescent="0.35">
      <c r="A4673" t="str">
        <f t="shared" si="79"/>
        <v>277Average Win</v>
      </c>
      <c r="B4673">
        <v>277</v>
      </c>
      <c r="C4673" s="9" t="s">
        <v>25</v>
      </c>
      <c r="D4673" s="8">
        <v>2.8299999999999999E-2</v>
      </c>
    </row>
    <row r="4674" spans="1:4" x14ac:dyDescent="0.35">
      <c r="A4674" t="str">
        <f t="shared" si="79"/>
        <v>277Average Loss</v>
      </c>
      <c r="B4674">
        <v>277</v>
      </c>
      <c r="C4674" s="9" t="s">
        <v>29</v>
      </c>
      <c r="D4674" s="8">
        <v>-2.2499999999999999E-2</v>
      </c>
    </row>
    <row r="4675" spans="1:4" x14ac:dyDescent="0.35">
      <c r="A4675" t="str">
        <f t="shared" si="79"/>
        <v>277Compounding Annual Return</v>
      </c>
      <c r="B4675">
        <v>277</v>
      </c>
      <c r="C4675" s="9" t="s">
        <v>30</v>
      </c>
      <c r="D4675" s="8">
        <v>-3.4250000000000003E-2</v>
      </c>
    </row>
    <row r="4676" spans="1:4" x14ac:dyDescent="0.35">
      <c r="A4676" t="str">
        <f t="shared" si="79"/>
        <v>277Drawdown</v>
      </c>
      <c r="B4676">
        <v>277</v>
      </c>
      <c r="C4676" s="9" t="s">
        <v>8</v>
      </c>
      <c r="D4676" s="8">
        <v>0.16300000000000001</v>
      </c>
    </row>
    <row r="4677" spans="1:4" x14ac:dyDescent="0.35">
      <c r="A4677" t="str">
        <f t="shared" si="79"/>
        <v>277Expectancy</v>
      </c>
      <c r="B4677">
        <v>277</v>
      </c>
      <c r="C4677" s="9" t="s">
        <v>31</v>
      </c>
      <c r="D4677" s="8">
        <v>-0.06</v>
      </c>
    </row>
    <row r="4678" spans="1:4" x14ac:dyDescent="0.35">
      <c r="A4678" t="str">
        <f t="shared" si="79"/>
        <v>277Net Profit</v>
      </c>
      <c r="B4678">
        <v>277</v>
      </c>
      <c r="C4678" s="9" t="s">
        <v>32</v>
      </c>
      <c r="D4678" s="8">
        <v>-2.2370000000000001E-2</v>
      </c>
    </row>
    <row r="4679" spans="1:4" x14ac:dyDescent="0.35">
      <c r="A4679" t="str">
        <f t="shared" si="79"/>
        <v>277Loss Rate</v>
      </c>
      <c r="B4679">
        <v>277</v>
      </c>
      <c r="C4679" s="9" t="s">
        <v>33</v>
      </c>
      <c r="D4679" s="8">
        <v>0.57999999999999996</v>
      </c>
    </row>
    <row r="4680" spans="1:4" x14ac:dyDescent="0.35">
      <c r="A4680" t="str">
        <f t="shared" si="79"/>
        <v>277Win Rate</v>
      </c>
      <c r="B4680">
        <v>277</v>
      </c>
      <c r="C4680" s="9" t="s">
        <v>34</v>
      </c>
      <c r="D4680" s="8">
        <v>0.42</v>
      </c>
    </row>
    <row r="4681" spans="1:4" x14ac:dyDescent="0.35">
      <c r="A4681" t="str">
        <f t="shared" si="79"/>
        <v>277Profit-Loss Ratio</v>
      </c>
      <c r="B4681">
        <v>277</v>
      </c>
      <c r="C4681" s="9" t="s">
        <v>26</v>
      </c>
      <c r="D4681" s="8">
        <v>1.26</v>
      </c>
    </row>
    <row r="4682" spans="1:4" x14ac:dyDescent="0.35">
      <c r="A4682" t="str">
        <f t="shared" si="79"/>
        <v>277Alpha</v>
      </c>
      <c r="B4682">
        <v>277</v>
      </c>
      <c r="C4682" s="9" t="s">
        <v>23</v>
      </c>
      <c r="D4682" s="8">
        <v>-5.3999999999999999E-2</v>
      </c>
    </row>
    <row r="4683" spans="1:4" x14ac:dyDescent="0.35">
      <c r="A4683" t="str">
        <f t="shared" si="79"/>
        <v>277Beta</v>
      </c>
      <c r="B4683">
        <v>277</v>
      </c>
      <c r="C4683" s="9" t="s">
        <v>24</v>
      </c>
      <c r="D4683" s="8">
        <v>0.71</v>
      </c>
    </row>
    <row r="4684" spans="1:4" x14ac:dyDescent="0.35">
      <c r="A4684" t="str">
        <f t="shared" si="79"/>
        <v>277Annual Standard Deviation</v>
      </c>
      <c r="B4684">
        <v>277</v>
      </c>
      <c r="C4684" s="9" t="s">
        <v>35</v>
      </c>
      <c r="D4684" s="8">
        <v>0.14199999999999999</v>
      </c>
    </row>
    <row r="4685" spans="1:4" x14ac:dyDescent="0.35">
      <c r="A4685" t="str">
        <f t="shared" si="79"/>
        <v>277Annual Variance</v>
      </c>
      <c r="B4685">
        <v>277</v>
      </c>
      <c r="C4685" s="9" t="s">
        <v>36</v>
      </c>
      <c r="D4685" s="8">
        <v>0.02</v>
      </c>
    </row>
    <row r="4686" spans="1:4" x14ac:dyDescent="0.35">
      <c r="A4686" t="str">
        <f t="shared" si="79"/>
        <v>277Information Ratio</v>
      </c>
      <c r="B4686">
        <v>277</v>
      </c>
      <c r="C4686" s="9" t="s">
        <v>37</v>
      </c>
      <c r="D4686" s="8">
        <v>-0.51800000000000002</v>
      </c>
    </row>
    <row r="4687" spans="1:4" x14ac:dyDescent="0.35">
      <c r="A4687" t="str">
        <f t="shared" si="79"/>
        <v>277Tracking Error</v>
      </c>
      <c r="B4687">
        <v>277</v>
      </c>
      <c r="C4687" s="9" t="s">
        <v>38</v>
      </c>
      <c r="D4687" s="8">
        <v>0.13500000000000001</v>
      </c>
    </row>
    <row r="4688" spans="1:4" x14ac:dyDescent="0.35">
      <c r="A4688" t="str">
        <f t="shared" si="79"/>
        <v>277Treynor Ratio</v>
      </c>
      <c r="B4688">
        <v>277</v>
      </c>
      <c r="C4688" s="9" t="s">
        <v>39</v>
      </c>
      <c r="D4688" s="8">
        <v>-0.02</v>
      </c>
    </row>
    <row r="4689" spans="1:4" x14ac:dyDescent="0.35">
      <c r="A4689" t="str">
        <f t="shared" si="79"/>
        <v>277Total Fees</v>
      </c>
      <c r="B4689">
        <v>277</v>
      </c>
      <c r="C4689" s="9" t="s">
        <v>40</v>
      </c>
      <c r="D4689" s="8">
        <v>0</v>
      </c>
    </row>
    <row r="4690" spans="1:4" x14ac:dyDescent="0.35">
      <c r="A4690" t="str">
        <f t="shared" si="79"/>
        <v>277Estimated Strategy Capacity</v>
      </c>
      <c r="B4690">
        <v>277</v>
      </c>
      <c r="C4690" s="9" t="s">
        <v>41</v>
      </c>
      <c r="D4690" s="8">
        <v>51000000</v>
      </c>
    </row>
    <row r="4691" spans="1:4" x14ac:dyDescent="0.35">
      <c r="A4691" t="str">
        <f t="shared" si="79"/>
        <v>278PSR</v>
      </c>
      <c r="B4691">
        <v>278</v>
      </c>
      <c r="C4691" s="9" t="s">
        <v>27</v>
      </c>
      <c r="D4691" s="8">
        <v>0.14069999999999999</v>
      </c>
    </row>
    <row r="4692" spans="1:4" x14ac:dyDescent="0.35">
      <c r="A4692" t="str">
        <f t="shared" si="79"/>
        <v>278Sharpe Ratio</v>
      </c>
      <c r="B4692">
        <v>278</v>
      </c>
      <c r="C4692" s="9" t="s">
        <v>1</v>
      </c>
      <c r="D4692" s="8">
        <v>-0.107</v>
      </c>
    </row>
    <row r="4693" spans="1:4" x14ac:dyDescent="0.35">
      <c r="A4693" t="str">
        <f t="shared" si="79"/>
        <v>278Total Trades</v>
      </c>
      <c r="B4693">
        <v>278</v>
      </c>
      <c r="C4693" s="9" t="s">
        <v>28</v>
      </c>
      <c r="D4693" s="8">
        <v>325</v>
      </c>
    </row>
    <row r="4694" spans="1:4" x14ac:dyDescent="0.35">
      <c r="A4694" t="str">
        <f t="shared" si="79"/>
        <v>278Average Win</v>
      </c>
      <c r="B4694">
        <v>278</v>
      </c>
      <c r="C4694" s="9" t="s">
        <v>25</v>
      </c>
      <c r="D4694" s="8">
        <v>0.1857</v>
      </c>
    </row>
    <row r="4695" spans="1:4" x14ac:dyDescent="0.35">
      <c r="A4695" t="str">
        <f t="shared" si="79"/>
        <v>278Average Loss</v>
      </c>
      <c r="B4695">
        <v>278</v>
      </c>
      <c r="C4695" s="9" t="s">
        <v>29</v>
      </c>
      <c r="D4695" s="8">
        <v>-0.10050000000000001</v>
      </c>
    </row>
    <row r="4696" spans="1:4" x14ac:dyDescent="0.35">
      <c r="A4696" t="str">
        <f t="shared" si="79"/>
        <v>278Compounding Annual Return</v>
      </c>
      <c r="B4696">
        <v>278</v>
      </c>
      <c r="C4696" s="9" t="s">
        <v>30</v>
      </c>
      <c r="D4696" s="8">
        <v>-0.62599000000000005</v>
      </c>
    </row>
    <row r="4697" spans="1:4" x14ac:dyDescent="0.35">
      <c r="A4697" t="str">
        <f t="shared" si="79"/>
        <v>278Drawdown</v>
      </c>
      <c r="B4697">
        <v>278</v>
      </c>
      <c r="C4697" s="9" t="s">
        <v>8</v>
      </c>
      <c r="D4697" s="8">
        <v>0.77500000000000002</v>
      </c>
    </row>
    <row r="4698" spans="1:4" x14ac:dyDescent="0.35">
      <c r="A4698" t="str">
        <f t="shared" si="79"/>
        <v>278Expectancy</v>
      </c>
      <c r="B4698">
        <v>278</v>
      </c>
      <c r="C4698" s="9" t="s">
        <v>31</v>
      </c>
      <c r="D4698" s="8">
        <v>-0.14599999999999999</v>
      </c>
    </row>
    <row r="4699" spans="1:4" x14ac:dyDescent="0.35">
      <c r="A4699" t="str">
        <f t="shared" si="79"/>
        <v>278Net Profit</v>
      </c>
      <c r="B4699">
        <v>278</v>
      </c>
      <c r="C4699" s="9" t="s">
        <v>32</v>
      </c>
      <c r="D4699" s="8">
        <v>-0.47189999999999999</v>
      </c>
    </row>
    <row r="4700" spans="1:4" x14ac:dyDescent="0.35">
      <c r="A4700" t="str">
        <f t="shared" si="79"/>
        <v>278Loss Rate</v>
      </c>
      <c r="B4700">
        <v>278</v>
      </c>
      <c r="C4700" s="9" t="s">
        <v>33</v>
      </c>
      <c r="D4700" s="8">
        <v>0.7</v>
      </c>
    </row>
    <row r="4701" spans="1:4" x14ac:dyDescent="0.35">
      <c r="A4701" t="str">
        <f t="shared" si="79"/>
        <v>278Win Rate</v>
      </c>
      <c r="B4701">
        <v>278</v>
      </c>
      <c r="C4701" s="9" t="s">
        <v>34</v>
      </c>
      <c r="D4701" s="8">
        <v>0.3</v>
      </c>
    </row>
    <row r="4702" spans="1:4" x14ac:dyDescent="0.35">
      <c r="A4702" t="str">
        <f t="shared" si="79"/>
        <v>278Profit-Loss Ratio</v>
      </c>
      <c r="B4702">
        <v>278</v>
      </c>
      <c r="C4702" s="9" t="s">
        <v>26</v>
      </c>
      <c r="D4702" s="8">
        <v>1.85</v>
      </c>
    </row>
    <row r="4703" spans="1:4" x14ac:dyDescent="0.35">
      <c r="A4703" t="str">
        <f t="shared" ref="A4703:A4731" si="80">B4703&amp;C4703</f>
        <v>278Alpha</v>
      </c>
      <c r="B4703">
        <v>278</v>
      </c>
      <c r="C4703" s="9" t="s">
        <v>23</v>
      </c>
      <c r="D4703" s="8">
        <v>-0.45100000000000001</v>
      </c>
    </row>
    <row r="4704" spans="1:4" x14ac:dyDescent="0.35">
      <c r="A4704" t="str">
        <f t="shared" si="80"/>
        <v>278Beta</v>
      </c>
      <c r="B4704">
        <v>278</v>
      </c>
      <c r="C4704" s="9" t="s">
        <v>24</v>
      </c>
      <c r="D4704" s="8">
        <v>6.09</v>
      </c>
    </row>
    <row r="4705" spans="1:4" x14ac:dyDescent="0.35">
      <c r="A4705" t="str">
        <f t="shared" si="80"/>
        <v>278Annual Standard Deviation</v>
      </c>
      <c r="B4705">
        <v>278</v>
      </c>
      <c r="C4705" s="9" t="s">
        <v>35</v>
      </c>
      <c r="D4705" s="8">
        <v>1.036</v>
      </c>
    </row>
    <row r="4706" spans="1:4" x14ac:dyDescent="0.35">
      <c r="A4706" t="str">
        <f t="shared" si="80"/>
        <v>278Annual Variance</v>
      </c>
      <c r="B4706">
        <v>278</v>
      </c>
      <c r="C4706" s="9" t="s">
        <v>36</v>
      </c>
      <c r="D4706" s="8">
        <v>1.073</v>
      </c>
    </row>
    <row r="4707" spans="1:4" x14ac:dyDescent="0.35">
      <c r="A4707" t="str">
        <f t="shared" si="80"/>
        <v>278Information Ratio</v>
      </c>
      <c r="B4707">
        <v>278</v>
      </c>
      <c r="C4707" s="9" t="s">
        <v>37</v>
      </c>
      <c r="D4707" s="8">
        <v>-0.16500000000000001</v>
      </c>
    </row>
    <row r="4708" spans="1:4" x14ac:dyDescent="0.35">
      <c r="A4708" t="str">
        <f t="shared" si="80"/>
        <v>278Tracking Error</v>
      </c>
      <c r="B4708">
        <v>278</v>
      </c>
      <c r="C4708" s="9" t="s">
        <v>38</v>
      </c>
      <c r="D4708" s="8">
        <v>1.0109999999999999</v>
      </c>
    </row>
    <row r="4709" spans="1:4" x14ac:dyDescent="0.35">
      <c r="A4709" t="str">
        <f t="shared" si="80"/>
        <v>278Treynor Ratio</v>
      </c>
      <c r="B4709">
        <v>278</v>
      </c>
      <c r="C4709" s="9" t="s">
        <v>39</v>
      </c>
      <c r="D4709" s="8">
        <v>-1.7999999999999999E-2</v>
      </c>
    </row>
    <row r="4710" spans="1:4" x14ac:dyDescent="0.35">
      <c r="A4710" t="str">
        <f t="shared" si="80"/>
        <v>278Total Fees</v>
      </c>
      <c r="B4710">
        <v>278</v>
      </c>
      <c r="C4710" s="9" t="s">
        <v>40</v>
      </c>
      <c r="D4710" s="8">
        <v>0</v>
      </c>
    </row>
    <row r="4711" spans="1:4" x14ac:dyDescent="0.35">
      <c r="A4711" t="str">
        <f t="shared" si="80"/>
        <v>278Estimated Strategy Capacity</v>
      </c>
      <c r="B4711">
        <v>278</v>
      </c>
      <c r="C4711" s="9" t="s">
        <v>41</v>
      </c>
      <c r="D4711" s="8">
        <v>3800000</v>
      </c>
    </row>
    <row r="4712" spans="1:4" x14ac:dyDescent="0.35">
      <c r="A4712" t="str">
        <f t="shared" si="80"/>
        <v>279PSR</v>
      </c>
      <c r="B4712">
        <v>279</v>
      </c>
      <c r="C4712" s="20" t="s">
        <v>27</v>
      </c>
      <c r="D4712" s="8">
        <v>0.28127000000000002</v>
      </c>
    </row>
    <row r="4713" spans="1:4" x14ac:dyDescent="0.35">
      <c r="A4713" t="str">
        <f t="shared" si="80"/>
        <v>279Sharpe Ratio</v>
      </c>
      <c r="B4713">
        <v>279</v>
      </c>
      <c r="C4713" s="20" t="s">
        <v>1</v>
      </c>
      <c r="D4713" s="8">
        <v>0.52800000000000002</v>
      </c>
    </row>
    <row r="4714" spans="1:4" x14ac:dyDescent="0.35">
      <c r="A4714" t="str">
        <f t="shared" si="80"/>
        <v>279Total Trades</v>
      </c>
      <c r="B4714">
        <v>279</v>
      </c>
      <c r="C4714" s="20" t="s">
        <v>28</v>
      </c>
      <c r="D4714" s="8">
        <v>308</v>
      </c>
    </row>
    <row r="4715" spans="1:4" x14ac:dyDescent="0.35">
      <c r="A4715" t="str">
        <f t="shared" si="80"/>
        <v>279Average Win</v>
      </c>
      <c r="B4715">
        <v>279</v>
      </c>
      <c r="C4715" s="20" t="s">
        <v>25</v>
      </c>
      <c r="D4715" s="8">
        <v>0.20680000000000001</v>
      </c>
    </row>
    <row r="4716" spans="1:4" x14ac:dyDescent="0.35">
      <c r="A4716" t="str">
        <f t="shared" si="80"/>
        <v>279Average Loss</v>
      </c>
      <c r="B4716">
        <v>279</v>
      </c>
      <c r="C4716" s="20" t="s">
        <v>29</v>
      </c>
      <c r="D4716" s="8">
        <v>-6.4899999999999999E-2</v>
      </c>
    </row>
    <row r="4717" spans="1:4" x14ac:dyDescent="0.35">
      <c r="A4717" t="str">
        <f t="shared" si="80"/>
        <v>279Compounding Annual Return</v>
      </c>
      <c r="B4717">
        <v>279</v>
      </c>
      <c r="C4717" s="20" t="s">
        <v>30</v>
      </c>
      <c r="D4717" s="8">
        <v>-0.41581000000000001</v>
      </c>
    </row>
    <row r="4718" spans="1:4" x14ac:dyDescent="0.35">
      <c r="A4718" t="str">
        <f t="shared" si="80"/>
        <v>279Drawdown</v>
      </c>
      <c r="B4718">
        <v>279</v>
      </c>
      <c r="C4718" s="20" t="s">
        <v>8</v>
      </c>
      <c r="D4718" s="8">
        <v>0.80500000000000005</v>
      </c>
    </row>
    <row r="4719" spans="1:4" x14ac:dyDescent="0.35">
      <c r="A4719" t="str">
        <f t="shared" si="80"/>
        <v>279Expectancy</v>
      </c>
      <c r="B4719">
        <v>279</v>
      </c>
      <c r="C4719" s="20" t="s">
        <v>31</v>
      </c>
      <c r="D4719" s="8">
        <v>0.08</v>
      </c>
    </row>
    <row r="4720" spans="1:4" x14ac:dyDescent="0.35">
      <c r="A4720" t="str">
        <f t="shared" si="80"/>
        <v>279Net Profit</v>
      </c>
      <c r="B4720">
        <v>279</v>
      </c>
      <c r="C4720" s="20" t="s">
        <v>32</v>
      </c>
      <c r="D4720" s="8">
        <v>-0.29458000000000001</v>
      </c>
    </row>
    <row r="4721" spans="1:4" x14ac:dyDescent="0.35">
      <c r="A4721" t="str">
        <f t="shared" si="80"/>
        <v>279Loss Rate</v>
      </c>
      <c r="B4721">
        <v>279</v>
      </c>
      <c r="C4721" s="20" t="s">
        <v>33</v>
      </c>
      <c r="D4721" s="8">
        <v>0.74</v>
      </c>
    </row>
    <row r="4722" spans="1:4" x14ac:dyDescent="0.35">
      <c r="A4722" t="str">
        <f t="shared" si="80"/>
        <v>279Win Rate</v>
      </c>
      <c r="B4722">
        <v>279</v>
      </c>
      <c r="C4722" s="20" t="s">
        <v>34</v>
      </c>
      <c r="D4722" s="8">
        <v>0.26</v>
      </c>
    </row>
    <row r="4723" spans="1:4" x14ac:dyDescent="0.35">
      <c r="A4723" t="str">
        <f t="shared" si="80"/>
        <v>279Profit-Loss Ratio</v>
      </c>
      <c r="B4723">
        <v>279</v>
      </c>
      <c r="C4723" s="20" t="s">
        <v>26</v>
      </c>
      <c r="D4723" s="8">
        <v>3.19</v>
      </c>
    </row>
    <row r="4724" spans="1:4" x14ac:dyDescent="0.35">
      <c r="A4724" t="str">
        <f t="shared" si="80"/>
        <v>279Alpha</v>
      </c>
      <c r="B4724">
        <v>279</v>
      </c>
      <c r="C4724" s="20" t="s">
        <v>23</v>
      </c>
      <c r="D4724" s="8">
        <v>0.222</v>
      </c>
    </row>
    <row r="4725" spans="1:4" x14ac:dyDescent="0.35">
      <c r="A4725" t="str">
        <f t="shared" si="80"/>
        <v>279Beta</v>
      </c>
      <c r="B4725">
        <v>279</v>
      </c>
      <c r="C4725" s="20" t="s">
        <v>24</v>
      </c>
      <c r="D4725" s="8">
        <v>8.5630000000000006</v>
      </c>
    </row>
    <row r="4726" spans="1:4" x14ac:dyDescent="0.35">
      <c r="A4726" t="str">
        <f t="shared" si="80"/>
        <v>279Annual Standard Deviation</v>
      </c>
      <c r="B4726">
        <v>279</v>
      </c>
      <c r="C4726" s="20" t="s">
        <v>35</v>
      </c>
      <c r="D4726" s="8">
        <v>1.3260000000000001</v>
      </c>
    </row>
    <row r="4727" spans="1:4" x14ac:dyDescent="0.35">
      <c r="A4727" t="str">
        <f t="shared" si="80"/>
        <v>279Annual Variance</v>
      </c>
      <c r="B4727">
        <v>279</v>
      </c>
      <c r="C4727" s="20" t="s">
        <v>36</v>
      </c>
      <c r="D4727" s="8">
        <v>1.7569999999999999</v>
      </c>
    </row>
    <row r="4728" spans="1:4" x14ac:dyDescent="0.35">
      <c r="A4728" t="str">
        <f t="shared" si="80"/>
        <v>279Information Ratio</v>
      </c>
      <c r="B4728">
        <v>279</v>
      </c>
      <c r="C4728" s="20" t="s">
        <v>37</v>
      </c>
      <c r="D4728" s="8">
        <v>0.497</v>
      </c>
    </row>
    <row r="4729" spans="1:4" x14ac:dyDescent="0.35">
      <c r="A4729" t="str">
        <f t="shared" si="80"/>
        <v>279Tracking Error</v>
      </c>
      <c r="B4729">
        <v>279</v>
      </c>
      <c r="C4729" s="20" t="s">
        <v>38</v>
      </c>
      <c r="D4729" s="8">
        <v>1.298</v>
      </c>
    </row>
    <row r="4730" spans="1:4" x14ac:dyDescent="0.35">
      <c r="A4730" t="str">
        <f t="shared" si="80"/>
        <v>279Treynor Ratio</v>
      </c>
      <c r="B4730">
        <v>279</v>
      </c>
      <c r="C4730" s="20" t="s">
        <v>39</v>
      </c>
      <c r="D4730" s="8">
        <v>8.2000000000000003E-2</v>
      </c>
    </row>
    <row r="4731" spans="1:4" x14ac:dyDescent="0.35">
      <c r="A4731" t="str">
        <f t="shared" si="80"/>
        <v>279Total Fees</v>
      </c>
      <c r="B4731">
        <v>279</v>
      </c>
      <c r="C4731" s="20" t="s">
        <v>40</v>
      </c>
      <c r="D4731" s="8">
        <v>0</v>
      </c>
    </row>
    <row r="4732" spans="1:4" x14ac:dyDescent="0.35">
      <c r="A4732" t="str">
        <f t="shared" ref="A4732:A4796" si="81">B4732&amp;C4732</f>
        <v>279Estimated Strategy Capacity</v>
      </c>
      <c r="B4732">
        <v>279</v>
      </c>
      <c r="C4732" s="20" t="s">
        <v>41</v>
      </c>
      <c r="D4732" s="8">
        <v>2500000</v>
      </c>
    </row>
    <row r="4733" spans="1:4" x14ac:dyDescent="0.35">
      <c r="A4733" t="str">
        <f t="shared" si="81"/>
        <v>298PSR</v>
      </c>
      <c r="B4733">
        <v>298</v>
      </c>
      <c r="C4733" s="9" t="s">
        <v>27</v>
      </c>
      <c r="D4733" s="8">
        <v>1.4999999999999999E-4</v>
      </c>
    </row>
    <row r="4734" spans="1:4" x14ac:dyDescent="0.35">
      <c r="A4734" t="str">
        <f t="shared" si="81"/>
        <v>298Sharpe Ratio</v>
      </c>
      <c r="B4734">
        <v>298</v>
      </c>
      <c r="C4734" s="9" t="s">
        <v>1</v>
      </c>
      <c r="D4734" s="8">
        <v>-2.1829999999999998</v>
      </c>
    </row>
    <row r="4735" spans="1:4" x14ac:dyDescent="0.35">
      <c r="A4735" t="str">
        <f t="shared" si="81"/>
        <v>298Total Trades</v>
      </c>
      <c r="B4735">
        <v>298</v>
      </c>
      <c r="C4735" s="9" t="s">
        <v>28</v>
      </c>
      <c r="D4735" s="8">
        <v>607</v>
      </c>
    </row>
    <row r="4736" spans="1:4" x14ac:dyDescent="0.35">
      <c r="A4736" t="str">
        <f t="shared" si="81"/>
        <v>298Average Win</v>
      </c>
      <c r="B4736">
        <v>298</v>
      </c>
      <c r="C4736" s="9" t="s">
        <v>25</v>
      </c>
      <c r="D4736" s="8">
        <v>1.6999999999999999E-3</v>
      </c>
    </row>
    <row r="4737" spans="1:4" x14ac:dyDescent="0.35">
      <c r="A4737" t="str">
        <f t="shared" si="81"/>
        <v>298Average Loss</v>
      </c>
      <c r="B4737">
        <v>298</v>
      </c>
      <c r="C4737" s="9" t="s">
        <v>29</v>
      </c>
      <c r="D4737" s="8">
        <v>-1.12E-2</v>
      </c>
    </row>
    <row r="4738" spans="1:4" x14ac:dyDescent="0.35">
      <c r="A4738" t="str">
        <f t="shared" si="81"/>
        <v>298Compounding Annual Return</v>
      </c>
      <c r="B4738">
        <v>298</v>
      </c>
      <c r="C4738" s="9" t="s">
        <v>30</v>
      </c>
      <c r="D4738" s="8">
        <v>-0.19323000000000001</v>
      </c>
    </row>
    <row r="4739" spans="1:4" x14ac:dyDescent="0.35">
      <c r="A4739" t="str">
        <f t="shared" si="81"/>
        <v>298Drawdown</v>
      </c>
      <c r="B4739">
        <v>298</v>
      </c>
      <c r="C4739" s="9" t="s">
        <v>8</v>
      </c>
      <c r="D4739" s="8">
        <v>0.14399999999999999</v>
      </c>
    </row>
    <row r="4740" spans="1:4" x14ac:dyDescent="0.35">
      <c r="A4740" t="str">
        <f t="shared" si="81"/>
        <v>298Expectancy</v>
      </c>
      <c r="B4740">
        <v>298</v>
      </c>
      <c r="C4740" s="9" t="s">
        <v>31</v>
      </c>
      <c r="D4740" s="8">
        <v>-0.59699999999999998</v>
      </c>
    </row>
    <row r="4741" spans="1:4" x14ac:dyDescent="0.35">
      <c r="A4741" t="str">
        <f t="shared" si="81"/>
        <v>298Net Profit</v>
      </c>
      <c r="B4741">
        <v>298</v>
      </c>
      <c r="C4741" s="9" t="s">
        <v>32</v>
      </c>
      <c r="D4741" s="8">
        <v>-0.13012000000000001</v>
      </c>
    </row>
    <row r="4742" spans="1:4" x14ac:dyDescent="0.35">
      <c r="A4742" t="str">
        <f t="shared" si="81"/>
        <v>298Loss Rate</v>
      </c>
      <c r="B4742">
        <v>298</v>
      </c>
      <c r="C4742" s="9" t="s">
        <v>33</v>
      </c>
      <c r="D4742" s="8">
        <v>0.65</v>
      </c>
    </row>
    <row r="4743" spans="1:4" x14ac:dyDescent="0.35">
      <c r="A4743" t="str">
        <f t="shared" si="81"/>
        <v>298Win Rate</v>
      </c>
      <c r="B4743">
        <v>298</v>
      </c>
      <c r="C4743" s="9" t="s">
        <v>34</v>
      </c>
      <c r="D4743" s="8">
        <v>0.35</v>
      </c>
    </row>
    <row r="4744" spans="1:4" x14ac:dyDescent="0.35">
      <c r="A4744" t="str">
        <f t="shared" si="81"/>
        <v>298Profit-Loss Ratio</v>
      </c>
      <c r="B4744">
        <v>298</v>
      </c>
      <c r="C4744" s="9" t="s">
        <v>26</v>
      </c>
      <c r="D4744" s="8">
        <v>0.15</v>
      </c>
    </row>
    <row r="4745" spans="1:4" x14ac:dyDescent="0.35">
      <c r="A4745" t="str">
        <f t="shared" si="81"/>
        <v>298Alpha</v>
      </c>
      <c r="B4745">
        <v>298</v>
      </c>
      <c r="C4745" s="9" t="s">
        <v>23</v>
      </c>
      <c r="D4745" s="8">
        <v>-0.11899999999999999</v>
      </c>
    </row>
    <row r="4746" spans="1:4" x14ac:dyDescent="0.35">
      <c r="A4746" t="str">
        <f t="shared" si="81"/>
        <v>298Beta</v>
      </c>
      <c r="B4746">
        <v>298</v>
      </c>
      <c r="C4746" s="9" t="s">
        <v>24</v>
      </c>
      <c r="D4746" s="8">
        <v>-0.315</v>
      </c>
    </row>
    <row r="4747" spans="1:4" x14ac:dyDescent="0.35">
      <c r="A4747" t="str">
        <f t="shared" si="81"/>
        <v>298Annual Standard Deviation</v>
      </c>
      <c r="B4747">
        <v>298</v>
      </c>
      <c r="C4747" s="9" t="s">
        <v>35</v>
      </c>
      <c r="D4747" s="8">
        <v>6.3E-2</v>
      </c>
    </row>
    <row r="4748" spans="1:4" x14ac:dyDescent="0.35">
      <c r="A4748" t="str">
        <f t="shared" si="81"/>
        <v>298Annual Variance</v>
      </c>
      <c r="B4748">
        <v>298</v>
      </c>
      <c r="C4748" s="9" t="s">
        <v>36</v>
      </c>
      <c r="D4748" s="8">
        <v>4.0000000000000001E-3</v>
      </c>
    </row>
    <row r="4749" spans="1:4" x14ac:dyDescent="0.35">
      <c r="A4749" t="str">
        <f t="shared" si="81"/>
        <v>298Information Ratio</v>
      </c>
      <c r="B4749">
        <v>298</v>
      </c>
      <c r="C4749" s="9" t="s">
        <v>37</v>
      </c>
      <c r="D4749" s="8">
        <v>-1.831</v>
      </c>
    </row>
    <row r="4750" spans="1:4" x14ac:dyDescent="0.35">
      <c r="A4750" t="str">
        <f t="shared" si="81"/>
        <v>298Tracking Error</v>
      </c>
      <c r="B4750">
        <v>298</v>
      </c>
      <c r="C4750" s="9" t="s">
        <v>38</v>
      </c>
      <c r="D4750" s="8">
        <v>0.106</v>
      </c>
    </row>
    <row r="4751" spans="1:4" x14ac:dyDescent="0.35">
      <c r="A4751" t="str">
        <f t="shared" si="81"/>
        <v>298Treynor Ratio</v>
      </c>
      <c r="B4751">
        <v>298</v>
      </c>
      <c r="C4751" s="9" t="s">
        <v>39</v>
      </c>
      <c r="D4751" s="8">
        <v>0.434</v>
      </c>
    </row>
    <row r="4752" spans="1:4" x14ac:dyDescent="0.35">
      <c r="A4752" t="str">
        <f t="shared" si="81"/>
        <v>298Total Fees</v>
      </c>
      <c r="B4752">
        <v>298</v>
      </c>
      <c r="C4752" s="9" t="s">
        <v>40</v>
      </c>
      <c r="D4752" s="8">
        <v>0</v>
      </c>
    </row>
    <row r="4753" spans="1:4" x14ac:dyDescent="0.35">
      <c r="A4753" t="str">
        <f t="shared" si="81"/>
        <v>298Estimated Strategy Capacity</v>
      </c>
      <c r="B4753">
        <v>298</v>
      </c>
      <c r="C4753" s="9" t="s">
        <v>41</v>
      </c>
      <c r="D4753" s="8">
        <v>270000000</v>
      </c>
    </row>
    <row r="4754" spans="1:4" x14ac:dyDescent="0.35">
      <c r="A4754" t="str">
        <f t="shared" si="81"/>
        <v>299PSR</v>
      </c>
      <c r="B4754">
        <v>299</v>
      </c>
      <c r="C4754" s="9" t="s">
        <v>27</v>
      </c>
      <c r="D4754" s="8">
        <v>1.0840000000000001E-2</v>
      </c>
    </row>
    <row r="4755" spans="1:4" x14ac:dyDescent="0.35">
      <c r="A4755" t="str">
        <f t="shared" si="81"/>
        <v>299Sharpe Ratio</v>
      </c>
      <c r="B4755">
        <v>299</v>
      </c>
      <c r="C4755" s="9" t="s">
        <v>1</v>
      </c>
      <c r="D4755" s="8">
        <v>-0.71799999999999997</v>
      </c>
    </row>
    <row r="4756" spans="1:4" x14ac:dyDescent="0.35">
      <c r="A4756" t="str">
        <f t="shared" si="81"/>
        <v>299Total Trades</v>
      </c>
      <c r="B4756">
        <v>299</v>
      </c>
      <c r="C4756" s="9" t="s">
        <v>28</v>
      </c>
      <c r="D4756" s="8">
        <v>563</v>
      </c>
    </row>
    <row r="4757" spans="1:4" x14ac:dyDescent="0.35">
      <c r="A4757" t="str">
        <f t="shared" si="81"/>
        <v>299Average Win</v>
      </c>
      <c r="B4757">
        <v>299</v>
      </c>
      <c r="C4757" s="9" t="s">
        <v>25</v>
      </c>
      <c r="D4757" s="8">
        <v>4.8599999999999997E-2</v>
      </c>
    </row>
    <row r="4758" spans="1:4" x14ac:dyDescent="0.35">
      <c r="A4758" t="str">
        <f t="shared" si="81"/>
        <v>299Average Loss</v>
      </c>
      <c r="B4758">
        <v>299</v>
      </c>
      <c r="C4758" s="9" t="s">
        <v>29</v>
      </c>
      <c r="D4758" s="8">
        <v>-7.2900000000000006E-2</v>
      </c>
    </row>
    <row r="4759" spans="1:4" x14ac:dyDescent="0.35">
      <c r="A4759" t="str">
        <f t="shared" si="81"/>
        <v>299Compounding Annual Return</v>
      </c>
      <c r="B4759">
        <v>299</v>
      </c>
      <c r="C4759" s="9" t="s">
        <v>30</v>
      </c>
      <c r="D4759" s="8">
        <v>-0.95528000000000002</v>
      </c>
    </row>
    <row r="4760" spans="1:4" x14ac:dyDescent="0.35">
      <c r="A4760" t="str">
        <f t="shared" si="81"/>
        <v>299Drawdown</v>
      </c>
      <c r="B4760">
        <v>299</v>
      </c>
      <c r="C4760" s="9" t="s">
        <v>8</v>
      </c>
      <c r="D4760" s="8">
        <v>0.90400000000000003</v>
      </c>
    </row>
    <row r="4761" spans="1:4" x14ac:dyDescent="0.35">
      <c r="A4761" t="str">
        <f t="shared" si="81"/>
        <v>299Expectancy</v>
      </c>
      <c r="B4761">
        <v>299</v>
      </c>
      <c r="C4761" s="9" t="s">
        <v>31</v>
      </c>
      <c r="D4761" s="8">
        <v>-0.69699999999999995</v>
      </c>
    </row>
    <row r="4762" spans="1:4" x14ac:dyDescent="0.35">
      <c r="A4762" t="str">
        <f t="shared" si="81"/>
        <v>299Net Profit</v>
      </c>
      <c r="B4762">
        <v>299</v>
      </c>
      <c r="C4762" s="9" t="s">
        <v>32</v>
      </c>
      <c r="D4762" s="8">
        <v>-0.86697999999999997</v>
      </c>
    </row>
    <row r="4763" spans="1:4" x14ac:dyDescent="0.35">
      <c r="A4763" t="str">
        <f t="shared" si="81"/>
        <v>299Loss Rate</v>
      </c>
      <c r="B4763">
        <v>299</v>
      </c>
      <c r="C4763" s="9" t="s">
        <v>33</v>
      </c>
      <c r="D4763" s="8">
        <v>0.82</v>
      </c>
    </row>
    <row r="4764" spans="1:4" x14ac:dyDescent="0.35">
      <c r="A4764" t="str">
        <f t="shared" si="81"/>
        <v>299Win Rate</v>
      </c>
      <c r="B4764">
        <v>299</v>
      </c>
      <c r="C4764" s="9" t="s">
        <v>34</v>
      </c>
      <c r="D4764" s="8">
        <v>0.18</v>
      </c>
    </row>
    <row r="4765" spans="1:4" x14ac:dyDescent="0.35">
      <c r="A4765" t="str">
        <f t="shared" si="81"/>
        <v>299Profit-Loss Ratio</v>
      </c>
      <c r="B4765">
        <v>299</v>
      </c>
      <c r="C4765" s="9" t="s">
        <v>26</v>
      </c>
      <c r="D4765" s="8">
        <v>0.67</v>
      </c>
    </row>
    <row r="4766" spans="1:4" x14ac:dyDescent="0.35">
      <c r="A4766" t="str">
        <f t="shared" si="81"/>
        <v>299Alpha</v>
      </c>
      <c r="B4766">
        <v>299</v>
      </c>
      <c r="C4766" s="9" t="s">
        <v>23</v>
      </c>
      <c r="D4766" s="8">
        <v>-0.49199999999999999</v>
      </c>
    </row>
    <row r="4767" spans="1:4" x14ac:dyDescent="0.35">
      <c r="A4767" t="str">
        <f t="shared" si="81"/>
        <v>299Beta</v>
      </c>
      <c r="B4767">
        <v>299</v>
      </c>
      <c r="C4767" s="9" t="s">
        <v>24</v>
      </c>
      <c r="D4767" s="8">
        <v>-5.2329999999999997</v>
      </c>
    </row>
    <row r="4768" spans="1:4" x14ac:dyDescent="0.35">
      <c r="A4768" t="str">
        <f t="shared" si="81"/>
        <v>299Annual Standard Deviation</v>
      </c>
      <c r="B4768">
        <v>299</v>
      </c>
      <c r="C4768" s="9" t="s">
        <v>35</v>
      </c>
      <c r="D4768" s="8">
        <v>1.0920000000000001</v>
      </c>
    </row>
    <row r="4769" spans="1:4" x14ac:dyDescent="0.35">
      <c r="A4769" t="str">
        <f t="shared" si="81"/>
        <v>299Annual Variance</v>
      </c>
      <c r="B4769">
        <v>299</v>
      </c>
      <c r="C4769" s="9" t="s">
        <v>36</v>
      </c>
      <c r="D4769" s="8">
        <v>1.194</v>
      </c>
    </row>
    <row r="4770" spans="1:4" x14ac:dyDescent="0.35">
      <c r="A4770" t="str">
        <f t="shared" si="81"/>
        <v>299Information Ratio</v>
      </c>
      <c r="B4770">
        <v>299</v>
      </c>
      <c r="C4770" s="9" t="s">
        <v>37</v>
      </c>
      <c r="D4770" s="8">
        <v>-0.753</v>
      </c>
    </row>
    <row r="4771" spans="1:4" x14ac:dyDescent="0.35">
      <c r="A4771" t="str">
        <f t="shared" si="81"/>
        <v>299Tracking Error</v>
      </c>
      <c r="B4771">
        <v>299</v>
      </c>
      <c r="C4771" s="9" t="s">
        <v>38</v>
      </c>
      <c r="D4771" s="8">
        <v>1.1160000000000001</v>
      </c>
    </row>
    <row r="4772" spans="1:4" x14ac:dyDescent="0.35">
      <c r="A4772" t="str">
        <f t="shared" si="81"/>
        <v>299Treynor Ratio</v>
      </c>
      <c r="B4772">
        <v>299</v>
      </c>
      <c r="C4772" s="9" t="s">
        <v>39</v>
      </c>
      <c r="D4772" s="8">
        <v>0.15</v>
      </c>
    </row>
    <row r="4773" spans="1:4" x14ac:dyDescent="0.35">
      <c r="A4773" t="str">
        <f t="shared" si="81"/>
        <v>299Total Fees</v>
      </c>
      <c r="B4773">
        <v>299</v>
      </c>
      <c r="C4773" s="9" t="s">
        <v>40</v>
      </c>
      <c r="D4773" s="8">
        <v>0</v>
      </c>
    </row>
    <row r="4774" spans="1:4" x14ac:dyDescent="0.35">
      <c r="A4774" t="str">
        <f t="shared" si="81"/>
        <v>299Estimated Strategy Capacity</v>
      </c>
      <c r="B4774">
        <v>299</v>
      </c>
      <c r="C4774" s="9" t="s">
        <v>41</v>
      </c>
      <c r="D4774" s="8">
        <v>4800000</v>
      </c>
    </row>
    <row r="4775" spans="1:4" x14ac:dyDescent="0.35">
      <c r="A4775" t="str">
        <f t="shared" si="81"/>
        <v>300PSR</v>
      </c>
      <c r="B4775">
        <v>300</v>
      </c>
      <c r="C4775" s="9" t="s">
        <v>27</v>
      </c>
      <c r="D4775" s="8">
        <v>1.8700000000000001E-2</v>
      </c>
    </row>
    <row r="4776" spans="1:4" x14ac:dyDescent="0.35">
      <c r="A4776" t="str">
        <f t="shared" si="81"/>
        <v>300Sharpe Ratio</v>
      </c>
      <c r="B4776">
        <v>300</v>
      </c>
      <c r="C4776" s="9" t="s">
        <v>1</v>
      </c>
      <c r="D4776" s="8">
        <v>-0.60499999999999998</v>
      </c>
    </row>
    <row r="4777" spans="1:4" x14ac:dyDescent="0.35">
      <c r="A4777" t="str">
        <f t="shared" si="81"/>
        <v>300Total Trades</v>
      </c>
      <c r="B4777">
        <v>300</v>
      </c>
      <c r="C4777" s="9" t="s">
        <v>28</v>
      </c>
      <c r="D4777" s="8">
        <v>516</v>
      </c>
    </row>
    <row r="4778" spans="1:4" x14ac:dyDescent="0.35">
      <c r="A4778" t="str">
        <f t="shared" si="81"/>
        <v>300Average Win</v>
      </c>
      <c r="B4778">
        <v>300</v>
      </c>
      <c r="C4778" s="9" t="s">
        <v>25</v>
      </c>
      <c r="D4778" s="8">
        <v>3.7199999999999997E-2</v>
      </c>
    </row>
    <row r="4779" spans="1:4" x14ac:dyDescent="0.35">
      <c r="A4779" t="str">
        <f t="shared" si="81"/>
        <v>300Average Loss</v>
      </c>
      <c r="B4779">
        <v>300</v>
      </c>
      <c r="C4779" s="9" t="s">
        <v>29</v>
      </c>
      <c r="D4779" s="8">
        <v>-7.4499999999999997E-2</v>
      </c>
    </row>
    <row r="4780" spans="1:4" x14ac:dyDescent="0.35">
      <c r="A4780" t="str">
        <f t="shared" si="81"/>
        <v>300Compounding Annual Return</v>
      </c>
      <c r="B4780">
        <v>300</v>
      </c>
      <c r="C4780" s="9" t="s">
        <v>30</v>
      </c>
      <c r="D4780" s="8">
        <v>-0.96596000000000004</v>
      </c>
    </row>
    <row r="4781" spans="1:4" x14ac:dyDescent="0.35">
      <c r="A4781" t="str">
        <f t="shared" si="81"/>
        <v>300Drawdown</v>
      </c>
      <c r="B4781">
        <v>300</v>
      </c>
      <c r="C4781" s="9" t="s">
        <v>8</v>
      </c>
      <c r="D4781" s="8">
        <v>0.93700000000000006</v>
      </c>
    </row>
    <row r="4782" spans="1:4" x14ac:dyDescent="0.35">
      <c r="A4782" t="str">
        <f t="shared" si="81"/>
        <v>300Expectancy</v>
      </c>
      <c r="B4782">
        <v>300</v>
      </c>
      <c r="C4782" s="9" t="s">
        <v>31</v>
      </c>
      <c r="D4782" s="8">
        <v>-0.7</v>
      </c>
    </row>
    <row r="4783" spans="1:4" x14ac:dyDescent="0.35">
      <c r="A4783" t="str">
        <f t="shared" si="81"/>
        <v>300Net Profit</v>
      </c>
      <c r="B4783">
        <v>300</v>
      </c>
      <c r="C4783" s="9" t="s">
        <v>32</v>
      </c>
      <c r="D4783" s="8">
        <v>-0.88858999999999999</v>
      </c>
    </row>
    <row r="4784" spans="1:4" x14ac:dyDescent="0.35">
      <c r="A4784" t="str">
        <f t="shared" si="81"/>
        <v>300Loss Rate</v>
      </c>
      <c r="B4784">
        <v>300</v>
      </c>
      <c r="C4784" s="9" t="s">
        <v>33</v>
      </c>
      <c r="D4784" s="8">
        <v>0.8</v>
      </c>
    </row>
    <row r="4785" spans="1:4" x14ac:dyDescent="0.35">
      <c r="A4785" t="str">
        <f t="shared" si="81"/>
        <v>300Win Rate</v>
      </c>
      <c r="B4785">
        <v>300</v>
      </c>
      <c r="C4785" s="9" t="s">
        <v>34</v>
      </c>
      <c r="D4785" s="8">
        <v>0.2</v>
      </c>
    </row>
    <row r="4786" spans="1:4" x14ac:dyDescent="0.35">
      <c r="A4786" t="str">
        <f t="shared" si="81"/>
        <v>300Profit-Loss Ratio</v>
      </c>
      <c r="B4786">
        <v>300</v>
      </c>
      <c r="C4786" s="9" t="s">
        <v>26</v>
      </c>
      <c r="D4786" s="8">
        <v>0.5</v>
      </c>
    </row>
    <row r="4787" spans="1:4" x14ac:dyDescent="0.35">
      <c r="A4787" t="str">
        <f t="shared" si="81"/>
        <v>300Alpha</v>
      </c>
      <c r="B4787">
        <v>300</v>
      </c>
      <c r="C4787" s="9" t="s">
        <v>23</v>
      </c>
      <c r="D4787" s="8">
        <v>-0.40100000000000002</v>
      </c>
    </row>
    <row r="4788" spans="1:4" x14ac:dyDescent="0.35">
      <c r="A4788" t="str">
        <f t="shared" si="81"/>
        <v>300Beta</v>
      </c>
      <c r="B4788">
        <v>300</v>
      </c>
      <c r="C4788" s="9" t="s">
        <v>24</v>
      </c>
      <c r="D4788" s="8">
        <v>-6.6820000000000004</v>
      </c>
    </row>
    <row r="4789" spans="1:4" x14ac:dyDescent="0.35">
      <c r="A4789" t="str">
        <f t="shared" si="81"/>
        <v>300Annual Standard Deviation</v>
      </c>
      <c r="B4789">
        <v>300</v>
      </c>
      <c r="C4789" s="9" t="s">
        <v>35</v>
      </c>
      <c r="D4789" s="8">
        <v>1.28</v>
      </c>
    </row>
    <row r="4790" spans="1:4" x14ac:dyDescent="0.35">
      <c r="A4790" t="str">
        <f t="shared" si="81"/>
        <v>300Annual Variance</v>
      </c>
      <c r="B4790">
        <v>300</v>
      </c>
      <c r="C4790" s="9" t="s">
        <v>36</v>
      </c>
      <c r="D4790" s="8">
        <v>1.6379999999999999</v>
      </c>
    </row>
    <row r="4791" spans="1:4" x14ac:dyDescent="0.35">
      <c r="A4791" t="str">
        <f t="shared" si="81"/>
        <v>300Information Ratio</v>
      </c>
      <c r="B4791">
        <v>300</v>
      </c>
      <c r="C4791" s="9" t="s">
        <v>37</v>
      </c>
      <c r="D4791" s="8">
        <v>-0.63600000000000001</v>
      </c>
    </row>
    <row r="4792" spans="1:4" x14ac:dyDescent="0.35">
      <c r="A4792" t="str">
        <f t="shared" si="81"/>
        <v>300Tracking Error</v>
      </c>
      <c r="B4792">
        <v>300</v>
      </c>
      <c r="C4792" s="9" t="s">
        <v>38</v>
      </c>
      <c r="D4792" s="8">
        <v>1.3049999999999999</v>
      </c>
    </row>
    <row r="4793" spans="1:4" x14ac:dyDescent="0.35">
      <c r="A4793" t="str">
        <f t="shared" si="81"/>
        <v>300Treynor Ratio</v>
      </c>
      <c r="B4793">
        <v>300</v>
      </c>
      <c r="C4793" s="9" t="s">
        <v>39</v>
      </c>
      <c r="D4793" s="8">
        <v>0.11600000000000001</v>
      </c>
    </row>
    <row r="4794" spans="1:4" x14ac:dyDescent="0.35">
      <c r="A4794" t="str">
        <f t="shared" si="81"/>
        <v>300Total Fees</v>
      </c>
      <c r="B4794">
        <v>300</v>
      </c>
      <c r="C4794" s="9" t="s">
        <v>40</v>
      </c>
      <c r="D4794" s="8">
        <v>0</v>
      </c>
    </row>
    <row r="4795" spans="1:4" x14ac:dyDescent="0.35">
      <c r="A4795" t="str">
        <f t="shared" si="81"/>
        <v>300Estimated Strategy Capacity</v>
      </c>
      <c r="B4795">
        <v>300</v>
      </c>
      <c r="C4795" s="9" t="s">
        <v>41</v>
      </c>
      <c r="D4795" s="8">
        <v>1800000</v>
      </c>
    </row>
    <row r="4796" spans="1:4" x14ac:dyDescent="0.35">
      <c r="A4796" t="str">
        <f t="shared" si="81"/>
        <v>301PSR</v>
      </c>
      <c r="B4796">
        <v>301</v>
      </c>
      <c r="C4796" s="9" t="s">
        <v>27</v>
      </c>
      <c r="D4796" s="8">
        <v>0.60328999999999999</v>
      </c>
    </row>
    <row r="4797" spans="1:4" x14ac:dyDescent="0.35">
      <c r="A4797" t="str">
        <f t="shared" ref="A4797:A4860" si="82">B4797&amp;C4797</f>
        <v>301Sharpe Ratio</v>
      </c>
      <c r="B4797">
        <v>301</v>
      </c>
      <c r="C4797" s="9" t="s">
        <v>1</v>
      </c>
      <c r="D4797" s="8">
        <v>1.349</v>
      </c>
    </row>
    <row r="4798" spans="1:4" x14ac:dyDescent="0.35">
      <c r="A4798" t="str">
        <f t="shared" si="82"/>
        <v>301Total Trades</v>
      </c>
      <c r="B4798">
        <v>301</v>
      </c>
      <c r="C4798" s="9" t="s">
        <v>28</v>
      </c>
      <c r="D4798" s="8">
        <v>359</v>
      </c>
    </row>
    <row r="4799" spans="1:4" x14ac:dyDescent="0.35">
      <c r="A4799" t="str">
        <f t="shared" si="82"/>
        <v>301Average Win</v>
      </c>
      <c r="B4799">
        <v>301</v>
      </c>
      <c r="C4799" s="9" t="s">
        <v>25</v>
      </c>
      <c r="D4799" s="8">
        <v>2.1100000000000001E-2</v>
      </c>
    </row>
    <row r="4800" spans="1:4" x14ac:dyDescent="0.35">
      <c r="A4800" t="str">
        <f t="shared" si="82"/>
        <v>301Average Loss</v>
      </c>
      <c r="B4800">
        <v>301</v>
      </c>
      <c r="C4800" s="9" t="s">
        <v>29</v>
      </c>
      <c r="D4800" s="8">
        <v>-5.7000000000000002E-3</v>
      </c>
    </row>
    <row r="4801" spans="1:4" x14ac:dyDescent="0.35">
      <c r="A4801" t="str">
        <f t="shared" si="82"/>
        <v>301Compounding Annual Return</v>
      </c>
      <c r="B4801">
        <v>301</v>
      </c>
      <c r="C4801" s="9" t="s">
        <v>30</v>
      </c>
      <c r="D4801" s="8">
        <v>0.23871999999999999</v>
      </c>
    </row>
    <row r="4802" spans="1:4" x14ac:dyDescent="0.35">
      <c r="A4802" t="str">
        <f t="shared" si="82"/>
        <v>301Drawdown</v>
      </c>
      <c r="B4802">
        <v>301</v>
      </c>
      <c r="C4802" s="9" t="s">
        <v>8</v>
      </c>
      <c r="D4802" s="8">
        <v>8.1000000000000003E-2</v>
      </c>
    </row>
    <row r="4803" spans="1:4" x14ac:dyDescent="0.35">
      <c r="A4803" t="str">
        <f t="shared" si="82"/>
        <v>301Expectancy</v>
      </c>
      <c r="B4803">
        <v>301</v>
      </c>
      <c r="C4803" s="9" t="s">
        <v>31</v>
      </c>
      <c r="D4803" s="8">
        <v>2.8580000000000001</v>
      </c>
    </row>
    <row r="4804" spans="1:4" x14ac:dyDescent="0.35">
      <c r="A4804" t="str">
        <f t="shared" si="82"/>
        <v>301Net Profit</v>
      </c>
      <c r="B4804">
        <v>301</v>
      </c>
      <c r="C4804" s="9" t="s">
        <v>32</v>
      </c>
      <c r="D4804" s="8">
        <v>0.14910000000000001</v>
      </c>
    </row>
    <row r="4805" spans="1:4" x14ac:dyDescent="0.35">
      <c r="A4805" t="str">
        <f t="shared" si="82"/>
        <v>301Loss Rate</v>
      </c>
      <c r="B4805">
        <v>301</v>
      </c>
      <c r="C4805" s="9" t="s">
        <v>33</v>
      </c>
      <c r="D4805" s="8">
        <v>0.18</v>
      </c>
    </row>
    <row r="4806" spans="1:4" x14ac:dyDescent="0.35">
      <c r="A4806" t="str">
        <f t="shared" si="82"/>
        <v>301Win Rate</v>
      </c>
      <c r="B4806">
        <v>301</v>
      </c>
      <c r="C4806" s="9" t="s">
        <v>34</v>
      </c>
      <c r="D4806" s="8">
        <v>0.82</v>
      </c>
    </row>
    <row r="4807" spans="1:4" x14ac:dyDescent="0.35">
      <c r="A4807" t="str">
        <f t="shared" si="82"/>
        <v>301Profit-Loss Ratio</v>
      </c>
      <c r="B4807">
        <v>301</v>
      </c>
      <c r="C4807" s="9" t="s">
        <v>26</v>
      </c>
      <c r="D4807" s="8">
        <v>3.71</v>
      </c>
    </row>
    <row r="4808" spans="1:4" x14ac:dyDescent="0.35">
      <c r="A4808" t="str">
        <f t="shared" si="82"/>
        <v>301Alpha</v>
      </c>
      <c r="B4808">
        <v>301</v>
      </c>
      <c r="C4808" s="9" t="s">
        <v>23</v>
      </c>
      <c r="D4808" s="8">
        <v>0.19600000000000001</v>
      </c>
    </row>
    <row r="4809" spans="1:4" x14ac:dyDescent="0.35">
      <c r="A4809" t="str">
        <f t="shared" si="82"/>
        <v>301Beta</v>
      </c>
      <c r="B4809">
        <v>301</v>
      </c>
      <c r="C4809" s="9" t="s">
        <v>24</v>
      </c>
      <c r="D4809" s="8">
        <v>-0.48699999999999999</v>
      </c>
    </row>
    <row r="4810" spans="1:4" x14ac:dyDescent="0.35">
      <c r="A4810" t="str">
        <f t="shared" si="82"/>
        <v>301Annual Standard Deviation</v>
      </c>
      <c r="B4810">
        <v>301</v>
      </c>
      <c r="C4810" s="9" t="s">
        <v>35</v>
      </c>
      <c r="D4810" s="8">
        <v>0.125</v>
      </c>
    </row>
    <row r="4811" spans="1:4" x14ac:dyDescent="0.35">
      <c r="A4811" t="str">
        <f t="shared" si="82"/>
        <v>301Annual Variance</v>
      </c>
      <c r="B4811">
        <v>301</v>
      </c>
      <c r="C4811" s="9" t="s">
        <v>36</v>
      </c>
      <c r="D4811" s="8">
        <v>1.6E-2</v>
      </c>
    </row>
    <row r="4812" spans="1:4" x14ac:dyDescent="0.35">
      <c r="A4812" t="str">
        <f t="shared" si="82"/>
        <v>301Information Ratio</v>
      </c>
      <c r="B4812">
        <v>301</v>
      </c>
      <c r="C4812" s="9" t="s">
        <v>37</v>
      </c>
      <c r="D4812" s="8">
        <v>0.72199999999999998</v>
      </c>
    </row>
    <row r="4813" spans="1:4" x14ac:dyDescent="0.35">
      <c r="A4813" t="str">
        <f t="shared" si="82"/>
        <v>301Tracking Error</v>
      </c>
      <c r="B4813">
        <v>301</v>
      </c>
      <c r="C4813" s="9" t="s">
        <v>38</v>
      </c>
      <c r="D4813" s="8">
        <v>0.157</v>
      </c>
    </row>
    <row r="4814" spans="1:4" x14ac:dyDescent="0.35">
      <c r="A4814" t="str">
        <f t="shared" si="82"/>
        <v>301Treynor Ratio</v>
      </c>
      <c r="B4814">
        <v>301</v>
      </c>
      <c r="C4814" s="9" t="s">
        <v>39</v>
      </c>
      <c r="D4814" s="8">
        <v>-0.34699999999999998</v>
      </c>
    </row>
    <row r="4815" spans="1:4" x14ac:dyDescent="0.35">
      <c r="A4815" t="str">
        <f t="shared" si="82"/>
        <v>301Total Fees</v>
      </c>
      <c r="B4815">
        <v>301</v>
      </c>
      <c r="C4815" s="9" t="s">
        <v>40</v>
      </c>
      <c r="D4815" s="8">
        <v>0</v>
      </c>
    </row>
    <row r="4816" spans="1:4" x14ac:dyDescent="0.35">
      <c r="A4816" t="str">
        <f t="shared" si="82"/>
        <v>301Estimated Strategy Capacity</v>
      </c>
      <c r="B4816">
        <v>301</v>
      </c>
      <c r="C4816" s="9" t="s">
        <v>41</v>
      </c>
      <c r="D4816" s="8">
        <v>3400000</v>
      </c>
    </row>
    <row r="4817" spans="1:4" x14ac:dyDescent="0.35">
      <c r="A4817" t="str">
        <f t="shared" si="82"/>
        <v>302PSR</v>
      </c>
      <c r="B4817">
        <v>302</v>
      </c>
      <c r="C4817" s="9" t="s">
        <v>27</v>
      </c>
      <c r="D4817" s="8">
        <v>0.74778</v>
      </c>
    </row>
    <row r="4818" spans="1:4" x14ac:dyDescent="0.35">
      <c r="A4818" t="str">
        <f t="shared" si="82"/>
        <v>302Sharpe Ratio</v>
      </c>
      <c r="B4818">
        <v>302</v>
      </c>
      <c r="C4818" s="9" t="s">
        <v>1</v>
      </c>
      <c r="D4818" s="8">
        <v>3.0630000000000002</v>
      </c>
    </row>
    <row r="4819" spans="1:4" x14ac:dyDescent="0.35">
      <c r="A4819" t="str">
        <f t="shared" si="82"/>
        <v>302Total Trades</v>
      </c>
      <c r="B4819">
        <v>302</v>
      </c>
      <c r="C4819" s="9" t="s">
        <v>28</v>
      </c>
      <c r="D4819" s="8">
        <v>356</v>
      </c>
    </row>
    <row r="4820" spans="1:4" x14ac:dyDescent="0.35">
      <c r="A4820" t="str">
        <f t="shared" si="82"/>
        <v>302Average Win</v>
      </c>
      <c r="B4820">
        <v>302</v>
      </c>
      <c r="C4820" s="9" t="s">
        <v>25</v>
      </c>
      <c r="D4820" s="8">
        <v>0.1363</v>
      </c>
    </row>
    <row r="4821" spans="1:4" x14ac:dyDescent="0.35">
      <c r="A4821" t="str">
        <f t="shared" si="82"/>
        <v>302Average Loss</v>
      </c>
      <c r="B4821">
        <v>302</v>
      </c>
      <c r="C4821" s="9" t="s">
        <v>29</v>
      </c>
      <c r="D4821" s="8">
        <v>-2.9899999999999999E-2</v>
      </c>
    </row>
    <row r="4822" spans="1:4" x14ac:dyDescent="0.35">
      <c r="A4822" t="str">
        <f t="shared" si="82"/>
        <v>302Compounding Annual Return</v>
      </c>
      <c r="B4822">
        <v>302</v>
      </c>
      <c r="C4822" s="9" t="s">
        <v>30</v>
      </c>
      <c r="D4822" s="8">
        <v>2.8816700000000002</v>
      </c>
    </row>
    <row r="4823" spans="1:4" x14ac:dyDescent="0.35">
      <c r="A4823" t="str">
        <f t="shared" si="82"/>
        <v>302Drawdown</v>
      </c>
      <c r="B4823">
        <v>302</v>
      </c>
      <c r="C4823" s="9" t="s">
        <v>8</v>
      </c>
      <c r="D4823" s="8">
        <v>0.33300000000000002</v>
      </c>
    </row>
    <row r="4824" spans="1:4" x14ac:dyDescent="0.35">
      <c r="A4824" t="str">
        <f t="shared" si="82"/>
        <v>302Expectancy</v>
      </c>
      <c r="B4824">
        <v>302</v>
      </c>
      <c r="C4824" s="9" t="s">
        <v>31</v>
      </c>
      <c r="D4824" s="8">
        <v>3.1669999999999998</v>
      </c>
    </row>
    <row r="4825" spans="1:4" x14ac:dyDescent="0.35">
      <c r="A4825" t="str">
        <f t="shared" si="82"/>
        <v>302Net Profit</v>
      </c>
      <c r="B4825">
        <v>302</v>
      </c>
      <c r="C4825" s="9" t="s">
        <v>32</v>
      </c>
      <c r="D4825" s="8">
        <v>1.41208</v>
      </c>
    </row>
    <row r="4826" spans="1:4" x14ac:dyDescent="0.35">
      <c r="A4826" t="str">
        <f t="shared" si="82"/>
        <v>302Loss Rate</v>
      </c>
      <c r="B4826">
        <v>302</v>
      </c>
      <c r="C4826" s="9" t="s">
        <v>33</v>
      </c>
      <c r="D4826" s="8">
        <v>0.25</v>
      </c>
    </row>
    <row r="4827" spans="1:4" x14ac:dyDescent="0.35">
      <c r="A4827" t="str">
        <f t="shared" si="82"/>
        <v>302Win Rate</v>
      </c>
      <c r="B4827">
        <v>302</v>
      </c>
      <c r="C4827" s="9" t="s">
        <v>34</v>
      </c>
      <c r="D4827" s="8">
        <v>0.75</v>
      </c>
    </row>
    <row r="4828" spans="1:4" x14ac:dyDescent="0.35">
      <c r="A4828" t="str">
        <f t="shared" si="82"/>
        <v>302Profit-Loss Ratio</v>
      </c>
      <c r="B4828">
        <v>302</v>
      </c>
      <c r="C4828" s="9" t="s">
        <v>26</v>
      </c>
      <c r="D4828" s="8">
        <v>4.5599999999999996</v>
      </c>
    </row>
    <row r="4829" spans="1:4" x14ac:dyDescent="0.35">
      <c r="A4829" t="str">
        <f t="shared" si="82"/>
        <v>302Alpha</v>
      </c>
      <c r="B4829">
        <v>302</v>
      </c>
      <c r="C4829" s="9" t="s">
        <v>23</v>
      </c>
      <c r="D4829" s="8">
        <v>2.48</v>
      </c>
    </row>
    <row r="4830" spans="1:4" x14ac:dyDescent="0.35">
      <c r="A4830" t="str">
        <f t="shared" si="82"/>
        <v>302Beta</v>
      </c>
      <c r="B4830">
        <v>302</v>
      </c>
      <c r="C4830" s="9" t="s">
        <v>24</v>
      </c>
      <c r="D4830" s="8">
        <v>-2.8119999999999998</v>
      </c>
    </row>
    <row r="4831" spans="1:4" x14ac:dyDescent="0.35">
      <c r="A4831" t="str">
        <f t="shared" si="82"/>
        <v>302Annual Standard Deviation</v>
      </c>
      <c r="B4831">
        <v>302</v>
      </c>
      <c r="C4831" s="9" t="s">
        <v>35</v>
      </c>
      <c r="D4831" s="8">
        <v>0.75800000000000001</v>
      </c>
    </row>
    <row r="4832" spans="1:4" x14ac:dyDescent="0.35">
      <c r="A4832" t="str">
        <f t="shared" si="82"/>
        <v>302Annual Variance</v>
      </c>
      <c r="B4832">
        <v>302</v>
      </c>
      <c r="C4832" s="9" t="s">
        <v>36</v>
      </c>
      <c r="D4832" s="8">
        <v>0.57499999999999996</v>
      </c>
    </row>
    <row r="4833" spans="1:4" x14ac:dyDescent="0.35">
      <c r="A4833" t="str">
        <f t="shared" si="82"/>
        <v>302Information Ratio</v>
      </c>
      <c r="B4833">
        <v>302</v>
      </c>
      <c r="C4833" s="9" t="s">
        <v>37</v>
      </c>
      <c r="D4833" s="8">
        <v>2.915</v>
      </c>
    </row>
    <row r="4834" spans="1:4" x14ac:dyDescent="0.35">
      <c r="A4834" t="str">
        <f t="shared" si="82"/>
        <v>302Tracking Error</v>
      </c>
      <c r="B4834">
        <v>302</v>
      </c>
      <c r="C4834" s="9" t="s">
        <v>38</v>
      </c>
      <c r="D4834" s="8">
        <v>0.77800000000000002</v>
      </c>
    </row>
    <row r="4835" spans="1:4" x14ac:dyDescent="0.35">
      <c r="A4835" t="str">
        <f t="shared" si="82"/>
        <v>302Treynor Ratio</v>
      </c>
      <c r="B4835">
        <v>302</v>
      </c>
      <c r="C4835" s="9" t="s">
        <v>39</v>
      </c>
      <c r="D4835" s="8">
        <v>-0.82599999999999996</v>
      </c>
    </row>
    <row r="4836" spans="1:4" x14ac:dyDescent="0.35">
      <c r="A4836" t="str">
        <f t="shared" si="82"/>
        <v>302Total Fees</v>
      </c>
      <c r="B4836">
        <v>302</v>
      </c>
      <c r="C4836" s="9" t="s">
        <v>40</v>
      </c>
      <c r="D4836" s="8">
        <v>0</v>
      </c>
    </row>
    <row r="4837" spans="1:4" x14ac:dyDescent="0.35">
      <c r="A4837" t="str">
        <f t="shared" si="82"/>
        <v>302Estimated Strategy Capacity</v>
      </c>
      <c r="B4837">
        <v>302</v>
      </c>
      <c r="C4837" s="9" t="s">
        <v>41</v>
      </c>
      <c r="D4837" s="8">
        <v>820000</v>
      </c>
    </row>
    <row r="4838" spans="1:4" x14ac:dyDescent="0.35">
      <c r="A4838" t="str">
        <f t="shared" si="82"/>
        <v>303PSR</v>
      </c>
      <c r="B4838">
        <v>303</v>
      </c>
      <c r="C4838" s="9" t="s">
        <v>27</v>
      </c>
      <c r="D4838" s="8">
        <v>0.80601</v>
      </c>
    </row>
    <row r="4839" spans="1:4" x14ac:dyDescent="0.35">
      <c r="A4839" t="str">
        <f t="shared" si="82"/>
        <v>303Sharpe Ratio</v>
      </c>
      <c r="B4839">
        <v>303</v>
      </c>
      <c r="C4839" s="9" t="s">
        <v>1</v>
      </c>
      <c r="D4839" s="8">
        <v>4.9080000000000004</v>
      </c>
    </row>
    <row r="4840" spans="1:4" x14ac:dyDescent="0.35">
      <c r="A4840" t="str">
        <f t="shared" si="82"/>
        <v>303Total Trades</v>
      </c>
      <c r="B4840">
        <v>303</v>
      </c>
      <c r="C4840" s="9" t="s">
        <v>28</v>
      </c>
      <c r="D4840" s="8">
        <v>337</v>
      </c>
    </row>
    <row r="4841" spans="1:4" x14ac:dyDescent="0.35">
      <c r="A4841" t="str">
        <f t="shared" si="82"/>
        <v>303Average Win</v>
      </c>
      <c r="B4841">
        <v>303</v>
      </c>
      <c r="C4841" s="9" t="s">
        <v>25</v>
      </c>
      <c r="D4841" s="8">
        <v>0.19209999999999999</v>
      </c>
    </row>
    <row r="4842" spans="1:4" x14ac:dyDescent="0.35">
      <c r="A4842" t="str">
        <f t="shared" si="82"/>
        <v>303Average Loss</v>
      </c>
      <c r="B4842">
        <v>303</v>
      </c>
      <c r="C4842" s="9" t="s">
        <v>29</v>
      </c>
      <c r="D4842" s="8">
        <v>-4.3999999999999997E-2</v>
      </c>
    </row>
    <row r="4843" spans="1:4" x14ac:dyDescent="0.35">
      <c r="A4843" t="str">
        <f t="shared" si="82"/>
        <v>303Compounding Annual Return</v>
      </c>
      <c r="B4843">
        <v>303</v>
      </c>
      <c r="C4843" s="9" t="s">
        <v>30</v>
      </c>
      <c r="D4843" s="8">
        <v>5.8189000000000002</v>
      </c>
    </row>
    <row r="4844" spans="1:4" x14ac:dyDescent="0.35">
      <c r="A4844" t="str">
        <f t="shared" si="82"/>
        <v>303Drawdown</v>
      </c>
      <c r="B4844">
        <v>303</v>
      </c>
      <c r="C4844" s="9" t="s">
        <v>8</v>
      </c>
      <c r="D4844" s="8">
        <v>0.436</v>
      </c>
    </row>
    <row r="4845" spans="1:4" x14ac:dyDescent="0.35">
      <c r="A4845" t="str">
        <f t="shared" si="82"/>
        <v>303Expectancy</v>
      </c>
      <c r="B4845">
        <v>303</v>
      </c>
      <c r="C4845" s="9" t="s">
        <v>31</v>
      </c>
      <c r="D4845" s="8">
        <v>3.3889999999999998</v>
      </c>
    </row>
    <row r="4846" spans="1:4" x14ac:dyDescent="0.35">
      <c r="A4846" t="str">
        <f t="shared" si="82"/>
        <v>303Net Profit</v>
      </c>
      <c r="B4846">
        <v>303</v>
      </c>
      <c r="C4846" s="9" t="s">
        <v>32</v>
      </c>
      <c r="D4846" s="8">
        <v>2.4773499999999999</v>
      </c>
    </row>
    <row r="4847" spans="1:4" x14ac:dyDescent="0.35">
      <c r="A4847" t="str">
        <f t="shared" si="82"/>
        <v>303Loss Rate</v>
      </c>
      <c r="B4847">
        <v>303</v>
      </c>
      <c r="C4847" s="9" t="s">
        <v>33</v>
      </c>
      <c r="D4847" s="8">
        <v>0.18</v>
      </c>
    </row>
    <row r="4848" spans="1:4" x14ac:dyDescent="0.35">
      <c r="A4848" t="str">
        <f t="shared" si="82"/>
        <v>303Win Rate</v>
      </c>
      <c r="B4848">
        <v>303</v>
      </c>
      <c r="C4848" s="9" t="s">
        <v>34</v>
      </c>
      <c r="D4848" s="8">
        <v>0.82</v>
      </c>
    </row>
    <row r="4849" spans="1:4" x14ac:dyDescent="0.35">
      <c r="A4849" t="str">
        <f t="shared" si="82"/>
        <v>303Profit-Loss Ratio</v>
      </c>
      <c r="B4849">
        <v>303</v>
      </c>
      <c r="C4849" s="9" t="s">
        <v>26</v>
      </c>
      <c r="D4849" s="8">
        <v>4.3600000000000003</v>
      </c>
    </row>
    <row r="4850" spans="1:4" x14ac:dyDescent="0.35">
      <c r="A4850" t="str">
        <f t="shared" si="82"/>
        <v>303Alpha</v>
      </c>
      <c r="B4850">
        <v>303</v>
      </c>
      <c r="C4850" s="9" t="s">
        <v>23</v>
      </c>
      <c r="D4850" s="8">
        <v>5.2949999999999999</v>
      </c>
    </row>
    <row r="4851" spans="1:4" x14ac:dyDescent="0.35">
      <c r="A4851" t="str">
        <f t="shared" si="82"/>
        <v>303Beta</v>
      </c>
      <c r="B4851">
        <v>303</v>
      </c>
      <c r="C4851" s="9" t="s">
        <v>24</v>
      </c>
      <c r="D4851" s="8">
        <v>-4.1369999999999996</v>
      </c>
    </row>
    <row r="4852" spans="1:4" x14ac:dyDescent="0.35">
      <c r="A4852" t="str">
        <f t="shared" si="82"/>
        <v>303Annual Standard Deviation</v>
      </c>
      <c r="B4852">
        <v>303</v>
      </c>
      <c r="C4852" s="9" t="s">
        <v>35</v>
      </c>
      <c r="D4852" s="8">
        <v>1.032</v>
      </c>
    </row>
    <row r="4853" spans="1:4" x14ac:dyDescent="0.35">
      <c r="A4853" t="str">
        <f t="shared" si="82"/>
        <v>303Annual Variance</v>
      </c>
      <c r="B4853">
        <v>303</v>
      </c>
      <c r="C4853" s="9" t="s">
        <v>36</v>
      </c>
      <c r="D4853" s="8">
        <v>1.0649999999999999</v>
      </c>
    </row>
    <row r="4854" spans="1:4" x14ac:dyDescent="0.35">
      <c r="A4854" t="str">
        <f t="shared" si="82"/>
        <v>303Information Ratio</v>
      </c>
      <c r="B4854">
        <v>303</v>
      </c>
      <c r="C4854" s="9" t="s">
        <v>37</v>
      </c>
      <c r="D4854" s="8">
        <v>4.7619999999999996</v>
      </c>
    </row>
    <row r="4855" spans="1:4" x14ac:dyDescent="0.35">
      <c r="A4855" t="str">
        <f t="shared" si="82"/>
        <v>303Tracking Error</v>
      </c>
      <c r="B4855">
        <v>303</v>
      </c>
      <c r="C4855" s="9" t="s">
        <v>38</v>
      </c>
      <c r="D4855" s="8">
        <v>1.052</v>
      </c>
    </row>
    <row r="4856" spans="1:4" x14ac:dyDescent="0.35">
      <c r="A4856" t="str">
        <f t="shared" si="82"/>
        <v>303Treynor Ratio</v>
      </c>
      <c r="B4856">
        <v>303</v>
      </c>
      <c r="C4856" s="9" t="s">
        <v>39</v>
      </c>
      <c r="D4856" s="8">
        <v>-1.224</v>
      </c>
    </row>
    <row r="4857" spans="1:4" x14ac:dyDescent="0.35">
      <c r="A4857" t="str">
        <f t="shared" si="82"/>
        <v>303Total Fees</v>
      </c>
      <c r="B4857">
        <v>303</v>
      </c>
      <c r="C4857" s="9" t="s">
        <v>40</v>
      </c>
      <c r="D4857" s="8">
        <v>0</v>
      </c>
    </row>
    <row r="4858" spans="1:4" x14ac:dyDescent="0.35">
      <c r="A4858" t="str">
        <f t="shared" si="82"/>
        <v>303Estimated Strategy Capacity</v>
      </c>
      <c r="B4858">
        <v>303</v>
      </c>
      <c r="C4858" s="9" t="s">
        <v>41</v>
      </c>
      <c r="D4858" s="8">
        <v>630000</v>
      </c>
    </row>
    <row r="4859" spans="1:4" x14ac:dyDescent="0.35">
      <c r="A4859" t="str">
        <f t="shared" si="82"/>
        <v>304PSR</v>
      </c>
      <c r="B4859">
        <v>304</v>
      </c>
      <c r="C4859" s="9" t="s">
        <v>27</v>
      </c>
      <c r="D4859" s="8">
        <v>0.52046999999999999</v>
      </c>
    </row>
    <row r="4860" spans="1:4" x14ac:dyDescent="0.35">
      <c r="A4860" t="str">
        <f t="shared" si="82"/>
        <v>304Sharpe Ratio</v>
      </c>
      <c r="B4860">
        <v>304</v>
      </c>
      <c r="C4860" s="9" t="s">
        <v>1</v>
      </c>
      <c r="D4860" s="8">
        <v>1.107</v>
      </c>
    </row>
    <row r="4861" spans="1:4" x14ac:dyDescent="0.35">
      <c r="A4861" t="str">
        <f t="shared" ref="A4861:A4924" si="83">B4861&amp;C4861</f>
        <v>304Total Trades</v>
      </c>
      <c r="B4861">
        <v>304</v>
      </c>
      <c r="C4861" s="9" t="s">
        <v>28</v>
      </c>
      <c r="D4861" s="8">
        <v>254</v>
      </c>
    </row>
    <row r="4862" spans="1:4" x14ac:dyDescent="0.35">
      <c r="A4862" t="str">
        <f t="shared" si="83"/>
        <v>304Average Win</v>
      </c>
      <c r="B4862">
        <v>304</v>
      </c>
      <c r="C4862" s="9" t="s">
        <v>25</v>
      </c>
      <c r="D4862" s="8">
        <v>1.9699999999999999E-2</v>
      </c>
    </row>
    <row r="4863" spans="1:4" x14ac:dyDescent="0.35">
      <c r="A4863" t="str">
        <f t="shared" si="83"/>
        <v>304Average Loss</v>
      </c>
      <c r="B4863">
        <v>304</v>
      </c>
      <c r="C4863" s="9" t="s">
        <v>29</v>
      </c>
      <c r="D4863" s="8">
        <v>-1.2699999999999999E-2</v>
      </c>
    </row>
    <row r="4864" spans="1:4" x14ac:dyDescent="0.35">
      <c r="A4864" t="str">
        <f t="shared" si="83"/>
        <v>304Compounding Annual Return</v>
      </c>
      <c r="B4864">
        <v>304</v>
      </c>
      <c r="C4864" s="9" t="s">
        <v>30</v>
      </c>
      <c r="D4864" s="8">
        <v>0.15318000000000001</v>
      </c>
    </row>
    <row r="4865" spans="1:4" x14ac:dyDescent="0.35">
      <c r="A4865" t="str">
        <f t="shared" si="83"/>
        <v>304Drawdown</v>
      </c>
      <c r="B4865">
        <v>304</v>
      </c>
      <c r="C4865" s="9" t="s">
        <v>8</v>
      </c>
      <c r="D4865" s="8">
        <v>6.8000000000000005E-2</v>
      </c>
    </row>
    <row r="4866" spans="1:4" x14ac:dyDescent="0.35">
      <c r="A4866" t="str">
        <f t="shared" si="83"/>
        <v>304Expectancy</v>
      </c>
      <c r="B4866">
        <v>304</v>
      </c>
      <c r="C4866" s="9" t="s">
        <v>31</v>
      </c>
      <c r="D4866" s="8">
        <v>0.91300000000000003</v>
      </c>
    </row>
    <row r="4867" spans="1:4" x14ac:dyDescent="0.35">
      <c r="A4867" t="str">
        <f t="shared" si="83"/>
        <v>304Net Profit</v>
      </c>
      <c r="B4867">
        <v>304</v>
      </c>
      <c r="C4867" s="9" t="s">
        <v>32</v>
      </c>
      <c r="D4867" s="8">
        <v>9.6939999999999998E-2</v>
      </c>
    </row>
    <row r="4868" spans="1:4" x14ac:dyDescent="0.35">
      <c r="A4868" t="str">
        <f t="shared" si="83"/>
        <v>304Loss Rate</v>
      </c>
      <c r="B4868">
        <v>304</v>
      </c>
      <c r="C4868" s="9" t="s">
        <v>33</v>
      </c>
      <c r="D4868" s="8">
        <v>0.25</v>
      </c>
    </row>
    <row r="4869" spans="1:4" x14ac:dyDescent="0.35">
      <c r="A4869" t="str">
        <f t="shared" si="83"/>
        <v>304Win Rate</v>
      </c>
      <c r="B4869">
        <v>304</v>
      </c>
      <c r="C4869" s="9" t="s">
        <v>34</v>
      </c>
      <c r="D4869" s="8">
        <v>0.75</v>
      </c>
    </row>
    <row r="4870" spans="1:4" x14ac:dyDescent="0.35">
      <c r="A4870" t="str">
        <f t="shared" si="83"/>
        <v>304Profit-Loss Ratio</v>
      </c>
      <c r="B4870">
        <v>304</v>
      </c>
      <c r="C4870" s="9" t="s">
        <v>26</v>
      </c>
      <c r="D4870" s="8">
        <v>1.55</v>
      </c>
    </row>
    <row r="4871" spans="1:4" x14ac:dyDescent="0.35">
      <c r="A4871" t="str">
        <f t="shared" si="83"/>
        <v>304Alpha</v>
      </c>
      <c r="B4871">
        <v>304</v>
      </c>
      <c r="C4871" s="9" t="s">
        <v>23</v>
      </c>
      <c r="D4871" s="8">
        <v>0.127</v>
      </c>
    </row>
    <row r="4872" spans="1:4" x14ac:dyDescent="0.35">
      <c r="A4872" t="str">
        <f t="shared" si="83"/>
        <v>304Beta</v>
      </c>
      <c r="B4872">
        <v>304</v>
      </c>
      <c r="C4872" s="9" t="s">
        <v>24</v>
      </c>
      <c r="D4872" s="8">
        <v>-0.32700000000000001</v>
      </c>
    </row>
    <row r="4873" spans="1:4" x14ac:dyDescent="0.35">
      <c r="A4873" t="str">
        <f t="shared" si="83"/>
        <v>304Annual Standard Deviation</v>
      </c>
      <c r="B4873">
        <v>304</v>
      </c>
      <c r="C4873" s="9" t="s">
        <v>35</v>
      </c>
      <c r="D4873" s="8">
        <v>9.9000000000000005E-2</v>
      </c>
    </row>
    <row r="4874" spans="1:4" x14ac:dyDescent="0.35">
      <c r="A4874" t="str">
        <f t="shared" si="83"/>
        <v>304Annual Variance</v>
      </c>
      <c r="B4874">
        <v>304</v>
      </c>
      <c r="C4874" s="9" t="s">
        <v>36</v>
      </c>
      <c r="D4874" s="8">
        <v>0.01</v>
      </c>
    </row>
    <row r="4875" spans="1:4" x14ac:dyDescent="0.35">
      <c r="A4875" t="str">
        <f t="shared" si="83"/>
        <v>304Information Ratio</v>
      </c>
      <c r="B4875">
        <v>304</v>
      </c>
      <c r="C4875" s="9" t="s">
        <v>37</v>
      </c>
      <c r="D4875" s="8">
        <v>0.40699999999999997</v>
      </c>
    </row>
    <row r="4876" spans="1:4" x14ac:dyDescent="0.35">
      <c r="A4876" t="str">
        <f t="shared" si="83"/>
        <v>304Tracking Error</v>
      </c>
      <c r="B4876">
        <v>304</v>
      </c>
      <c r="C4876" s="9" t="s">
        <v>38</v>
      </c>
      <c r="D4876" s="8">
        <v>0.13100000000000001</v>
      </c>
    </row>
    <row r="4877" spans="1:4" x14ac:dyDescent="0.35">
      <c r="A4877" t="str">
        <f t="shared" si="83"/>
        <v>304Treynor Ratio</v>
      </c>
      <c r="B4877">
        <v>304</v>
      </c>
      <c r="C4877" s="9" t="s">
        <v>39</v>
      </c>
      <c r="D4877" s="8">
        <v>-0.33400000000000002</v>
      </c>
    </row>
    <row r="4878" spans="1:4" x14ac:dyDescent="0.35">
      <c r="A4878" t="str">
        <f t="shared" si="83"/>
        <v>304Total Fees</v>
      </c>
      <c r="B4878">
        <v>304</v>
      </c>
      <c r="C4878" s="9" t="s">
        <v>40</v>
      </c>
      <c r="D4878" s="8">
        <v>0</v>
      </c>
    </row>
    <row r="4879" spans="1:4" x14ac:dyDescent="0.35">
      <c r="A4879" t="str">
        <f t="shared" si="83"/>
        <v>304Estimated Strategy Capacity</v>
      </c>
      <c r="B4879">
        <v>304</v>
      </c>
      <c r="C4879" s="9" t="s">
        <v>41</v>
      </c>
      <c r="D4879" s="8">
        <v>140000000</v>
      </c>
    </row>
    <row r="4880" spans="1:4" x14ac:dyDescent="0.35">
      <c r="A4880" t="str">
        <f t="shared" si="83"/>
        <v>305PSR</v>
      </c>
      <c r="B4880">
        <v>305</v>
      </c>
      <c r="C4880" s="9" t="s">
        <v>27</v>
      </c>
      <c r="D4880" s="8">
        <v>0.58925000000000005</v>
      </c>
    </row>
    <row r="4881" spans="1:4" x14ac:dyDescent="0.35">
      <c r="A4881" t="str">
        <f t="shared" si="83"/>
        <v>305Sharpe Ratio</v>
      </c>
      <c r="B4881">
        <v>305</v>
      </c>
      <c r="C4881" s="9" t="s">
        <v>1</v>
      </c>
      <c r="D4881" s="8">
        <v>1.9410000000000001</v>
      </c>
    </row>
    <row r="4882" spans="1:4" x14ac:dyDescent="0.35">
      <c r="A4882" t="str">
        <f t="shared" si="83"/>
        <v>305Total Trades</v>
      </c>
      <c r="B4882">
        <v>305</v>
      </c>
      <c r="C4882" s="9" t="s">
        <v>28</v>
      </c>
      <c r="D4882" s="8">
        <v>247</v>
      </c>
    </row>
    <row r="4883" spans="1:4" x14ac:dyDescent="0.35">
      <c r="A4883" t="str">
        <f t="shared" si="83"/>
        <v>305Average Win</v>
      </c>
      <c r="B4883">
        <v>305</v>
      </c>
      <c r="C4883" s="9" t="s">
        <v>25</v>
      </c>
      <c r="D4883" s="8">
        <v>0.1709</v>
      </c>
    </row>
    <row r="4884" spans="1:4" x14ac:dyDescent="0.35">
      <c r="A4884" t="str">
        <f t="shared" si="83"/>
        <v>305Average Loss</v>
      </c>
      <c r="B4884">
        <v>305</v>
      </c>
      <c r="C4884" s="9" t="s">
        <v>29</v>
      </c>
      <c r="D4884" s="8">
        <v>-0.12039999999999999</v>
      </c>
    </row>
    <row r="4885" spans="1:4" x14ac:dyDescent="0.35">
      <c r="A4885" t="str">
        <f t="shared" si="83"/>
        <v>305Compounding Annual Return</v>
      </c>
      <c r="B4885">
        <v>305</v>
      </c>
      <c r="C4885" s="9" t="s">
        <v>30</v>
      </c>
      <c r="D4885" s="8">
        <v>1.5089600000000001</v>
      </c>
    </row>
    <row r="4886" spans="1:4" x14ac:dyDescent="0.35">
      <c r="A4886" t="str">
        <f t="shared" si="83"/>
        <v>305Drawdown</v>
      </c>
      <c r="B4886">
        <v>305</v>
      </c>
      <c r="C4886" s="9" t="s">
        <v>8</v>
      </c>
      <c r="D4886" s="8">
        <v>0.40500000000000003</v>
      </c>
    </row>
    <row r="4887" spans="1:4" x14ac:dyDescent="0.35">
      <c r="A4887" t="str">
        <f t="shared" si="83"/>
        <v>305Expectancy</v>
      </c>
      <c r="B4887">
        <v>305</v>
      </c>
      <c r="C4887" s="9" t="s">
        <v>31</v>
      </c>
      <c r="D4887" s="8">
        <v>0.81499999999999995</v>
      </c>
    </row>
    <row r="4888" spans="1:4" x14ac:dyDescent="0.35">
      <c r="A4888" t="str">
        <f t="shared" si="83"/>
        <v>305Net Profit</v>
      </c>
      <c r="B4888">
        <v>305</v>
      </c>
      <c r="C4888" s="9" t="s">
        <v>32</v>
      </c>
      <c r="D4888" s="8">
        <v>0.81698999999999999</v>
      </c>
    </row>
    <row r="4889" spans="1:4" x14ac:dyDescent="0.35">
      <c r="A4889" t="str">
        <f t="shared" si="83"/>
        <v>305Loss Rate</v>
      </c>
      <c r="B4889">
        <v>305</v>
      </c>
      <c r="C4889" s="9" t="s">
        <v>33</v>
      </c>
      <c r="D4889" s="8">
        <v>0.25</v>
      </c>
    </row>
    <row r="4890" spans="1:4" x14ac:dyDescent="0.35">
      <c r="A4890" t="str">
        <f t="shared" si="83"/>
        <v>305Win Rate</v>
      </c>
      <c r="B4890">
        <v>305</v>
      </c>
      <c r="C4890" s="9" t="s">
        <v>34</v>
      </c>
      <c r="D4890" s="8">
        <v>0.75</v>
      </c>
    </row>
    <row r="4891" spans="1:4" x14ac:dyDescent="0.35">
      <c r="A4891" t="str">
        <f t="shared" si="83"/>
        <v>305Profit-Loss Ratio</v>
      </c>
      <c r="B4891">
        <v>305</v>
      </c>
      <c r="C4891" s="9" t="s">
        <v>26</v>
      </c>
      <c r="D4891" s="8">
        <v>1.42</v>
      </c>
    </row>
    <row r="4892" spans="1:4" x14ac:dyDescent="0.35">
      <c r="A4892" t="str">
        <f t="shared" si="83"/>
        <v>305Alpha</v>
      </c>
      <c r="B4892">
        <v>305</v>
      </c>
      <c r="C4892" s="9" t="s">
        <v>23</v>
      </c>
      <c r="D4892" s="8">
        <v>1.5820000000000001</v>
      </c>
    </row>
    <row r="4893" spans="1:4" x14ac:dyDescent="0.35">
      <c r="A4893" t="str">
        <f t="shared" si="83"/>
        <v>305Beta</v>
      </c>
      <c r="B4893">
        <v>305</v>
      </c>
      <c r="C4893" s="9" t="s">
        <v>24</v>
      </c>
      <c r="D4893" s="8">
        <v>-2.6960000000000002</v>
      </c>
    </row>
    <row r="4894" spans="1:4" x14ac:dyDescent="0.35">
      <c r="A4894" t="str">
        <f t="shared" si="83"/>
        <v>305Annual Standard Deviation</v>
      </c>
      <c r="B4894">
        <v>305</v>
      </c>
      <c r="C4894" s="9" t="s">
        <v>35</v>
      </c>
      <c r="D4894" s="8">
        <v>0.73599999999999999</v>
      </c>
    </row>
    <row r="4895" spans="1:4" x14ac:dyDescent="0.35">
      <c r="A4895" t="str">
        <f t="shared" si="83"/>
        <v>305Annual Variance</v>
      </c>
      <c r="B4895">
        <v>305</v>
      </c>
      <c r="C4895" s="9" t="s">
        <v>36</v>
      </c>
      <c r="D4895" s="8">
        <v>0.54100000000000004</v>
      </c>
    </row>
    <row r="4896" spans="1:4" x14ac:dyDescent="0.35">
      <c r="A4896" t="str">
        <f t="shared" si="83"/>
        <v>305Information Ratio</v>
      </c>
      <c r="B4896">
        <v>305</v>
      </c>
      <c r="C4896" s="9" t="s">
        <v>37</v>
      </c>
      <c r="D4896" s="8">
        <v>1.8160000000000001</v>
      </c>
    </row>
    <row r="4897" spans="1:4" x14ac:dyDescent="0.35">
      <c r="A4897" t="str">
        <f t="shared" si="83"/>
        <v>305Tracking Error</v>
      </c>
      <c r="B4897">
        <v>305</v>
      </c>
      <c r="C4897" s="9" t="s">
        <v>38</v>
      </c>
      <c r="D4897" s="8">
        <v>0.755</v>
      </c>
    </row>
    <row r="4898" spans="1:4" x14ac:dyDescent="0.35">
      <c r="A4898" t="str">
        <f t="shared" si="83"/>
        <v>305Treynor Ratio</v>
      </c>
      <c r="B4898">
        <v>305</v>
      </c>
      <c r="C4898" s="9" t="s">
        <v>39</v>
      </c>
      <c r="D4898" s="8">
        <v>-0.53</v>
      </c>
    </row>
    <row r="4899" spans="1:4" x14ac:dyDescent="0.35">
      <c r="A4899" t="str">
        <f t="shared" si="83"/>
        <v>305Total Fees</v>
      </c>
      <c r="B4899">
        <v>305</v>
      </c>
      <c r="C4899" s="9" t="s">
        <v>40</v>
      </c>
      <c r="D4899" s="8">
        <v>0</v>
      </c>
    </row>
    <row r="4900" spans="1:4" x14ac:dyDescent="0.35">
      <c r="A4900" t="str">
        <f t="shared" si="83"/>
        <v>305Estimated Strategy Capacity</v>
      </c>
      <c r="B4900">
        <v>305</v>
      </c>
      <c r="C4900" s="9" t="s">
        <v>41</v>
      </c>
      <c r="D4900" s="8">
        <v>24000000</v>
      </c>
    </row>
    <row r="4901" spans="1:4" x14ac:dyDescent="0.35">
      <c r="A4901" t="str">
        <f t="shared" si="83"/>
        <v>306PSR</v>
      </c>
      <c r="B4901">
        <v>306</v>
      </c>
      <c r="C4901" s="9" t="s">
        <v>27</v>
      </c>
      <c r="D4901" s="8">
        <v>0.32034000000000001</v>
      </c>
    </row>
    <row r="4902" spans="1:4" x14ac:dyDescent="0.35">
      <c r="A4902" t="str">
        <f t="shared" si="83"/>
        <v>306Sharpe Ratio</v>
      </c>
      <c r="B4902">
        <v>306</v>
      </c>
      <c r="C4902" s="9" t="s">
        <v>1</v>
      </c>
      <c r="D4902" s="8">
        <v>0.69</v>
      </c>
    </row>
    <row r="4903" spans="1:4" x14ac:dyDescent="0.35">
      <c r="A4903" t="str">
        <f t="shared" si="83"/>
        <v>306Total Trades</v>
      </c>
      <c r="B4903">
        <v>306</v>
      </c>
      <c r="C4903" s="9" t="s">
        <v>28</v>
      </c>
      <c r="D4903" s="8">
        <v>230</v>
      </c>
    </row>
    <row r="4904" spans="1:4" x14ac:dyDescent="0.35">
      <c r="A4904" t="str">
        <f t="shared" si="83"/>
        <v>306Average Win</v>
      </c>
      <c r="B4904">
        <v>306</v>
      </c>
      <c r="C4904" s="9" t="s">
        <v>25</v>
      </c>
      <c r="D4904" s="8">
        <v>0.26300000000000001</v>
      </c>
    </row>
    <row r="4905" spans="1:4" x14ac:dyDescent="0.35">
      <c r="A4905" t="str">
        <f t="shared" si="83"/>
        <v>306Average Loss</v>
      </c>
      <c r="B4905">
        <v>306</v>
      </c>
      <c r="C4905" s="9" t="s">
        <v>29</v>
      </c>
      <c r="D4905" s="8">
        <v>-5.2400000000000002E-2</v>
      </c>
    </row>
    <row r="4906" spans="1:4" x14ac:dyDescent="0.35">
      <c r="A4906" t="str">
        <f t="shared" si="83"/>
        <v>306Compounding Annual Return</v>
      </c>
      <c r="B4906">
        <v>306</v>
      </c>
      <c r="C4906" s="9" t="s">
        <v>30</v>
      </c>
      <c r="D4906" s="8">
        <v>-6.5599999999999999E-3</v>
      </c>
    </row>
    <row r="4907" spans="1:4" x14ac:dyDescent="0.35">
      <c r="A4907" t="str">
        <f t="shared" si="83"/>
        <v>306Drawdown</v>
      </c>
      <c r="B4907">
        <v>306</v>
      </c>
      <c r="C4907" s="9" t="s">
        <v>8</v>
      </c>
      <c r="D4907" s="8">
        <v>0.73499999999999999</v>
      </c>
    </row>
    <row r="4908" spans="1:4" x14ac:dyDescent="0.35">
      <c r="A4908" t="str">
        <f t="shared" si="83"/>
        <v>306Expectancy</v>
      </c>
      <c r="B4908">
        <v>306</v>
      </c>
      <c r="C4908" s="9" t="s">
        <v>31</v>
      </c>
      <c r="D4908" s="8">
        <v>0.20300000000000001</v>
      </c>
    </row>
    <row r="4909" spans="1:4" x14ac:dyDescent="0.35">
      <c r="A4909" t="str">
        <f t="shared" si="83"/>
        <v>306Net Profit</v>
      </c>
      <c r="B4909">
        <v>306</v>
      </c>
      <c r="C4909" s="9" t="s">
        <v>32</v>
      </c>
      <c r="D4909" s="8">
        <v>-4.2599999999999999E-3</v>
      </c>
    </row>
    <row r="4910" spans="1:4" x14ac:dyDescent="0.35">
      <c r="A4910" t="str">
        <f t="shared" si="83"/>
        <v>306Loss Rate</v>
      </c>
      <c r="B4910">
        <v>306</v>
      </c>
      <c r="C4910" s="9" t="s">
        <v>33</v>
      </c>
      <c r="D4910" s="8">
        <v>0.8</v>
      </c>
    </row>
    <row r="4911" spans="1:4" x14ac:dyDescent="0.35">
      <c r="A4911" t="str">
        <f t="shared" si="83"/>
        <v>306Win Rate</v>
      </c>
      <c r="B4911">
        <v>306</v>
      </c>
      <c r="C4911" s="9" t="s">
        <v>34</v>
      </c>
      <c r="D4911" s="8">
        <v>0.2</v>
      </c>
    </row>
    <row r="4912" spans="1:4" x14ac:dyDescent="0.35">
      <c r="A4912" t="str">
        <f t="shared" si="83"/>
        <v>306Profit-Loss Ratio</v>
      </c>
      <c r="B4912">
        <v>306</v>
      </c>
      <c r="C4912" s="9" t="s">
        <v>26</v>
      </c>
      <c r="D4912" s="8">
        <v>5.0199999999999996</v>
      </c>
    </row>
    <row r="4913" spans="1:4" x14ac:dyDescent="0.35">
      <c r="A4913" t="str">
        <f t="shared" si="83"/>
        <v>306Alpha</v>
      </c>
      <c r="B4913">
        <v>306</v>
      </c>
      <c r="C4913" s="9" t="s">
        <v>23</v>
      </c>
      <c r="D4913" s="8">
        <v>0.98499999999999999</v>
      </c>
    </row>
    <row r="4914" spans="1:4" x14ac:dyDescent="0.35">
      <c r="A4914" t="str">
        <f t="shared" si="83"/>
        <v>306Beta</v>
      </c>
      <c r="B4914">
        <v>306</v>
      </c>
      <c r="C4914" s="9" t="s">
        <v>24</v>
      </c>
      <c r="D4914" s="8">
        <v>-4.8310000000000004</v>
      </c>
    </row>
    <row r="4915" spans="1:4" x14ac:dyDescent="0.35">
      <c r="A4915" t="str">
        <f t="shared" si="83"/>
        <v>306Annual Standard Deviation</v>
      </c>
      <c r="B4915">
        <v>306</v>
      </c>
      <c r="C4915" s="9" t="s">
        <v>35</v>
      </c>
      <c r="D4915" s="8">
        <v>1.0369999999999999</v>
      </c>
    </row>
    <row r="4916" spans="1:4" x14ac:dyDescent="0.35">
      <c r="A4916" t="str">
        <f t="shared" si="83"/>
        <v>306Annual Variance</v>
      </c>
      <c r="B4916">
        <v>306</v>
      </c>
      <c r="C4916" s="9" t="s">
        <v>36</v>
      </c>
      <c r="D4916" s="8">
        <v>1.0760000000000001</v>
      </c>
    </row>
    <row r="4917" spans="1:4" x14ac:dyDescent="0.35">
      <c r="A4917" t="str">
        <f t="shared" si="83"/>
        <v>306Information Ratio</v>
      </c>
      <c r="B4917">
        <v>306</v>
      </c>
      <c r="C4917" s="9" t="s">
        <v>37</v>
      </c>
      <c r="D4917" s="8">
        <v>0.622</v>
      </c>
    </row>
    <row r="4918" spans="1:4" x14ac:dyDescent="0.35">
      <c r="A4918" t="str">
        <f t="shared" si="83"/>
        <v>306Tracking Error</v>
      </c>
      <c r="B4918">
        <v>306</v>
      </c>
      <c r="C4918" s="9" t="s">
        <v>38</v>
      </c>
      <c r="D4918" s="8">
        <v>1.06</v>
      </c>
    </row>
    <row r="4919" spans="1:4" x14ac:dyDescent="0.35">
      <c r="A4919" t="str">
        <f t="shared" si="83"/>
        <v>306Treynor Ratio</v>
      </c>
      <c r="B4919">
        <v>306</v>
      </c>
      <c r="C4919" s="9" t="s">
        <v>39</v>
      </c>
      <c r="D4919" s="8">
        <v>-0.14799999999999999</v>
      </c>
    </row>
    <row r="4920" spans="1:4" x14ac:dyDescent="0.35">
      <c r="A4920" t="str">
        <f t="shared" si="83"/>
        <v>306Total Fees</v>
      </c>
      <c r="B4920">
        <v>306</v>
      </c>
      <c r="C4920" s="9" t="s">
        <v>40</v>
      </c>
      <c r="D4920" s="8">
        <v>0</v>
      </c>
    </row>
    <row r="4921" spans="1:4" x14ac:dyDescent="0.35">
      <c r="A4921" t="str">
        <f t="shared" si="83"/>
        <v>306Estimated Strategy Capacity</v>
      </c>
      <c r="B4921">
        <v>306</v>
      </c>
      <c r="C4921" s="9" t="s">
        <v>41</v>
      </c>
      <c r="D4921" s="8">
        <v>6700000</v>
      </c>
    </row>
    <row r="4922" spans="1:4" x14ac:dyDescent="0.35">
      <c r="A4922" t="str">
        <f t="shared" si="83"/>
        <v>325PSR</v>
      </c>
      <c r="B4922">
        <v>325</v>
      </c>
      <c r="C4922" s="9" t="s">
        <v>27</v>
      </c>
      <c r="D4922" s="8">
        <v>3.9260000000000003E-2</v>
      </c>
    </row>
    <row r="4923" spans="1:4" x14ac:dyDescent="0.35">
      <c r="A4923" t="str">
        <f t="shared" si="83"/>
        <v>325Sharpe Ratio</v>
      </c>
      <c r="B4923">
        <v>325</v>
      </c>
      <c r="C4923" s="9" t="s">
        <v>1</v>
      </c>
      <c r="D4923" s="8">
        <v>-0.745</v>
      </c>
    </row>
    <row r="4924" spans="1:4" x14ac:dyDescent="0.35">
      <c r="A4924" t="str">
        <f t="shared" si="83"/>
        <v>325Total Trades</v>
      </c>
      <c r="B4924">
        <v>325</v>
      </c>
      <c r="C4924" s="9" t="s">
        <v>28</v>
      </c>
      <c r="D4924" s="8">
        <v>368</v>
      </c>
    </row>
    <row r="4925" spans="1:4" x14ac:dyDescent="0.35">
      <c r="A4925" t="str">
        <f t="shared" ref="A4925:A4988" si="84">B4925&amp;C4925</f>
        <v>325Average Win</v>
      </c>
      <c r="B4925">
        <v>325</v>
      </c>
      <c r="C4925" s="9" t="s">
        <v>25</v>
      </c>
      <c r="D4925" s="8">
        <v>1.0999999999999999E-2</v>
      </c>
    </row>
    <row r="4926" spans="1:4" x14ac:dyDescent="0.35">
      <c r="A4926" t="str">
        <f t="shared" si="84"/>
        <v>325Average Loss</v>
      </c>
      <c r="B4926">
        <v>325</v>
      </c>
      <c r="C4926" s="9" t="s">
        <v>29</v>
      </c>
      <c r="D4926" s="8">
        <v>-5.9200000000000003E-2</v>
      </c>
    </row>
    <row r="4927" spans="1:4" x14ac:dyDescent="0.35">
      <c r="A4927" t="str">
        <f t="shared" si="84"/>
        <v>325Compounding Annual Return</v>
      </c>
      <c r="B4927">
        <v>325</v>
      </c>
      <c r="C4927" s="9" t="s">
        <v>30</v>
      </c>
      <c r="D4927" s="8">
        <v>-0.41563</v>
      </c>
    </row>
    <row r="4928" spans="1:4" x14ac:dyDescent="0.35">
      <c r="A4928" t="str">
        <f t="shared" si="84"/>
        <v>325Drawdown</v>
      </c>
      <c r="B4928">
        <v>325</v>
      </c>
      <c r="C4928" s="9" t="s">
        <v>8</v>
      </c>
      <c r="D4928" s="8">
        <v>0.41099999999999998</v>
      </c>
    </row>
    <row r="4929" spans="1:4" x14ac:dyDescent="0.35">
      <c r="A4929" t="str">
        <f t="shared" si="84"/>
        <v>325Expectancy</v>
      </c>
      <c r="B4929">
        <v>325</v>
      </c>
      <c r="C4929" s="9" t="s">
        <v>31</v>
      </c>
      <c r="D4929" s="8">
        <v>-0.40699999999999997</v>
      </c>
    </row>
    <row r="4930" spans="1:4" x14ac:dyDescent="0.35">
      <c r="A4930" t="str">
        <f t="shared" si="84"/>
        <v>325Net Profit</v>
      </c>
      <c r="B4930">
        <v>325</v>
      </c>
      <c r="C4930" s="9" t="s">
        <v>32</v>
      </c>
      <c r="D4930" s="8">
        <v>-0.29443999999999998</v>
      </c>
    </row>
    <row r="4931" spans="1:4" x14ac:dyDescent="0.35">
      <c r="A4931" t="str">
        <f t="shared" si="84"/>
        <v>325Loss Rate</v>
      </c>
      <c r="B4931">
        <v>325</v>
      </c>
      <c r="C4931" s="9" t="s">
        <v>33</v>
      </c>
      <c r="D4931" s="8">
        <v>0.5</v>
      </c>
    </row>
    <row r="4932" spans="1:4" x14ac:dyDescent="0.35">
      <c r="A4932" t="str">
        <f t="shared" si="84"/>
        <v>325Win Rate</v>
      </c>
      <c r="B4932">
        <v>325</v>
      </c>
      <c r="C4932" s="9" t="s">
        <v>34</v>
      </c>
      <c r="D4932" s="8">
        <v>0.5</v>
      </c>
    </row>
    <row r="4933" spans="1:4" x14ac:dyDescent="0.35">
      <c r="A4933" t="str">
        <f t="shared" si="84"/>
        <v>325Profit-Loss Ratio</v>
      </c>
      <c r="B4933">
        <v>325</v>
      </c>
      <c r="C4933" s="9" t="s">
        <v>26</v>
      </c>
      <c r="D4933" s="8">
        <v>0.19</v>
      </c>
    </row>
    <row r="4934" spans="1:4" x14ac:dyDescent="0.35">
      <c r="A4934" t="str">
        <f t="shared" si="84"/>
        <v>325Alpha</v>
      </c>
      <c r="B4934">
        <v>325</v>
      </c>
      <c r="C4934" s="9" t="s">
        <v>23</v>
      </c>
      <c r="D4934" s="8">
        <v>-0.109</v>
      </c>
    </row>
    <row r="4935" spans="1:4" x14ac:dyDescent="0.35">
      <c r="A4935" t="str">
        <f t="shared" si="84"/>
        <v>325Beta</v>
      </c>
      <c r="B4935">
        <v>325</v>
      </c>
      <c r="C4935" s="9" t="s">
        <v>24</v>
      </c>
      <c r="D4935" s="8">
        <v>-2.8149999999999999</v>
      </c>
    </row>
    <row r="4936" spans="1:4" x14ac:dyDescent="0.35">
      <c r="A4936" t="str">
        <f t="shared" si="84"/>
        <v>325Annual Standard Deviation</v>
      </c>
      <c r="B4936">
        <v>325</v>
      </c>
      <c r="C4936" s="9" t="s">
        <v>35</v>
      </c>
      <c r="D4936" s="8">
        <v>0.35699999999999998</v>
      </c>
    </row>
    <row r="4937" spans="1:4" x14ac:dyDescent="0.35">
      <c r="A4937" t="str">
        <f t="shared" si="84"/>
        <v>325Annual Variance</v>
      </c>
      <c r="B4937">
        <v>325</v>
      </c>
      <c r="C4937" s="9" t="s">
        <v>36</v>
      </c>
      <c r="D4937" s="8">
        <v>0.128</v>
      </c>
    </row>
    <row r="4938" spans="1:4" x14ac:dyDescent="0.35">
      <c r="A4938" t="str">
        <f t="shared" si="84"/>
        <v>325Information Ratio</v>
      </c>
      <c r="B4938">
        <v>325</v>
      </c>
      <c r="C4938" s="9" t="s">
        <v>37</v>
      </c>
      <c r="D4938" s="8">
        <v>-0.81200000000000006</v>
      </c>
    </row>
    <row r="4939" spans="1:4" x14ac:dyDescent="0.35">
      <c r="A4939" t="str">
        <f t="shared" si="84"/>
        <v>325Tracking Error</v>
      </c>
      <c r="B4939">
        <v>325</v>
      </c>
      <c r="C4939" s="9" t="s">
        <v>38</v>
      </c>
      <c r="D4939" s="8">
        <v>0.39600000000000002</v>
      </c>
    </row>
    <row r="4940" spans="1:4" x14ac:dyDescent="0.35">
      <c r="A4940" t="str">
        <f t="shared" si="84"/>
        <v>325Treynor Ratio</v>
      </c>
      <c r="B4940">
        <v>325</v>
      </c>
      <c r="C4940" s="9" t="s">
        <v>39</v>
      </c>
      <c r="D4940" s="8">
        <v>9.4E-2</v>
      </c>
    </row>
    <row r="4941" spans="1:4" x14ac:dyDescent="0.35">
      <c r="A4941" t="str">
        <f t="shared" si="84"/>
        <v>325Total Fees</v>
      </c>
      <c r="B4941">
        <v>325</v>
      </c>
      <c r="C4941" s="9" t="s">
        <v>40</v>
      </c>
      <c r="D4941" s="8">
        <v>0</v>
      </c>
    </row>
    <row r="4942" spans="1:4" x14ac:dyDescent="0.35">
      <c r="A4942" t="str">
        <f t="shared" si="84"/>
        <v>325Estimated Strategy Capacity</v>
      </c>
      <c r="B4942">
        <v>325</v>
      </c>
      <c r="C4942" s="9" t="s">
        <v>41</v>
      </c>
      <c r="D4942" s="8">
        <v>160000000</v>
      </c>
    </row>
    <row r="4943" spans="1:4" x14ac:dyDescent="0.35">
      <c r="A4943" t="str">
        <f t="shared" si="84"/>
        <v>326PSR</v>
      </c>
      <c r="B4943">
        <v>326</v>
      </c>
      <c r="C4943" s="9" t="s">
        <v>27</v>
      </c>
      <c r="D4943" s="8">
        <v>1.9369999999999998E-2</v>
      </c>
    </row>
    <row r="4944" spans="1:4" x14ac:dyDescent="0.35">
      <c r="A4944" t="str">
        <f t="shared" si="84"/>
        <v>326Sharpe Ratio</v>
      </c>
      <c r="B4944">
        <v>326</v>
      </c>
      <c r="C4944" s="9" t="s">
        <v>1</v>
      </c>
      <c r="D4944" s="8">
        <v>-0.30399999999999999</v>
      </c>
    </row>
    <row r="4945" spans="1:4" x14ac:dyDescent="0.35">
      <c r="A4945" t="str">
        <f t="shared" si="84"/>
        <v>326Total Trades</v>
      </c>
      <c r="B4945">
        <v>326</v>
      </c>
      <c r="C4945" s="9" t="s">
        <v>28</v>
      </c>
      <c r="D4945" s="8">
        <v>326</v>
      </c>
    </row>
    <row r="4946" spans="1:4" x14ac:dyDescent="0.35">
      <c r="A4946" t="str">
        <f t="shared" si="84"/>
        <v>326Average Win</v>
      </c>
      <c r="B4946">
        <v>326</v>
      </c>
      <c r="C4946" s="9" t="s">
        <v>25</v>
      </c>
      <c r="D4946" s="8">
        <v>9.4399999999999998E-2</v>
      </c>
    </row>
    <row r="4947" spans="1:4" x14ac:dyDescent="0.35">
      <c r="A4947" t="str">
        <f t="shared" si="84"/>
        <v>326Average Loss</v>
      </c>
      <c r="B4947">
        <v>326</v>
      </c>
      <c r="C4947" s="9" t="s">
        <v>29</v>
      </c>
      <c r="D4947" s="8">
        <v>-6.08E-2</v>
      </c>
    </row>
    <row r="4948" spans="1:4" x14ac:dyDescent="0.35">
      <c r="A4948" t="str">
        <f t="shared" si="84"/>
        <v>326Compounding Annual Return</v>
      </c>
      <c r="B4948">
        <v>326</v>
      </c>
      <c r="C4948" s="9" t="s">
        <v>30</v>
      </c>
      <c r="D4948" s="8">
        <v>0</v>
      </c>
    </row>
    <row r="4949" spans="1:4" x14ac:dyDescent="0.35">
      <c r="A4949" t="str">
        <f t="shared" si="84"/>
        <v>326Drawdown</v>
      </c>
      <c r="B4949">
        <v>326</v>
      </c>
      <c r="C4949" s="9" t="s">
        <v>8</v>
      </c>
      <c r="D4949" s="8">
        <v>1</v>
      </c>
    </row>
    <row r="4950" spans="1:4" x14ac:dyDescent="0.35">
      <c r="A4950" t="str">
        <f t="shared" si="84"/>
        <v>326Expectancy</v>
      </c>
      <c r="B4950">
        <v>326</v>
      </c>
      <c r="C4950" s="9" t="s">
        <v>31</v>
      </c>
      <c r="D4950" s="8">
        <v>-0.874</v>
      </c>
    </row>
    <row r="4951" spans="1:4" x14ac:dyDescent="0.35">
      <c r="A4951" t="str">
        <f t="shared" si="84"/>
        <v>326Net Profit</v>
      </c>
      <c r="B4951">
        <v>326</v>
      </c>
      <c r="C4951" s="9" t="s">
        <v>32</v>
      </c>
      <c r="D4951" s="8">
        <v>-1.0004999999999999</v>
      </c>
    </row>
    <row r="4952" spans="1:4" x14ac:dyDescent="0.35">
      <c r="A4952" t="str">
        <f t="shared" si="84"/>
        <v>326Loss Rate</v>
      </c>
      <c r="B4952">
        <v>326</v>
      </c>
      <c r="C4952" s="9" t="s">
        <v>33</v>
      </c>
      <c r="D4952" s="8">
        <v>0.95</v>
      </c>
    </row>
    <row r="4953" spans="1:4" x14ac:dyDescent="0.35">
      <c r="A4953" t="str">
        <f t="shared" si="84"/>
        <v>326Win Rate</v>
      </c>
      <c r="B4953">
        <v>326</v>
      </c>
      <c r="C4953" s="9" t="s">
        <v>34</v>
      </c>
      <c r="D4953" s="8">
        <v>0.05</v>
      </c>
    </row>
    <row r="4954" spans="1:4" x14ac:dyDescent="0.35">
      <c r="A4954" t="str">
        <f t="shared" si="84"/>
        <v>326Profit-Loss Ratio</v>
      </c>
      <c r="B4954">
        <v>326</v>
      </c>
      <c r="C4954" s="9" t="s">
        <v>26</v>
      </c>
      <c r="D4954" s="8">
        <v>1.55</v>
      </c>
    </row>
    <row r="4955" spans="1:4" x14ac:dyDescent="0.35">
      <c r="A4955" t="str">
        <f t="shared" si="84"/>
        <v>326Alpha</v>
      </c>
      <c r="B4955">
        <v>326</v>
      </c>
      <c r="C4955" s="9" t="s">
        <v>23</v>
      </c>
      <c r="D4955" s="8">
        <v>0.44900000000000001</v>
      </c>
    </row>
    <row r="4956" spans="1:4" x14ac:dyDescent="0.35">
      <c r="A4956" t="str">
        <f t="shared" si="84"/>
        <v>326Beta</v>
      </c>
      <c r="B4956">
        <v>326</v>
      </c>
      <c r="C4956" s="9" t="s">
        <v>24</v>
      </c>
      <c r="D4956" s="8">
        <v>-26.042000000000002</v>
      </c>
    </row>
    <row r="4957" spans="1:4" x14ac:dyDescent="0.35">
      <c r="A4957" t="str">
        <f t="shared" si="84"/>
        <v>326Annual Standard Deviation</v>
      </c>
      <c r="B4957">
        <v>326</v>
      </c>
      <c r="C4957" s="9" t="s">
        <v>35</v>
      </c>
      <c r="D4957" s="8">
        <v>3.2040000000000002</v>
      </c>
    </row>
    <row r="4958" spans="1:4" x14ac:dyDescent="0.35">
      <c r="A4958" t="str">
        <f t="shared" si="84"/>
        <v>326Annual Variance</v>
      </c>
      <c r="B4958">
        <v>326</v>
      </c>
      <c r="C4958" s="9" t="s">
        <v>36</v>
      </c>
      <c r="D4958" s="8">
        <v>10.265000000000001</v>
      </c>
    </row>
    <row r="4959" spans="1:4" x14ac:dyDescent="0.35">
      <c r="A4959" t="str">
        <f t="shared" si="84"/>
        <v>326Information Ratio</v>
      </c>
      <c r="B4959">
        <v>326</v>
      </c>
      <c r="C4959" s="9" t="s">
        <v>37</v>
      </c>
      <c r="D4959" s="8">
        <v>-0.317</v>
      </c>
    </row>
    <row r="4960" spans="1:4" x14ac:dyDescent="0.35">
      <c r="A4960" t="str">
        <f t="shared" si="84"/>
        <v>326Tracking Error</v>
      </c>
      <c r="B4960">
        <v>326</v>
      </c>
      <c r="C4960" s="9" t="s">
        <v>38</v>
      </c>
      <c r="D4960" s="8">
        <v>3.24</v>
      </c>
    </row>
    <row r="4961" spans="1:4" x14ac:dyDescent="0.35">
      <c r="A4961" t="str">
        <f t="shared" si="84"/>
        <v>326Treynor Ratio</v>
      </c>
      <c r="B4961">
        <v>326</v>
      </c>
      <c r="C4961" s="9" t="s">
        <v>39</v>
      </c>
      <c r="D4961" s="8">
        <v>3.6999999999999998E-2</v>
      </c>
    </row>
    <row r="4962" spans="1:4" x14ac:dyDescent="0.35">
      <c r="A4962" t="str">
        <f t="shared" si="84"/>
        <v>326Total Fees</v>
      </c>
      <c r="B4962">
        <v>326</v>
      </c>
      <c r="C4962" s="9" t="s">
        <v>40</v>
      </c>
      <c r="D4962" s="8">
        <v>0</v>
      </c>
    </row>
    <row r="4963" spans="1:4" x14ac:dyDescent="0.35">
      <c r="A4963" t="str">
        <f t="shared" si="84"/>
        <v>326Estimated Strategy Capacity</v>
      </c>
      <c r="B4963">
        <v>326</v>
      </c>
      <c r="C4963" s="9" t="s">
        <v>41</v>
      </c>
      <c r="D4963" s="8">
        <v>3100000</v>
      </c>
    </row>
    <row r="4964" spans="1:4" x14ac:dyDescent="0.35">
      <c r="A4964" t="str">
        <f t="shared" si="84"/>
        <v>327PSR</v>
      </c>
      <c r="B4964">
        <v>327</v>
      </c>
      <c r="C4964" s="9" t="s">
        <v>27</v>
      </c>
      <c r="D4964" s="8">
        <v>0.25102999999999998</v>
      </c>
    </row>
    <row r="4965" spans="1:4" x14ac:dyDescent="0.35">
      <c r="A4965" t="str">
        <f t="shared" si="84"/>
        <v>327Sharpe Ratio</v>
      </c>
      <c r="B4965">
        <v>327</v>
      </c>
      <c r="C4965" s="9" t="s">
        <v>1</v>
      </c>
      <c r="D4965" s="8">
        <v>0.44800000000000001</v>
      </c>
    </row>
    <row r="4966" spans="1:4" x14ac:dyDescent="0.35">
      <c r="A4966" t="str">
        <f t="shared" si="84"/>
        <v>327Total Trades</v>
      </c>
      <c r="B4966">
        <v>327</v>
      </c>
      <c r="C4966" s="9" t="s">
        <v>28</v>
      </c>
      <c r="D4966" s="8">
        <v>288</v>
      </c>
    </row>
    <row r="4967" spans="1:4" x14ac:dyDescent="0.35">
      <c r="A4967" t="str">
        <f t="shared" si="84"/>
        <v>327Average Win</v>
      </c>
      <c r="B4967">
        <v>327</v>
      </c>
      <c r="C4967" s="9" t="s">
        <v>25</v>
      </c>
      <c r="D4967" s="8">
        <v>8.2900000000000001E-2</v>
      </c>
    </row>
    <row r="4968" spans="1:4" x14ac:dyDescent="0.35">
      <c r="A4968" t="str">
        <f t="shared" si="84"/>
        <v>327Average Loss</v>
      </c>
      <c r="B4968">
        <v>327</v>
      </c>
      <c r="C4968" s="9" t="s">
        <v>29</v>
      </c>
      <c r="D4968" s="8">
        <v>-5.2200000000000003E-2</v>
      </c>
    </row>
    <row r="4969" spans="1:4" x14ac:dyDescent="0.35">
      <c r="A4969" t="str">
        <f t="shared" si="84"/>
        <v>327Compounding Annual Return</v>
      </c>
      <c r="B4969">
        <v>327</v>
      </c>
      <c r="C4969" s="9" t="s">
        <v>30</v>
      </c>
      <c r="D4969" s="8">
        <v>0</v>
      </c>
    </row>
    <row r="4970" spans="1:4" x14ac:dyDescent="0.35">
      <c r="A4970" t="str">
        <f t="shared" si="84"/>
        <v>327Drawdown</v>
      </c>
      <c r="B4970">
        <v>327</v>
      </c>
      <c r="C4970" s="9" t="s">
        <v>8</v>
      </c>
      <c r="D4970" s="8">
        <v>1</v>
      </c>
    </row>
    <row r="4971" spans="1:4" x14ac:dyDescent="0.35">
      <c r="A4971" t="str">
        <f t="shared" si="84"/>
        <v>327Expectancy</v>
      </c>
      <c r="B4971">
        <v>327</v>
      </c>
      <c r="C4971" s="9" t="s">
        <v>31</v>
      </c>
      <c r="D4971" s="8">
        <v>-0.9</v>
      </c>
    </row>
    <row r="4972" spans="1:4" x14ac:dyDescent="0.35">
      <c r="A4972" t="str">
        <f t="shared" si="84"/>
        <v>327Net Profit</v>
      </c>
      <c r="B4972">
        <v>327</v>
      </c>
      <c r="C4972" s="9" t="s">
        <v>32</v>
      </c>
      <c r="D4972" s="8">
        <v>-1.00017</v>
      </c>
    </row>
    <row r="4973" spans="1:4" x14ac:dyDescent="0.35">
      <c r="A4973" t="str">
        <f t="shared" si="84"/>
        <v>327Loss Rate</v>
      </c>
      <c r="B4973">
        <v>327</v>
      </c>
      <c r="C4973" s="9" t="s">
        <v>33</v>
      </c>
      <c r="D4973" s="8">
        <v>0.96</v>
      </c>
    </row>
    <row r="4974" spans="1:4" x14ac:dyDescent="0.35">
      <c r="A4974" t="str">
        <f t="shared" si="84"/>
        <v>327Win Rate</v>
      </c>
      <c r="B4974">
        <v>327</v>
      </c>
      <c r="C4974" s="9" t="s">
        <v>34</v>
      </c>
      <c r="D4974" s="8">
        <v>0.04</v>
      </c>
    </row>
    <row r="4975" spans="1:4" x14ac:dyDescent="0.35">
      <c r="A4975" t="str">
        <f t="shared" si="84"/>
        <v>327Profit-Loss Ratio</v>
      </c>
      <c r="B4975">
        <v>327</v>
      </c>
      <c r="C4975" s="9" t="s">
        <v>26</v>
      </c>
      <c r="D4975" s="8">
        <v>1.59</v>
      </c>
    </row>
    <row r="4976" spans="1:4" x14ac:dyDescent="0.35">
      <c r="A4976" t="str">
        <f t="shared" si="84"/>
        <v>327Alpha</v>
      </c>
      <c r="B4976">
        <v>327</v>
      </c>
      <c r="C4976" s="9" t="s">
        <v>23</v>
      </c>
      <c r="D4976" s="8">
        <v>3.4910000000000001</v>
      </c>
    </row>
    <row r="4977" spans="1:4" x14ac:dyDescent="0.35">
      <c r="A4977" t="str">
        <f t="shared" si="84"/>
        <v>327Beta</v>
      </c>
      <c r="B4977">
        <v>327</v>
      </c>
      <c r="C4977" s="9" t="s">
        <v>24</v>
      </c>
      <c r="D4977" s="8">
        <v>-32.072000000000003</v>
      </c>
    </row>
    <row r="4978" spans="1:4" x14ac:dyDescent="0.35">
      <c r="A4978" t="str">
        <f t="shared" si="84"/>
        <v>327Annual Standard Deviation</v>
      </c>
      <c r="B4978">
        <v>327</v>
      </c>
      <c r="C4978" s="9" t="s">
        <v>35</v>
      </c>
      <c r="D4978" s="8">
        <v>4.3239999999999998</v>
      </c>
    </row>
    <row r="4979" spans="1:4" x14ac:dyDescent="0.35">
      <c r="A4979" t="str">
        <f t="shared" si="84"/>
        <v>327Annual Variance</v>
      </c>
      <c r="B4979">
        <v>327</v>
      </c>
      <c r="C4979" s="9" t="s">
        <v>36</v>
      </c>
      <c r="D4979" s="8">
        <v>18.696000000000002</v>
      </c>
    </row>
    <row r="4980" spans="1:4" x14ac:dyDescent="0.35">
      <c r="A4980" t="str">
        <f t="shared" si="84"/>
        <v>327Information Ratio</v>
      </c>
      <c r="B4980">
        <v>327</v>
      </c>
      <c r="C4980" s="9" t="s">
        <v>37</v>
      </c>
      <c r="D4980" s="8">
        <v>0.433</v>
      </c>
    </row>
    <row r="4981" spans="1:4" x14ac:dyDescent="0.35">
      <c r="A4981" t="str">
        <f t="shared" si="84"/>
        <v>327Tracking Error</v>
      </c>
      <c r="B4981">
        <v>327</v>
      </c>
      <c r="C4981" s="9" t="s">
        <v>38</v>
      </c>
      <c r="D4981" s="8">
        <v>4.3579999999999997</v>
      </c>
    </row>
    <row r="4982" spans="1:4" x14ac:dyDescent="0.35">
      <c r="A4982" t="str">
        <f t="shared" si="84"/>
        <v>327Treynor Ratio</v>
      </c>
      <c r="B4982">
        <v>327</v>
      </c>
      <c r="C4982" s="9" t="s">
        <v>39</v>
      </c>
      <c r="D4982" s="8">
        <v>-0.06</v>
      </c>
    </row>
    <row r="4983" spans="1:4" x14ac:dyDescent="0.35">
      <c r="A4983" t="str">
        <f t="shared" si="84"/>
        <v>327Total Fees</v>
      </c>
      <c r="B4983">
        <v>327</v>
      </c>
      <c r="C4983" s="9" t="s">
        <v>40</v>
      </c>
      <c r="D4983" s="8">
        <v>0</v>
      </c>
    </row>
    <row r="4984" spans="1:4" x14ac:dyDescent="0.35">
      <c r="A4984" t="str">
        <f t="shared" si="84"/>
        <v>327Estimated Strategy Capacity</v>
      </c>
      <c r="B4984">
        <v>327</v>
      </c>
      <c r="C4984" s="9" t="s">
        <v>41</v>
      </c>
      <c r="D4984" s="8">
        <v>1500000</v>
      </c>
    </row>
    <row r="4985" spans="1:4" x14ac:dyDescent="0.35">
      <c r="A4985" t="str">
        <f t="shared" si="84"/>
        <v>328PSR</v>
      </c>
      <c r="B4985">
        <v>328</v>
      </c>
      <c r="C4985" s="9" t="s">
        <v>27</v>
      </c>
      <c r="D4985" s="8">
        <v>2.1520000000000001E-2</v>
      </c>
    </row>
    <row r="4986" spans="1:4" x14ac:dyDescent="0.35">
      <c r="A4986" t="str">
        <f t="shared" si="84"/>
        <v>328Sharpe Ratio</v>
      </c>
      <c r="B4986">
        <v>328</v>
      </c>
      <c r="C4986" s="9" t="s">
        <v>1</v>
      </c>
      <c r="D4986" s="8">
        <v>-1.0489999999999999</v>
      </c>
    </row>
    <row r="4987" spans="1:4" x14ac:dyDescent="0.35">
      <c r="A4987" t="str">
        <f t="shared" si="84"/>
        <v>328Total Trades</v>
      </c>
      <c r="B4987">
        <v>328</v>
      </c>
      <c r="C4987" s="9" t="s">
        <v>28</v>
      </c>
      <c r="D4987" s="8">
        <v>223</v>
      </c>
    </row>
    <row r="4988" spans="1:4" x14ac:dyDescent="0.35">
      <c r="A4988" t="str">
        <f t="shared" si="84"/>
        <v>328Average Win</v>
      </c>
      <c r="B4988">
        <v>328</v>
      </c>
      <c r="C4988" s="9" t="s">
        <v>25</v>
      </c>
      <c r="D4988" s="8">
        <v>5.3E-3</v>
      </c>
    </row>
    <row r="4989" spans="1:4" x14ac:dyDescent="0.35">
      <c r="A4989" t="str">
        <f t="shared" ref="A4989:A5052" si="85">B4989&amp;C4989</f>
        <v>328Average Loss</v>
      </c>
      <c r="B4989">
        <v>328</v>
      </c>
      <c r="C4989" s="9" t="s">
        <v>29</v>
      </c>
      <c r="D4989" s="8">
        <v>-5.3800000000000001E-2</v>
      </c>
    </row>
    <row r="4990" spans="1:4" x14ac:dyDescent="0.35">
      <c r="A4990" t="str">
        <f t="shared" si="85"/>
        <v>328Compounding Annual Return</v>
      </c>
      <c r="B4990">
        <v>328</v>
      </c>
      <c r="C4990" s="9" t="s">
        <v>30</v>
      </c>
      <c r="D4990" s="8">
        <v>-0.29809000000000002</v>
      </c>
    </row>
    <row r="4991" spans="1:4" x14ac:dyDescent="0.35">
      <c r="A4991" t="str">
        <f t="shared" si="85"/>
        <v>328Drawdown</v>
      </c>
      <c r="B4991">
        <v>328</v>
      </c>
      <c r="C4991" s="9" t="s">
        <v>8</v>
      </c>
      <c r="D4991" s="8">
        <v>0.251</v>
      </c>
    </row>
    <row r="4992" spans="1:4" x14ac:dyDescent="0.35">
      <c r="A4992" t="str">
        <f t="shared" si="85"/>
        <v>328Expectancy</v>
      </c>
      <c r="B4992">
        <v>328</v>
      </c>
      <c r="C4992" s="9" t="s">
        <v>31</v>
      </c>
      <c r="D4992" s="8">
        <v>-0.53</v>
      </c>
    </row>
    <row r="4993" spans="1:4" x14ac:dyDescent="0.35">
      <c r="A4993" t="str">
        <f t="shared" si="85"/>
        <v>328Net Profit</v>
      </c>
      <c r="B4993">
        <v>328</v>
      </c>
      <c r="C4993" s="9" t="s">
        <v>32</v>
      </c>
      <c r="D4993" s="8">
        <v>-0.20529</v>
      </c>
    </row>
    <row r="4994" spans="1:4" x14ac:dyDescent="0.35">
      <c r="A4994" t="str">
        <f t="shared" si="85"/>
        <v>328Loss Rate</v>
      </c>
      <c r="B4994">
        <v>328</v>
      </c>
      <c r="C4994" s="9" t="s">
        <v>33</v>
      </c>
      <c r="D4994" s="8">
        <v>0.56999999999999995</v>
      </c>
    </row>
    <row r="4995" spans="1:4" x14ac:dyDescent="0.35">
      <c r="A4995" t="str">
        <f t="shared" si="85"/>
        <v>328Win Rate</v>
      </c>
      <c r="B4995">
        <v>328</v>
      </c>
      <c r="C4995" s="9" t="s">
        <v>34</v>
      </c>
      <c r="D4995" s="8">
        <v>0.43</v>
      </c>
    </row>
    <row r="4996" spans="1:4" x14ac:dyDescent="0.35">
      <c r="A4996" t="str">
        <f t="shared" si="85"/>
        <v>328Profit-Loss Ratio</v>
      </c>
      <c r="B4996">
        <v>328</v>
      </c>
      <c r="C4996" s="9" t="s">
        <v>26</v>
      </c>
      <c r="D4996" s="8">
        <v>0.1</v>
      </c>
    </row>
    <row r="4997" spans="1:4" x14ac:dyDescent="0.35">
      <c r="A4997" t="str">
        <f t="shared" si="85"/>
        <v>328Alpha</v>
      </c>
      <c r="B4997">
        <v>328</v>
      </c>
      <c r="C4997" s="9" t="s">
        <v>23</v>
      </c>
      <c r="D4997" s="8">
        <v>-0.122</v>
      </c>
    </row>
    <row r="4998" spans="1:4" x14ac:dyDescent="0.35">
      <c r="A4998" t="str">
        <f t="shared" si="85"/>
        <v>328Beta</v>
      </c>
      <c r="B4998">
        <v>328</v>
      </c>
      <c r="C4998" s="9" t="s">
        <v>24</v>
      </c>
      <c r="D4998" s="8">
        <v>-1.454</v>
      </c>
    </row>
    <row r="4999" spans="1:4" x14ac:dyDescent="0.35">
      <c r="A4999" t="str">
        <f t="shared" si="85"/>
        <v>328Annual Standard Deviation</v>
      </c>
      <c r="B4999">
        <v>328</v>
      </c>
      <c r="C4999" s="9" t="s">
        <v>35</v>
      </c>
      <c r="D4999" s="8">
        <v>0.193</v>
      </c>
    </row>
    <row r="5000" spans="1:4" x14ac:dyDescent="0.35">
      <c r="A5000" t="str">
        <f t="shared" si="85"/>
        <v>328Annual Variance</v>
      </c>
      <c r="B5000">
        <v>328</v>
      </c>
      <c r="C5000" s="9" t="s">
        <v>36</v>
      </c>
      <c r="D5000" s="8">
        <v>3.6999999999999998E-2</v>
      </c>
    </row>
    <row r="5001" spans="1:4" x14ac:dyDescent="0.35">
      <c r="A5001" t="str">
        <f t="shared" si="85"/>
        <v>328Information Ratio</v>
      </c>
      <c r="B5001">
        <v>328</v>
      </c>
      <c r="C5001" s="9" t="s">
        <v>37</v>
      </c>
      <c r="D5001" s="8">
        <v>-1.105</v>
      </c>
    </row>
    <row r="5002" spans="1:4" x14ac:dyDescent="0.35">
      <c r="A5002" t="str">
        <f t="shared" si="85"/>
        <v>328Tracking Error</v>
      </c>
      <c r="B5002">
        <v>328</v>
      </c>
      <c r="C5002" s="9" t="s">
        <v>38</v>
      </c>
      <c r="D5002" s="8">
        <v>0.23400000000000001</v>
      </c>
    </row>
    <row r="5003" spans="1:4" x14ac:dyDescent="0.35">
      <c r="A5003" t="str">
        <f t="shared" si="85"/>
        <v>328Treynor Ratio</v>
      </c>
      <c r="B5003">
        <v>328</v>
      </c>
      <c r="C5003" s="9" t="s">
        <v>39</v>
      </c>
      <c r="D5003" s="8">
        <v>0.14000000000000001</v>
      </c>
    </row>
    <row r="5004" spans="1:4" x14ac:dyDescent="0.35">
      <c r="A5004" t="str">
        <f t="shared" si="85"/>
        <v>328Total Fees</v>
      </c>
      <c r="B5004">
        <v>328</v>
      </c>
      <c r="C5004" s="9" t="s">
        <v>40</v>
      </c>
      <c r="D5004" s="8">
        <v>0</v>
      </c>
    </row>
    <row r="5005" spans="1:4" x14ac:dyDescent="0.35">
      <c r="A5005" t="str">
        <f t="shared" si="85"/>
        <v>328Estimated Strategy Capacity</v>
      </c>
      <c r="B5005">
        <v>328</v>
      </c>
      <c r="C5005" s="9" t="s">
        <v>41</v>
      </c>
      <c r="D5005" s="8">
        <v>43000000</v>
      </c>
    </row>
    <row r="5006" spans="1:4" x14ac:dyDescent="0.35">
      <c r="A5006" t="str">
        <f t="shared" si="85"/>
        <v>329PSR</v>
      </c>
      <c r="B5006">
        <v>329</v>
      </c>
      <c r="C5006" s="9" t="s">
        <v>27</v>
      </c>
      <c r="D5006" s="8">
        <v>9.2200000000000008E-3</v>
      </c>
    </row>
    <row r="5007" spans="1:4" x14ac:dyDescent="0.35">
      <c r="A5007" t="str">
        <f t="shared" si="85"/>
        <v>329Sharpe Ratio</v>
      </c>
      <c r="B5007">
        <v>329</v>
      </c>
      <c r="C5007" s="9" t="s">
        <v>1</v>
      </c>
      <c r="D5007" s="8">
        <v>-0.35499999999999998</v>
      </c>
    </row>
    <row r="5008" spans="1:4" x14ac:dyDescent="0.35">
      <c r="A5008" t="str">
        <f t="shared" si="85"/>
        <v>329Total Trades</v>
      </c>
      <c r="B5008">
        <v>329</v>
      </c>
      <c r="C5008" s="9" t="s">
        <v>28</v>
      </c>
      <c r="D5008" s="8">
        <v>231</v>
      </c>
    </row>
    <row r="5009" spans="1:4" x14ac:dyDescent="0.35">
      <c r="A5009" t="str">
        <f t="shared" si="85"/>
        <v>329Average Win</v>
      </c>
      <c r="B5009">
        <v>329</v>
      </c>
      <c r="C5009" s="9" t="s">
        <v>25</v>
      </c>
      <c r="D5009" s="8">
        <v>9.2600000000000002E-2</v>
      </c>
    </row>
    <row r="5010" spans="1:4" x14ac:dyDescent="0.35">
      <c r="A5010" t="str">
        <f t="shared" si="85"/>
        <v>329Average Loss</v>
      </c>
      <c r="B5010">
        <v>329</v>
      </c>
      <c r="C5010" s="9" t="s">
        <v>29</v>
      </c>
      <c r="D5010" s="8">
        <v>-5.3600000000000002E-2</v>
      </c>
    </row>
    <row r="5011" spans="1:4" x14ac:dyDescent="0.35">
      <c r="A5011" t="str">
        <f t="shared" si="85"/>
        <v>329Compounding Annual Return</v>
      </c>
      <c r="B5011">
        <v>329</v>
      </c>
      <c r="C5011" s="9" t="s">
        <v>30</v>
      </c>
      <c r="D5011" s="8">
        <v>0</v>
      </c>
    </row>
    <row r="5012" spans="1:4" x14ac:dyDescent="0.35">
      <c r="A5012" t="str">
        <f t="shared" si="85"/>
        <v>329Drawdown</v>
      </c>
      <c r="B5012">
        <v>329</v>
      </c>
      <c r="C5012" s="9" t="s">
        <v>8</v>
      </c>
      <c r="D5012" s="8">
        <v>1</v>
      </c>
    </row>
    <row r="5013" spans="1:4" x14ac:dyDescent="0.35">
      <c r="A5013" t="str">
        <f t="shared" si="85"/>
        <v>329Expectancy</v>
      </c>
      <c r="B5013">
        <v>329</v>
      </c>
      <c r="C5013" s="9" t="s">
        <v>31</v>
      </c>
      <c r="D5013" s="8">
        <v>-0.91300000000000003</v>
      </c>
    </row>
    <row r="5014" spans="1:4" x14ac:dyDescent="0.35">
      <c r="A5014" t="str">
        <f t="shared" si="85"/>
        <v>329Net Profit</v>
      </c>
      <c r="B5014">
        <v>329</v>
      </c>
      <c r="C5014" s="9" t="s">
        <v>32</v>
      </c>
      <c r="D5014" s="8">
        <v>-1.0000199999999999</v>
      </c>
    </row>
    <row r="5015" spans="1:4" x14ac:dyDescent="0.35">
      <c r="A5015" t="str">
        <f t="shared" si="85"/>
        <v>329Loss Rate</v>
      </c>
      <c r="B5015">
        <v>329</v>
      </c>
      <c r="C5015" s="9" t="s">
        <v>33</v>
      </c>
      <c r="D5015" s="8">
        <v>0.97</v>
      </c>
    </row>
    <row r="5016" spans="1:4" x14ac:dyDescent="0.35">
      <c r="A5016" t="str">
        <f t="shared" si="85"/>
        <v>329Win Rate</v>
      </c>
      <c r="B5016">
        <v>329</v>
      </c>
      <c r="C5016" s="9" t="s">
        <v>34</v>
      </c>
      <c r="D5016" s="8">
        <v>0.03</v>
      </c>
    </row>
    <row r="5017" spans="1:4" x14ac:dyDescent="0.35">
      <c r="A5017" t="str">
        <f t="shared" si="85"/>
        <v>329Profit-Loss Ratio</v>
      </c>
      <c r="B5017">
        <v>329</v>
      </c>
      <c r="C5017" s="9" t="s">
        <v>26</v>
      </c>
      <c r="D5017" s="8">
        <v>1.73</v>
      </c>
    </row>
    <row r="5018" spans="1:4" x14ac:dyDescent="0.35">
      <c r="A5018" t="str">
        <f t="shared" si="85"/>
        <v>329Alpha</v>
      </c>
      <c r="B5018">
        <v>329</v>
      </c>
      <c r="C5018" s="9" t="s">
        <v>23</v>
      </c>
      <c r="D5018" s="8">
        <v>0.22700000000000001</v>
      </c>
    </row>
    <row r="5019" spans="1:4" x14ac:dyDescent="0.35">
      <c r="A5019" t="str">
        <f t="shared" si="85"/>
        <v>329Beta</v>
      </c>
      <c r="B5019">
        <v>329</v>
      </c>
      <c r="C5019" s="9" t="s">
        <v>24</v>
      </c>
      <c r="D5019" s="8">
        <v>-21.396000000000001</v>
      </c>
    </row>
    <row r="5020" spans="1:4" x14ac:dyDescent="0.35">
      <c r="A5020" t="str">
        <f t="shared" si="85"/>
        <v>329Annual Standard Deviation</v>
      </c>
      <c r="B5020">
        <v>329</v>
      </c>
      <c r="C5020" s="9" t="s">
        <v>35</v>
      </c>
      <c r="D5020" s="8">
        <v>2.7650000000000001</v>
      </c>
    </row>
    <row r="5021" spans="1:4" x14ac:dyDescent="0.35">
      <c r="A5021" t="str">
        <f t="shared" si="85"/>
        <v>329Annual Variance</v>
      </c>
      <c r="B5021">
        <v>329</v>
      </c>
      <c r="C5021" s="9" t="s">
        <v>36</v>
      </c>
      <c r="D5021" s="8">
        <v>7.6479999999999997</v>
      </c>
    </row>
    <row r="5022" spans="1:4" x14ac:dyDescent="0.35">
      <c r="A5022" t="str">
        <f t="shared" si="85"/>
        <v>329Information Ratio</v>
      </c>
      <c r="B5022">
        <v>329</v>
      </c>
      <c r="C5022" s="9" t="s">
        <v>37</v>
      </c>
      <c r="D5022" s="8">
        <v>-0.37</v>
      </c>
    </row>
    <row r="5023" spans="1:4" x14ac:dyDescent="0.35">
      <c r="A5023" t="str">
        <f t="shared" si="85"/>
        <v>329Tracking Error</v>
      </c>
      <c r="B5023">
        <v>329</v>
      </c>
      <c r="C5023" s="9" t="s">
        <v>38</v>
      </c>
      <c r="D5023" s="8">
        <v>2.8</v>
      </c>
    </row>
    <row r="5024" spans="1:4" x14ac:dyDescent="0.35">
      <c r="A5024" t="str">
        <f t="shared" si="85"/>
        <v>329Treynor Ratio</v>
      </c>
      <c r="B5024">
        <v>329</v>
      </c>
      <c r="C5024" s="9" t="s">
        <v>39</v>
      </c>
      <c r="D5024" s="8">
        <v>4.5999999999999999E-2</v>
      </c>
    </row>
    <row r="5025" spans="1:4" x14ac:dyDescent="0.35">
      <c r="A5025" t="str">
        <f t="shared" si="85"/>
        <v>329Total Fees</v>
      </c>
      <c r="B5025">
        <v>329</v>
      </c>
      <c r="C5025" s="9" t="s">
        <v>40</v>
      </c>
      <c r="D5025" s="8">
        <v>0</v>
      </c>
    </row>
    <row r="5026" spans="1:4" x14ac:dyDescent="0.35">
      <c r="A5026" t="str">
        <f t="shared" si="85"/>
        <v>329Estimated Strategy Capacity</v>
      </c>
      <c r="B5026">
        <v>329</v>
      </c>
      <c r="C5026" s="9" t="s">
        <v>41</v>
      </c>
      <c r="D5026" s="8">
        <v>2100000</v>
      </c>
    </row>
    <row r="5027" spans="1:4" x14ac:dyDescent="0.35">
      <c r="A5027" t="str">
        <f t="shared" si="85"/>
        <v>330PSR</v>
      </c>
      <c r="B5027">
        <v>330</v>
      </c>
      <c r="C5027" s="20" t="s">
        <v>27</v>
      </c>
      <c r="D5027" s="8">
        <v>3.8760000000000003E-2</v>
      </c>
    </row>
    <row r="5028" spans="1:4" x14ac:dyDescent="0.35">
      <c r="A5028" t="str">
        <f t="shared" si="85"/>
        <v>330Sharpe Ratio</v>
      </c>
      <c r="B5028">
        <v>330</v>
      </c>
      <c r="C5028" s="20" t="s">
        <v>1</v>
      </c>
      <c r="D5028" s="8">
        <v>-0.318</v>
      </c>
    </row>
    <row r="5029" spans="1:4" x14ac:dyDescent="0.35">
      <c r="A5029" t="str">
        <f t="shared" si="85"/>
        <v>330Total Trades</v>
      </c>
      <c r="B5029">
        <v>330</v>
      </c>
      <c r="C5029" s="20" t="s">
        <v>28</v>
      </c>
      <c r="D5029" s="8">
        <v>226</v>
      </c>
    </row>
    <row r="5030" spans="1:4" x14ac:dyDescent="0.35">
      <c r="A5030" t="str">
        <f t="shared" si="85"/>
        <v>330Average Win</v>
      </c>
      <c r="B5030">
        <v>330</v>
      </c>
      <c r="C5030" s="20" t="s">
        <v>25</v>
      </c>
      <c r="D5030" s="8">
        <v>3.8699999999999998E-2</v>
      </c>
    </row>
    <row r="5031" spans="1:4" x14ac:dyDescent="0.35">
      <c r="A5031" t="str">
        <f t="shared" si="85"/>
        <v>330Average Loss</v>
      </c>
      <c r="B5031">
        <v>330</v>
      </c>
      <c r="C5031" s="20" t="s">
        <v>29</v>
      </c>
      <c r="D5031" s="8">
        <v>-4.5900000000000003E-2</v>
      </c>
    </row>
    <row r="5032" spans="1:4" x14ac:dyDescent="0.35">
      <c r="A5032" t="str">
        <f t="shared" si="85"/>
        <v>330Compounding Annual Return</v>
      </c>
      <c r="B5032">
        <v>330</v>
      </c>
      <c r="C5032" s="20" t="s">
        <v>30</v>
      </c>
      <c r="D5032" s="8">
        <v>0</v>
      </c>
    </row>
    <row r="5033" spans="1:4" x14ac:dyDescent="0.35">
      <c r="A5033" t="str">
        <f t="shared" si="85"/>
        <v>330Drawdown</v>
      </c>
      <c r="B5033">
        <v>330</v>
      </c>
      <c r="C5033" s="20" t="s">
        <v>8</v>
      </c>
      <c r="D5033" s="8">
        <v>1</v>
      </c>
    </row>
    <row r="5034" spans="1:4" x14ac:dyDescent="0.35">
      <c r="A5034" t="str">
        <f t="shared" si="85"/>
        <v>330Expectancy</v>
      </c>
      <c r="B5034">
        <v>330</v>
      </c>
      <c r="C5034" s="20" t="s">
        <v>31</v>
      </c>
      <c r="D5034" s="8">
        <v>-0.92900000000000005</v>
      </c>
    </row>
    <row r="5035" spans="1:4" x14ac:dyDescent="0.35">
      <c r="A5035" t="str">
        <f t="shared" si="85"/>
        <v>330Net Profit</v>
      </c>
      <c r="B5035">
        <v>330</v>
      </c>
      <c r="C5035" s="20" t="s">
        <v>32</v>
      </c>
      <c r="D5035" s="8">
        <v>-1.0000199999999999</v>
      </c>
    </row>
    <row r="5036" spans="1:4" x14ac:dyDescent="0.35">
      <c r="A5036" t="str">
        <f t="shared" si="85"/>
        <v>330Loss Rate</v>
      </c>
      <c r="B5036">
        <v>330</v>
      </c>
      <c r="C5036" s="20" t="s">
        <v>33</v>
      </c>
      <c r="D5036" s="8">
        <v>0.96</v>
      </c>
    </row>
    <row r="5037" spans="1:4" x14ac:dyDescent="0.35">
      <c r="A5037" t="str">
        <f t="shared" si="85"/>
        <v>330Win Rate</v>
      </c>
      <c r="B5037">
        <v>330</v>
      </c>
      <c r="C5037" s="20" t="s">
        <v>34</v>
      </c>
      <c r="D5037" s="8">
        <v>0.04</v>
      </c>
    </row>
    <row r="5038" spans="1:4" x14ac:dyDescent="0.35">
      <c r="A5038" t="str">
        <f t="shared" si="85"/>
        <v>330Profit-Loss Ratio</v>
      </c>
      <c r="B5038">
        <v>330</v>
      </c>
      <c r="C5038" s="20" t="s">
        <v>26</v>
      </c>
      <c r="D5038" s="8">
        <v>0.84</v>
      </c>
    </row>
    <row r="5039" spans="1:4" x14ac:dyDescent="0.35">
      <c r="A5039" t="str">
        <f t="shared" si="85"/>
        <v>330Alpha</v>
      </c>
      <c r="B5039">
        <v>330</v>
      </c>
      <c r="C5039" s="20" t="s">
        <v>23</v>
      </c>
      <c r="D5039" s="8">
        <v>0.45600000000000002</v>
      </c>
    </row>
    <row r="5040" spans="1:4" x14ac:dyDescent="0.35">
      <c r="A5040" t="str">
        <f t="shared" si="85"/>
        <v>330Beta</v>
      </c>
      <c r="B5040">
        <v>330</v>
      </c>
      <c r="C5040" s="20" t="s">
        <v>24</v>
      </c>
      <c r="D5040" s="8">
        <v>-25.084</v>
      </c>
    </row>
    <row r="5041" spans="1:4" x14ac:dyDescent="0.35">
      <c r="A5041" t="str">
        <f t="shared" si="85"/>
        <v>330Annual Standard Deviation</v>
      </c>
      <c r="B5041">
        <v>330</v>
      </c>
      <c r="C5041" s="20" t="s">
        <v>35</v>
      </c>
      <c r="D5041" s="8">
        <v>2.8959999999999999</v>
      </c>
    </row>
    <row r="5042" spans="1:4" x14ac:dyDescent="0.35">
      <c r="A5042" t="str">
        <f t="shared" si="85"/>
        <v>330Annual Variance</v>
      </c>
      <c r="B5042">
        <v>330</v>
      </c>
      <c r="C5042" s="20" t="s">
        <v>36</v>
      </c>
      <c r="D5042" s="8">
        <v>8.3840000000000003</v>
      </c>
    </row>
    <row r="5043" spans="1:4" x14ac:dyDescent="0.35">
      <c r="A5043" t="str">
        <f t="shared" si="85"/>
        <v>330Information Ratio</v>
      </c>
      <c r="B5043">
        <v>330</v>
      </c>
      <c r="C5043" s="20" t="s">
        <v>37</v>
      </c>
      <c r="D5043" s="8">
        <v>-0.33200000000000002</v>
      </c>
    </row>
    <row r="5044" spans="1:4" x14ac:dyDescent="0.35">
      <c r="A5044" t="str">
        <f t="shared" si="85"/>
        <v>330Tracking Error</v>
      </c>
      <c r="B5044">
        <v>330</v>
      </c>
      <c r="C5044" s="20" t="s">
        <v>38</v>
      </c>
      <c r="D5044" s="8">
        <v>2.9340000000000002</v>
      </c>
    </row>
    <row r="5045" spans="1:4" x14ac:dyDescent="0.35">
      <c r="A5045" t="str">
        <f t="shared" si="85"/>
        <v>330Treynor Ratio</v>
      </c>
      <c r="B5045">
        <v>330</v>
      </c>
      <c r="C5045" s="20" t="s">
        <v>39</v>
      </c>
      <c r="D5045" s="8">
        <v>3.6999999999999998E-2</v>
      </c>
    </row>
    <row r="5046" spans="1:4" x14ac:dyDescent="0.35">
      <c r="A5046" t="str">
        <f t="shared" si="85"/>
        <v>330Total Fees</v>
      </c>
      <c r="B5046">
        <v>330</v>
      </c>
      <c r="C5046" s="20" t="s">
        <v>40</v>
      </c>
      <c r="D5046" s="8">
        <v>0</v>
      </c>
    </row>
    <row r="5047" spans="1:4" x14ac:dyDescent="0.35">
      <c r="A5047" t="str">
        <f t="shared" si="85"/>
        <v>330Estimated Strategy Capacity</v>
      </c>
      <c r="B5047">
        <v>330</v>
      </c>
      <c r="C5047" s="20" t="s">
        <v>41</v>
      </c>
      <c r="D5047" s="8">
        <v>1300000</v>
      </c>
    </row>
    <row r="5048" spans="1:4" x14ac:dyDescent="0.35">
      <c r="A5048" t="str">
        <f t="shared" si="85"/>
        <v>331PSR</v>
      </c>
      <c r="B5048">
        <v>331</v>
      </c>
      <c r="C5048" s="20" t="s">
        <v>27</v>
      </c>
      <c r="D5048" s="8">
        <v>8.5379999999999998E-2</v>
      </c>
    </row>
    <row r="5049" spans="1:4" x14ac:dyDescent="0.35">
      <c r="A5049" t="str">
        <f t="shared" si="85"/>
        <v>331Sharpe Ratio</v>
      </c>
      <c r="B5049">
        <v>331</v>
      </c>
      <c r="C5049" s="20" t="s">
        <v>1</v>
      </c>
      <c r="D5049" s="8">
        <v>-0.39</v>
      </c>
    </row>
    <row r="5050" spans="1:4" x14ac:dyDescent="0.35">
      <c r="A5050" t="str">
        <f t="shared" si="85"/>
        <v>331Total Trades</v>
      </c>
      <c r="B5050">
        <v>331</v>
      </c>
      <c r="C5050" s="20" t="s">
        <v>28</v>
      </c>
      <c r="D5050" s="8">
        <v>165</v>
      </c>
    </row>
    <row r="5051" spans="1:4" x14ac:dyDescent="0.35">
      <c r="A5051" t="str">
        <f t="shared" si="85"/>
        <v>331Average Win</v>
      </c>
      <c r="B5051">
        <v>331</v>
      </c>
      <c r="C5051" s="20" t="s">
        <v>25</v>
      </c>
      <c r="D5051" s="8">
        <v>1.3299999999999999E-2</v>
      </c>
    </row>
    <row r="5052" spans="1:4" x14ac:dyDescent="0.35">
      <c r="A5052" t="str">
        <f t="shared" si="85"/>
        <v>331Average Loss</v>
      </c>
      <c r="B5052">
        <v>331</v>
      </c>
      <c r="C5052" s="20" t="s">
        <v>29</v>
      </c>
      <c r="D5052" s="8">
        <v>-1.89E-2</v>
      </c>
    </row>
    <row r="5053" spans="1:4" x14ac:dyDescent="0.35">
      <c r="A5053" t="str">
        <f t="shared" ref="A5053:A5069" si="86">B5053&amp;C5053</f>
        <v>331Compounding Annual Return</v>
      </c>
      <c r="B5053">
        <v>331</v>
      </c>
      <c r="C5053" s="20" t="s">
        <v>30</v>
      </c>
      <c r="D5053" s="8">
        <v>-5.6239999999999998E-2</v>
      </c>
    </row>
    <row r="5054" spans="1:4" x14ac:dyDescent="0.35">
      <c r="A5054" t="str">
        <f t="shared" si="86"/>
        <v>331Drawdown</v>
      </c>
      <c r="B5054">
        <v>331</v>
      </c>
      <c r="C5054" s="20" t="s">
        <v>8</v>
      </c>
      <c r="D5054" s="8">
        <v>8.1000000000000003E-2</v>
      </c>
    </row>
    <row r="5055" spans="1:4" x14ac:dyDescent="0.35">
      <c r="A5055" t="str">
        <f t="shared" si="86"/>
        <v>331Expectancy</v>
      </c>
      <c r="B5055">
        <v>331</v>
      </c>
      <c r="C5055" s="20" t="s">
        <v>31</v>
      </c>
      <c r="D5055" s="8">
        <v>-0.318</v>
      </c>
    </row>
    <row r="5056" spans="1:4" x14ac:dyDescent="0.35">
      <c r="A5056" t="str">
        <f t="shared" si="86"/>
        <v>331Net Profit</v>
      </c>
      <c r="B5056">
        <v>331</v>
      </c>
      <c r="C5056" s="20" t="s">
        <v>32</v>
      </c>
      <c r="D5056" s="8">
        <v>-3.6880000000000003E-2</v>
      </c>
    </row>
    <row r="5057" spans="1:4" x14ac:dyDescent="0.35">
      <c r="A5057" t="str">
        <f t="shared" si="86"/>
        <v>331Loss Rate</v>
      </c>
      <c r="B5057">
        <v>331</v>
      </c>
      <c r="C5057" s="20" t="s">
        <v>33</v>
      </c>
      <c r="D5057" s="8">
        <v>0.6</v>
      </c>
    </row>
    <row r="5058" spans="1:4" x14ac:dyDescent="0.35">
      <c r="A5058" t="str">
        <f t="shared" si="86"/>
        <v>331Win Rate</v>
      </c>
      <c r="B5058">
        <v>331</v>
      </c>
      <c r="C5058" s="20" t="s">
        <v>34</v>
      </c>
      <c r="D5058" s="8">
        <v>0.4</v>
      </c>
    </row>
    <row r="5059" spans="1:4" x14ac:dyDescent="0.35">
      <c r="A5059" t="str">
        <f t="shared" si="86"/>
        <v>331Profit-Loss Ratio</v>
      </c>
      <c r="B5059">
        <v>331</v>
      </c>
      <c r="C5059" s="20" t="s">
        <v>26</v>
      </c>
      <c r="D5059" s="8">
        <v>0.71</v>
      </c>
    </row>
    <row r="5060" spans="1:4" x14ac:dyDescent="0.35">
      <c r="A5060" t="str">
        <f t="shared" si="86"/>
        <v>331Alpha</v>
      </c>
      <c r="B5060">
        <v>331</v>
      </c>
      <c r="C5060" s="20" t="s">
        <v>23</v>
      </c>
      <c r="D5060" s="8">
        <v>-5.0000000000000001E-3</v>
      </c>
    </row>
    <row r="5061" spans="1:4" x14ac:dyDescent="0.35">
      <c r="A5061" t="str">
        <f t="shared" si="86"/>
        <v>331Beta</v>
      </c>
      <c r="B5061">
        <v>331</v>
      </c>
      <c r="C5061" s="20" t="s">
        <v>24</v>
      </c>
      <c r="D5061" s="8">
        <v>-0.55100000000000005</v>
      </c>
    </row>
    <row r="5062" spans="1:4" x14ac:dyDescent="0.35">
      <c r="A5062" t="str">
        <f t="shared" si="86"/>
        <v>331Annual Standard Deviation</v>
      </c>
      <c r="B5062">
        <v>331</v>
      </c>
      <c r="C5062" s="20" t="s">
        <v>35</v>
      </c>
      <c r="D5062" s="8">
        <v>9.0999999999999998E-2</v>
      </c>
    </row>
    <row r="5063" spans="1:4" x14ac:dyDescent="0.35">
      <c r="A5063" t="str">
        <f t="shared" si="86"/>
        <v>331Annual Variance</v>
      </c>
      <c r="B5063">
        <v>331</v>
      </c>
      <c r="C5063" s="20" t="s">
        <v>36</v>
      </c>
      <c r="D5063" s="8">
        <v>8.0000000000000002E-3</v>
      </c>
    </row>
    <row r="5064" spans="1:4" x14ac:dyDescent="0.35">
      <c r="A5064" t="str">
        <f t="shared" si="86"/>
        <v>331Information Ratio</v>
      </c>
      <c r="B5064">
        <v>331</v>
      </c>
      <c r="C5064" s="20" t="s">
        <v>37</v>
      </c>
      <c r="D5064" s="8">
        <v>-0.68700000000000006</v>
      </c>
    </row>
    <row r="5065" spans="1:4" x14ac:dyDescent="0.35">
      <c r="A5065" t="str">
        <f t="shared" si="86"/>
        <v>331Tracking Error</v>
      </c>
      <c r="B5065">
        <v>331</v>
      </c>
      <c r="C5065" s="20" t="s">
        <v>38</v>
      </c>
      <c r="D5065" s="8">
        <v>0.13300000000000001</v>
      </c>
    </row>
    <row r="5066" spans="1:4" x14ac:dyDescent="0.35">
      <c r="A5066" t="str">
        <f t="shared" si="86"/>
        <v>331Treynor Ratio</v>
      </c>
      <c r="B5066">
        <v>331</v>
      </c>
      <c r="C5066" s="20" t="s">
        <v>39</v>
      </c>
      <c r="D5066" s="8">
        <v>6.4000000000000001E-2</v>
      </c>
    </row>
    <row r="5067" spans="1:4" x14ac:dyDescent="0.35">
      <c r="A5067" t="str">
        <f t="shared" si="86"/>
        <v>331Total Fees</v>
      </c>
      <c r="B5067">
        <v>331</v>
      </c>
      <c r="C5067" s="20" t="s">
        <v>40</v>
      </c>
      <c r="D5067" s="8">
        <v>0</v>
      </c>
    </row>
    <row r="5068" spans="1:4" x14ac:dyDescent="0.35">
      <c r="A5068" t="str">
        <f t="shared" si="86"/>
        <v>331Estimated Strategy Capacity</v>
      </c>
      <c r="B5068">
        <v>331</v>
      </c>
      <c r="C5068" s="20" t="s">
        <v>41</v>
      </c>
      <c r="D5068" s="8">
        <v>28000000</v>
      </c>
    </row>
    <row r="5069" spans="1:4" x14ac:dyDescent="0.35">
      <c r="A5069" t="str">
        <f t="shared" si="86"/>
        <v>332PSR</v>
      </c>
      <c r="B5069">
        <v>332</v>
      </c>
      <c r="C5069" s="20" t="s">
        <v>27</v>
      </c>
      <c r="D5069" s="8">
        <v>0.10802</v>
      </c>
    </row>
    <row r="5070" spans="1:4" x14ac:dyDescent="0.35">
      <c r="B5070">
        <v>332</v>
      </c>
      <c r="C5070" s="20" t="s">
        <v>1</v>
      </c>
      <c r="D5070" s="8">
        <v>-0.245</v>
      </c>
    </row>
    <row r="5071" spans="1:4" x14ac:dyDescent="0.35">
      <c r="B5071">
        <v>332</v>
      </c>
      <c r="C5071" s="20" t="s">
        <v>28</v>
      </c>
      <c r="D5071" s="8">
        <v>155</v>
      </c>
    </row>
    <row r="5072" spans="1:4" x14ac:dyDescent="0.35">
      <c r="B5072">
        <v>332</v>
      </c>
      <c r="C5072" s="20" t="s">
        <v>25</v>
      </c>
      <c r="D5072" s="8">
        <v>0.29509999999999997</v>
      </c>
    </row>
    <row r="5073" spans="2:4" x14ac:dyDescent="0.35">
      <c r="B5073">
        <v>332</v>
      </c>
      <c r="C5073" s="20" t="s">
        <v>29</v>
      </c>
      <c r="D5073" s="8">
        <v>-0.10059999999999999</v>
      </c>
    </row>
    <row r="5074" spans="2:4" x14ac:dyDescent="0.35">
      <c r="B5074">
        <v>332</v>
      </c>
      <c r="C5074" s="20" t="s">
        <v>30</v>
      </c>
      <c r="D5074" s="8">
        <v>-0.63056999999999996</v>
      </c>
    </row>
    <row r="5075" spans="2:4" x14ac:dyDescent="0.35">
      <c r="B5075">
        <v>332</v>
      </c>
      <c r="C5075" s="20" t="s">
        <v>8</v>
      </c>
      <c r="D5075" s="8">
        <v>0.63600000000000001</v>
      </c>
    </row>
    <row r="5076" spans="2:4" x14ac:dyDescent="0.35">
      <c r="B5076">
        <v>332</v>
      </c>
      <c r="C5076" s="20" t="s">
        <v>31</v>
      </c>
      <c r="D5076" s="8">
        <v>-0.50800000000000001</v>
      </c>
    </row>
    <row r="5077" spans="2:4" x14ac:dyDescent="0.35">
      <c r="B5077">
        <v>332</v>
      </c>
      <c r="C5077" s="20" t="s">
        <v>32</v>
      </c>
      <c r="D5077" s="8">
        <v>-0.47610999999999998</v>
      </c>
    </row>
    <row r="5078" spans="2:4" x14ac:dyDescent="0.35">
      <c r="B5078">
        <v>332</v>
      </c>
      <c r="C5078" s="20" t="s">
        <v>33</v>
      </c>
      <c r="D5078" s="8">
        <v>0.88</v>
      </c>
    </row>
    <row r="5079" spans="2:4" x14ac:dyDescent="0.35">
      <c r="B5079">
        <v>332</v>
      </c>
      <c r="C5079" s="20" t="s">
        <v>34</v>
      </c>
      <c r="D5079" s="8">
        <v>0.12</v>
      </c>
    </row>
    <row r="5080" spans="2:4" x14ac:dyDescent="0.35">
      <c r="B5080">
        <v>332</v>
      </c>
      <c r="C5080" s="20" t="s">
        <v>26</v>
      </c>
      <c r="D5080" s="8">
        <v>2.93</v>
      </c>
    </row>
    <row r="5081" spans="2:4" x14ac:dyDescent="0.35">
      <c r="B5081">
        <v>332</v>
      </c>
      <c r="C5081" s="20" t="s">
        <v>23</v>
      </c>
      <c r="D5081" s="8">
        <v>0.17799999999999999</v>
      </c>
    </row>
    <row r="5082" spans="2:4" x14ac:dyDescent="0.35">
      <c r="B5082">
        <v>332</v>
      </c>
      <c r="C5082" s="20" t="s">
        <v>24</v>
      </c>
      <c r="D5082" s="8">
        <v>-7.0339999999999998</v>
      </c>
    </row>
    <row r="5083" spans="2:4" x14ac:dyDescent="0.35">
      <c r="B5083">
        <v>332</v>
      </c>
      <c r="C5083" s="20" t="s">
        <v>35</v>
      </c>
      <c r="D5083" s="8">
        <v>0.91600000000000004</v>
      </c>
    </row>
    <row r="5084" spans="2:4" x14ac:dyDescent="0.35">
      <c r="B5084">
        <v>332</v>
      </c>
      <c r="C5084" s="20" t="s">
        <v>36</v>
      </c>
      <c r="D5084" s="8">
        <v>0.84</v>
      </c>
    </row>
    <row r="5085" spans="2:4" x14ac:dyDescent="0.35">
      <c r="B5085">
        <v>332</v>
      </c>
      <c r="C5085" s="20" t="s">
        <v>37</v>
      </c>
      <c r="D5085" s="8">
        <v>-0.29599999999999999</v>
      </c>
    </row>
    <row r="5086" spans="2:4" x14ac:dyDescent="0.35">
      <c r="B5086">
        <v>332</v>
      </c>
      <c r="C5086" s="20" t="s">
        <v>38</v>
      </c>
      <c r="D5086" s="8">
        <v>0.95299999999999996</v>
      </c>
    </row>
    <row r="5087" spans="2:4" x14ac:dyDescent="0.35">
      <c r="B5087">
        <v>332</v>
      </c>
      <c r="C5087" s="20" t="s">
        <v>39</v>
      </c>
      <c r="D5087" s="8">
        <v>3.2000000000000001E-2</v>
      </c>
    </row>
    <row r="5088" spans="2:4" x14ac:dyDescent="0.35">
      <c r="B5088">
        <v>332</v>
      </c>
      <c r="C5088" s="20" t="s">
        <v>40</v>
      </c>
      <c r="D5088" s="8">
        <v>0</v>
      </c>
    </row>
    <row r="5089" spans="2:4" x14ac:dyDescent="0.35">
      <c r="B5089">
        <v>332</v>
      </c>
      <c r="C5089" s="20" t="s">
        <v>41</v>
      </c>
      <c r="D5089" s="8">
        <v>2200000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6564B-EA09-45E5-9B53-1FA77696D6D0}">
  <sheetPr codeName="Sheet6"/>
  <dimension ref="A1:B24"/>
  <sheetViews>
    <sheetView workbookViewId="0">
      <selection sqref="A1:B21"/>
    </sheetView>
  </sheetViews>
  <sheetFormatPr defaultRowHeight="14.5" x14ac:dyDescent="0.35"/>
  <cols>
    <col min="1" max="1" width="19.08984375" style="10" bestFit="1" customWidth="1"/>
    <col min="2" max="2" width="14.453125" style="8" bestFit="1" customWidth="1"/>
    <col min="6" max="6" width="7.7265625" customWidth="1"/>
  </cols>
  <sheetData>
    <row r="1" spans="1:2" x14ac:dyDescent="0.35">
      <c r="A1" s="20" t="s">
        <v>27</v>
      </c>
      <c r="B1" s="8">
        <v>0.10802</v>
      </c>
    </row>
    <row r="2" spans="1:2" x14ac:dyDescent="0.35">
      <c r="A2" s="20" t="s">
        <v>1</v>
      </c>
      <c r="B2" s="8">
        <v>-0.245</v>
      </c>
    </row>
    <row r="3" spans="1:2" x14ac:dyDescent="0.35">
      <c r="A3" s="20" t="s">
        <v>28</v>
      </c>
      <c r="B3" s="8">
        <v>155</v>
      </c>
    </row>
    <row r="4" spans="1:2" x14ac:dyDescent="0.35">
      <c r="A4" s="20" t="s">
        <v>25</v>
      </c>
      <c r="B4" s="8">
        <v>0.29509999999999997</v>
      </c>
    </row>
    <row r="5" spans="1:2" x14ac:dyDescent="0.35">
      <c r="A5" s="20" t="s">
        <v>29</v>
      </c>
      <c r="B5" s="8">
        <v>-0.10059999999999999</v>
      </c>
    </row>
    <row r="6" spans="1:2" x14ac:dyDescent="0.35">
      <c r="A6" s="20" t="s">
        <v>30</v>
      </c>
      <c r="B6" s="8">
        <v>-0.63056999999999996</v>
      </c>
    </row>
    <row r="7" spans="1:2" x14ac:dyDescent="0.35">
      <c r="A7" s="20" t="s">
        <v>8</v>
      </c>
      <c r="B7" s="8">
        <v>0.63600000000000001</v>
      </c>
    </row>
    <row r="8" spans="1:2" x14ac:dyDescent="0.35">
      <c r="A8" s="20" t="s">
        <v>31</v>
      </c>
      <c r="B8" s="8">
        <v>-0.50800000000000001</v>
      </c>
    </row>
    <row r="9" spans="1:2" x14ac:dyDescent="0.35">
      <c r="A9" s="20" t="s">
        <v>32</v>
      </c>
      <c r="B9" s="8">
        <v>-0.47610999999999998</v>
      </c>
    </row>
    <row r="10" spans="1:2" x14ac:dyDescent="0.35">
      <c r="A10" s="20" t="s">
        <v>33</v>
      </c>
      <c r="B10" s="8">
        <v>0.88</v>
      </c>
    </row>
    <row r="11" spans="1:2" x14ac:dyDescent="0.35">
      <c r="A11" s="20" t="s">
        <v>34</v>
      </c>
      <c r="B11" s="8">
        <v>0.12</v>
      </c>
    </row>
    <row r="12" spans="1:2" x14ac:dyDescent="0.35">
      <c r="A12" s="20" t="s">
        <v>26</v>
      </c>
      <c r="B12" s="8">
        <v>2.93</v>
      </c>
    </row>
    <row r="13" spans="1:2" x14ac:dyDescent="0.35">
      <c r="A13" s="20" t="s">
        <v>23</v>
      </c>
      <c r="B13" s="8">
        <v>0.17799999999999999</v>
      </c>
    </row>
    <row r="14" spans="1:2" x14ac:dyDescent="0.35">
      <c r="A14" s="20" t="s">
        <v>24</v>
      </c>
      <c r="B14" s="8">
        <v>-7.0339999999999998</v>
      </c>
    </row>
    <row r="15" spans="1:2" x14ac:dyDescent="0.35">
      <c r="A15" s="20" t="s">
        <v>35</v>
      </c>
      <c r="B15" s="8">
        <v>0.91600000000000004</v>
      </c>
    </row>
    <row r="16" spans="1:2" x14ac:dyDescent="0.35">
      <c r="A16" s="20" t="s">
        <v>36</v>
      </c>
      <c r="B16" s="8">
        <v>0.84</v>
      </c>
    </row>
    <row r="17" spans="1:2" x14ac:dyDescent="0.35">
      <c r="A17" s="20" t="s">
        <v>37</v>
      </c>
      <c r="B17" s="8">
        <v>-0.29599999999999999</v>
      </c>
    </row>
    <row r="18" spans="1:2" x14ac:dyDescent="0.35">
      <c r="A18" s="20" t="s">
        <v>38</v>
      </c>
      <c r="B18" s="8">
        <v>0.95299999999999996</v>
      </c>
    </row>
    <row r="19" spans="1:2" x14ac:dyDescent="0.35">
      <c r="A19" s="20" t="s">
        <v>39</v>
      </c>
      <c r="B19" s="8">
        <v>3.2000000000000001E-2</v>
      </c>
    </row>
    <row r="20" spans="1:2" x14ac:dyDescent="0.35">
      <c r="A20" s="20" t="s">
        <v>40</v>
      </c>
      <c r="B20" s="8">
        <v>0</v>
      </c>
    </row>
    <row r="21" spans="1:2" x14ac:dyDescent="0.35">
      <c r="A21" s="20" t="s">
        <v>41</v>
      </c>
      <c r="B21" s="8">
        <v>2200000</v>
      </c>
    </row>
    <row r="22" spans="1:2" x14ac:dyDescent="0.35">
      <c r="A22" s="21">
        <v>2200000</v>
      </c>
      <c r="B22" s="8">
        <v>0</v>
      </c>
    </row>
    <row r="23" spans="1:2" x14ac:dyDescent="0.35">
      <c r="B23" s="8">
        <v>0</v>
      </c>
    </row>
    <row r="24" spans="1:2" x14ac:dyDescent="0.35">
      <c r="B24" s="8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F8F91-DFE3-4A02-A806-D8800C1627B2}">
  <sheetPr codeName="Sheet3"/>
  <dimension ref="A1:C7904"/>
  <sheetViews>
    <sheetView topLeftCell="A7783" workbookViewId="0">
      <selection activeCell="A7794" sqref="A7794"/>
    </sheetView>
  </sheetViews>
  <sheetFormatPr defaultRowHeight="14.5" x14ac:dyDescent="0.35"/>
  <cols>
    <col min="2" max="2" width="60.08984375" customWidth="1"/>
  </cols>
  <sheetData>
    <row r="1" spans="1:3" x14ac:dyDescent="0.35">
      <c r="A1">
        <v>1</v>
      </c>
      <c r="B1" t="s">
        <v>27</v>
      </c>
      <c r="C1" s="2">
        <f>B2</f>
        <v>0.74255000000000004</v>
      </c>
    </row>
    <row r="2" spans="1:3" x14ac:dyDescent="0.35">
      <c r="A2">
        <v>1</v>
      </c>
      <c r="B2" s="2">
        <v>0.74255000000000004</v>
      </c>
      <c r="C2" s="2" t="str">
        <f t="shared" ref="C2:C43" si="0">B3</f>
        <v>Sharpe Ratio</v>
      </c>
    </row>
    <row r="3" spans="1:3" x14ac:dyDescent="0.35">
      <c r="A3">
        <v>1</v>
      </c>
      <c r="B3" t="s">
        <v>1</v>
      </c>
      <c r="C3" s="2">
        <f t="shared" si="0"/>
        <v>1.5649999999999999</v>
      </c>
    </row>
    <row r="4" spans="1:3" x14ac:dyDescent="0.35">
      <c r="A4">
        <v>1</v>
      </c>
      <c r="B4">
        <v>1.5649999999999999</v>
      </c>
      <c r="C4" s="2" t="str">
        <f t="shared" si="0"/>
        <v>Total Trades</v>
      </c>
    </row>
    <row r="5" spans="1:3" x14ac:dyDescent="0.35">
      <c r="A5">
        <v>1</v>
      </c>
      <c r="B5" t="s">
        <v>28</v>
      </c>
      <c r="C5" s="2">
        <f t="shared" si="0"/>
        <v>312</v>
      </c>
    </row>
    <row r="6" spans="1:3" x14ac:dyDescent="0.35">
      <c r="A6">
        <v>1</v>
      </c>
      <c r="B6">
        <v>312</v>
      </c>
      <c r="C6" s="2" t="str">
        <f t="shared" si="0"/>
        <v>Average Win</v>
      </c>
    </row>
    <row r="7" spans="1:3" x14ac:dyDescent="0.35">
      <c r="A7">
        <v>1</v>
      </c>
      <c r="B7" t="s">
        <v>25</v>
      </c>
      <c r="C7" s="2">
        <f t="shared" si="0"/>
        <v>2.8999999999999998E-3</v>
      </c>
    </row>
    <row r="8" spans="1:3" x14ac:dyDescent="0.35">
      <c r="A8">
        <v>1</v>
      </c>
      <c r="B8" s="2">
        <v>2.8999999999999998E-3</v>
      </c>
      <c r="C8" s="2" t="str">
        <f t="shared" si="0"/>
        <v>Average Loss</v>
      </c>
    </row>
    <row r="9" spans="1:3" x14ac:dyDescent="0.35">
      <c r="A9">
        <v>1</v>
      </c>
      <c r="B9" t="s">
        <v>29</v>
      </c>
      <c r="C9" s="2">
        <f t="shared" si="0"/>
        <v>-1.1000000000000001E-3</v>
      </c>
    </row>
    <row r="10" spans="1:3" x14ac:dyDescent="0.35">
      <c r="A10">
        <v>1</v>
      </c>
      <c r="B10" s="2">
        <v>-1.1000000000000001E-3</v>
      </c>
      <c r="C10" s="2" t="str">
        <f t="shared" si="0"/>
        <v>Compounding Annual Return</v>
      </c>
    </row>
    <row r="11" spans="1:3" x14ac:dyDescent="0.35">
      <c r="A11">
        <v>1</v>
      </c>
      <c r="B11" t="s">
        <v>30</v>
      </c>
      <c r="C11" s="2">
        <f t="shared" si="0"/>
        <v>2.1080000000000002E-2</v>
      </c>
    </row>
    <row r="12" spans="1:3" x14ac:dyDescent="0.35">
      <c r="A12">
        <v>1</v>
      </c>
      <c r="B12" s="2">
        <v>2.1080000000000002E-2</v>
      </c>
      <c r="C12" s="2" t="str">
        <f t="shared" si="0"/>
        <v>Drawdown</v>
      </c>
    </row>
    <row r="13" spans="1:3" x14ac:dyDescent="0.35">
      <c r="A13">
        <v>1</v>
      </c>
      <c r="B13" t="s">
        <v>8</v>
      </c>
      <c r="C13" s="2">
        <f t="shared" si="0"/>
        <v>6.0000000000000001E-3</v>
      </c>
    </row>
    <row r="14" spans="1:3" x14ac:dyDescent="0.35">
      <c r="A14">
        <v>1</v>
      </c>
      <c r="B14" s="2">
        <v>6.0000000000000001E-3</v>
      </c>
      <c r="C14" s="2" t="str">
        <f t="shared" si="0"/>
        <v>Expectancy</v>
      </c>
    </row>
    <row r="15" spans="1:3" x14ac:dyDescent="0.35">
      <c r="A15">
        <v>1</v>
      </c>
      <c r="B15" t="s">
        <v>31</v>
      </c>
      <c r="C15" s="2">
        <f t="shared" si="0"/>
        <v>1.149</v>
      </c>
    </row>
    <row r="16" spans="1:3" x14ac:dyDescent="0.35">
      <c r="A16">
        <v>1</v>
      </c>
      <c r="B16">
        <v>1.149</v>
      </c>
      <c r="C16" s="2" t="str">
        <f t="shared" si="0"/>
        <v>Net Profit</v>
      </c>
    </row>
    <row r="17" spans="1:3" x14ac:dyDescent="0.35">
      <c r="A17">
        <v>1</v>
      </c>
      <c r="B17" t="s">
        <v>32</v>
      </c>
      <c r="C17" s="2">
        <f t="shared" si="0"/>
        <v>1.3520000000000001E-2</v>
      </c>
    </row>
    <row r="18" spans="1:3" x14ac:dyDescent="0.35">
      <c r="A18">
        <v>1</v>
      </c>
      <c r="B18" s="2">
        <v>1.3520000000000001E-2</v>
      </c>
      <c r="C18" s="2" t="str">
        <f t="shared" si="0"/>
        <v>Loss Rate</v>
      </c>
    </row>
    <row r="19" spans="1:3" x14ac:dyDescent="0.35">
      <c r="A19">
        <v>1</v>
      </c>
      <c r="B19" t="s">
        <v>33</v>
      </c>
      <c r="C19" s="2">
        <f t="shared" si="0"/>
        <v>0.4</v>
      </c>
    </row>
    <row r="20" spans="1:3" x14ac:dyDescent="0.35">
      <c r="A20">
        <v>1</v>
      </c>
      <c r="B20" s="3">
        <v>0.4</v>
      </c>
      <c r="C20" s="2" t="str">
        <f t="shared" si="0"/>
        <v>Win Rate</v>
      </c>
    </row>
    <row r="21" spans="1:3" x14ac:dyDescent="0.35">
      <c r="A21">
        <v>1</v>
      </c>
      <c r="B21" t="s">
        <v>34</v>
      </c>
      <c r="C21" s="2">
        <f t="shared" si="0"/>
        <v>0.6</v>
      </c>
    </row>
    <row r="22" spans="1:3" x14ac:dyDescent="0.35">
      <c r="A22">
        <v>1</v>
      </c>
      <c r="B22" s="3">
        <v>0.6</v>
      </c>
      <c r="C22" s="2" t="str">
        <f t="shared" si="0"/>
        <v>Profit-Loss Ratio</v>
      </c>
    </row>
    <row r="23" spans="1:3" x14ac:dyDescent="0.35">
      <c r="A23">
        <v>1</v>
      </c>
      <c r="B23" t="s">
        <v>26</v>
      </c>
      <c r="C23" s="2">
        <f t="shared" si="0"/>
        <v>2.58</v>
      </c>
    </row>
    <row r="24" spans="1:3" x14ac:dyDescent="0.35">
      <c r="A24">
        <v>1</v>
      </c>
      <c r="B24">
        <v>2.58</v>
      </c>
      <c r="C24" s="2" t="str">
        <f t="shared" si="0"/>
        <v>Alpha</v>
      </c>
    </row>
    <row r="25" spans="1:3" x14ac:dyDescent="0.35">
      <c r="A25">
        <v>1</v>
      </c>
      <c r="B25" t="s">
        <v>23</v>
      </c>
      <c r="C25" s="2">
        <f t="shared" si="0"/>
        <v>1.4E-2</v>
      </c>
    </row>
    <row r="26" spans="1:3" x14ac:dyDescent="0.35">
      <c r="A26">
        <v>1</v>
      </c>
      <c r="B26">
        <v>1.4E-2</v>
      </c>
      <c r="C26" s="2" t="str">
        <f t="shared" si="0"/>
        <v>Beta</v>
      </c>
    </row>
    <row r="27" spans="1:3" x14ac:dyDescent="0.35">
      <c r="A27">
        <v>1</v>
      </c>
      <c r="B27" t="s">
        <v>24</v>
      </c>
      <c r="C27" s="2">
        <f t="shared" si="0"/>
        <v>5.0000000000000001E-3</v>
      </c>
    </row>
    <row r="28" spans="1:3" x14ac:dyDescent="0.35">
      <c r="A28">
        <v>1</v>
      </c>
      <c r="B28">
        <v>5.0000000000000001E-3</v>
      </c>
      <c r="C28" s="2" t="str">
        <f t="shared" si="0"/>
        <v>Annual Standard Deviation</v>
      </c>
    </row>
    <row r="29" spans="1:3" x14ac:dyDescent="0.35">
      <c r="A29">
        <v>1</v>
      </c>
      <c r="B29" t="s">
        <v>35</v>
      </c>
      <c r="C29" s="2">
        <f t="shared" si="0"/>
        <v>8.9999999999999993E-3</v>
      </c>
    </row>
    <row r="30" spans="1:3" x14ac:dyDescent="0.35">
      <c r="A30">
        <v>1</v>
      </c>
      <c r="B30">
        <v>8.9999999999999993E-3</v>
      </c>
      <c r="C30" s="2" t="str">
        <f t="shared" si="0"/>
        <v>Annual Variance</v>
      </c>
    </row>
    <row r="31" spans="1:3" x14ac:dyDescent="0.35">
      <c r="A31">
        <v>1</v>
      </c>
      <c r="B31" t="s">
        <v>36</v>
      </c>
      <c r="C31" s="2">
        <f t="shared" si="0"/>
        <v>0</v>
      </c>
    </row>
    <row r="32" spans="1:3" x14ac:dyDescent="0.35">
      <c r="A32">
        <v>1</v>
      </c>
      <c r="B32">
        <v>0</v>
      </c>
      <c r="C32" s="2" t="str">
        <f t="shared" si="0"/>
        <v>Information Ratio</v>
      </c>
    </row>
    <row r="33" spans="1:3" x14ac:dyDescent="0.35">
      <c r="A33">
        <v>1</v>
      </c>
      <c r="B33" t="s">
        <v>37</v>
      </c>
      <c r="C33" s="2">
        <f t="shared" si="0"/>
        <v>-0.73599999999999999</v>
      </c>
    </row>
    <row r="34" spans="1:3" x14ac:dyDescent="0.35">
      <c r="A34">
        <v>1</v>
      </c>
      <c r="B34">
        <v>-0.73599999999999999</v>
      </c>
      <c r="C34" s="2" t="str">
        <f t="shared" si="0"/>
        <v>Tracking Error</v>
      </c>
    </row>
    <row r="35" spans="1:3" x14ac:dyDescent="0.35">
      <c r="A35">
        <v>1</v>
      </c>
      <c r="B35" t="s">
        <v>38</v>
      </c>
      <c r="C35" s="2">
        <f t="shared" si="0"/>
        <v>6.7000000000000004E-2</v>
      </c>
    </row>
    <row r="36" spans="1:3" x14ac:dyDescent="0.35">
      <c r="A36">
        <v>1</v>
      </c>
      <c r="B36">
        <v>6.7000000000000004E-2</v>
      </c>
      <c r="C36" s="2" t="str">
        <f t="shared" si="0"/>
        <v>Treynor Ratio</v>
      </c>
    </row>
    <row r="37" spans="1:3" x14ac:dyDescent="0.35">
      <c r="A37">
        <v>1</v>
      </c>
      <c r="B37" t="s">
        <v>39</v>
      </c>
      <c r="C37" s="2">
        <f t="shared" si="0"/>
        <v>3.1120000000000001</v>
      </c>
    </row>
    <row r="38" spans="1:3" x14ac:dyDescent="0.35">
      <c r="A38">
        <v>1</v>
      </c>
      <c r="B38">
        <v>3.1120000000000001</v>
      </c>
      <c r="C38" s="2" t="str">
        <f t="shared" si="0"/>
        <v>Total Fees</v>
      </c>
    </row>
    <row r="39" spans="1:3" x14ac:dyDescent="0.35">
      <c r="A39">
        <v>1</v>
      </c>
      <c r="B39" t="s">
        <v>40</v>
      </c>
      <c r="C39" s="2">
        <f t="shared" si="0"/>
        <v>0</v>
      </c>
    </row>
    <row r="40" spans="1:3" x14ac:dyDescent="0.35">
      <c r="A40">
        <v>1</v>
      </c>
      <c r="B40" s="4">
        <v>0</v>
      </c>
      <c r="C40" s="2" t="str">
        <f t="shared" si="0"/>
        <v>Estimated Strategy Capacity</v>
      </c>
    </row>
    <row r="41" spans="1:3" x14ac:dyDescent="0.35">
      <c r="A41">
        <v>1</v>
      </c>
      <c r="B41" t="s">
        <v>41</v>
      </c>
      <c r="C41" s="2">
        <f t="shared" si="0"/>
        <v>470000000</v>
      </c>
    </row>
    <row r="42" spans="1:3" x14ac:dyDescent="0.35">
      <c r="A42">
        <v>1</v>
      </c>
      <c r="B42" s="4">
        <v>470000000</v>
      </c>
      <c r="C42" s="2" t="str">
        <f t="shared" si="0"/>
        <v>Lowest Capacity Asset</v>
      </c>
    </row>
    <row r="43" spans="1:3" x14ac:dyDescent="0.35">
      <c r="A43">
        <v>1</v>
      </c>
      <c r="B43" t="s">
        <v>42</v>
      </c>
      <c r="C43" s="2" t="str">
        <f t="shared" si="0"/>
        <v>EURGBP 8G</v>
      </c>
    </row>
    <row r="44" spans="1:3" x14ac:dyDescent="0.35">
      <c r="A44">
        <v>1</v>
      </c>
      <c r="B44" t="s">
        <v>43</v>
      </c>
      <c r="C44" s="2"/>
    </row>
    <row r="45" spans="1:3" x14ac:dyDescent="0.35">
      <c r="A45">
        <v>2</v>
      </c>
      <c r="B45" t="s">
        <v>27</v>
      </c>
    </row>
    <row r="46" spans="1:3" x14ac:dyDescent="0.35">
      <c r="A46">
        <v>2</v>
      </c>
      <c r="B46" s="2">
        <v>0.74880999999999998</v>
      </c>
    </row>
    <row r="47" spans="1:3" x14ac:dyDescent="0.35">
      <c r="A47">
        <v>2</v>
      </c>
      <c r="B47" t="s">
        <v>1</v>
      </c>
    </row>
    <row r="48" spans="1:3" x14ac:dyDescent="0.35">
      <c r="A48">
        <v>2</v>
      </c>
      <c r="B48">
        <v>1.681</v>
      </c>
    </row>
    <row r="49" spans="1:2" x14ac:dyDescent="0.35">
      <c r="A49">
        <v>2</v>
      </c>
      <c r="B49" t="s">
        <v>28</v>
      </c>
    </row>
    <row r="50" spans="1:2" x14ac:dyDescent="0.35">
      <c r="A50">
        <v>2</v>
      </c>
      <c r="B50">
        <v>312</v>
      </c>
    </row>
    <row r="51" spans="1:2" x14ac:dyDescent="0.35">
      <c r="A51">
        <v>2</v>
      </c>
      <c r="B51" t="s">
        <v>25</v>
      </c>
    </row>
    <row r="52" spans="1:2" x14ac:dyDescent="0.35">
      <c r="A52">
        <v>2</v>
      </c>
      <c r="B52" s="2">
        <v>2.8400000000000002E-2</v>
      </c>
    </row>
    <row r="53" spans="1:2" x14ac:dyDescent="0.35">
      <c r="A53">
        <v>2</v>
      </c>
      <c r="B53" t="s">
        <v>29</v>
      </c>
    </row>
    <row r="54" spans="1:2" x14ac:dyDescent="0.35">
      <c r="A54">
        <v>2</v>
      </c>
      <c r="B54" s="2">
        <v>-1.0699999999999999E-2</v>
      </c>
    </row>
    <row r="55" spans="1:2" x14ac:dyDescent="0.35">
      <c r="A55">
        <v>2</v>
      </c>
      <c r="B55" t="s">
        <v>30</v>
      </c>
    </row>
    <row r="56" spans="1:2" x14ac:dyDescent="0.35">
      <c r="A56">
        <v>2</v>
      </c>
      <c r="B56" s="2">
        <v>0.21772</v>
      </c>
    </row>
    <row r="57" spans="1:2" x14ac:dyDescent="0.35">
      <c r="A57">
        <v>2</v>
      </c>
      <c r="B57" t="s">
        <v>8</v>
      </c>
    </row>
    <row r="58" spans="1:2" x14ac:dyDescent="0.35">
      <c r="A58">
        <v>2</v>
      </c>
      <c r="B58" s="2">
        <v>5.6000000000000001E-2</v>
      </c>
    </row>
    <row r="59" spans="1:2" x14ac:dyDescent="0.35">
      <c r="A59">
        <v>2</v>
      </c>
      <c r="B59" t="s">
        <v>31</v>
      </c>
    </row>
    <row r="60" spans="1:2" x14ac:dyDescent="0.35">
      <c r="A60">
        <v>2</v>
      </c>
      <c r="B60">
        <v>1.1910000000000001</v>
      </c>
    </row>
    <row r="61" spans="1:2" x14ac:dyDescent="0.35">
      <c r="A61">
        <v>2</v>
      </c>
      <c r="B61" t="s">
        <v>32</v>
      </c>
    </row>
    <row r="62" spans="1:2" x14ac:dyDescent="0.35">
      <c r="A62">
        <v>2</v>
      </c>
      <c r="B62" s="2">
        <v>0.13519</v>
      </c>
    </row>
    <row r="63" spans="1:2" x14ac:dyDescent="0.35">
      <c r="A63">
        <v>2</v>
      </c>
      <c r="B63" t="s">
        <v>33</v>
      </c>
    </row>
    <row r="64" spans="1:2" x14ac:dyDescent="0.35">
      <c r="A64">
        <v>2</v>
      </c>
      <c r="B64" s="3">
        <v>0.4</v>
      </c>
    </row>
    <row r="65" spans="1:2" x14ac:dyDescent="0.35">
      <c r="A65">
        <v>2</v>
      </c>
      <c r="B65" t="s">
        <v>34</v>
      </c>
    </row>
    <row r="66" spans="1:2" x14ac:dyDescent="0.35">
      <c r="A66">
        <v>2</v>
      </c>
      <c r="B66" s="3">
        <v>0.6</v>
      </c>
    </row>
    <row r="67" spans="1:2" x14ac:dyDescent="0.35">
      <c r="A67">
        <v>2</v>
      </c>
      <c r="B67" t="s">
        <v>26</v>
      </c>
    </row>
    <row r="68" spans="1:2" x14ac:dyDescent="0.35">
      <c r="A68">
        <v>2</v>
      </c>
      <c r="B68">
        <v>2.65</v>
      </c>
    </row>
    <row r="69" spans="1:2" x14ac:dyDescent="0.35">
      <c r="A69">
        <v>2</v>
      </c>
      <c r="B69" t="s">
        <v>23</v>
      </c>
    </row>
    <row r="70" spans="1:2" x14ac:dyDescent="0.35">
      <c r="A70">
        <v>2</v>
      </c>
      <c r="B70">
        <v>0.14799999999999999</v>
      </c>
    </row>
    <row r="71" spans="1:2" x14ac:dyDescent="0.35">
      <c r="A71">
        <v>2</v>
      </c>
      <c r="B71" t="s">
        <v>24</v>
      </c>
    </row>
    <row r="72" spans="1:2" x14ac:dyDescent="0.35">
      <c r="A72">
        <v>2</v>
      </c>
      <c r="B72">
        <v>4.5999999999999999E-2</v>
      </c>
    </row>
    <row r="73" spans="1:2" x14ac:dyDescent="0.35">
      <c r="A73">
        <v>2</v>
      </c>
      <c r="B73" t="s">
        <v>35</v>
      </c>
    </row>
    <row r="74" spans="1:2" x14ac:dyDescent="0.35">
      <c r="A74">
        <v>2</v>
      </c>
      <c r="B74">
        <v>0.09</v>
      </c>
    </row>
    <row r="75" spans="1:2" x14ac:dyDescent="0.35">
      <c r="A75">
        <v>2</v>
      </c>
      <c r="B75" t="s">
        <v>36</v>
      </c>
    </row>
    <row r="76" spans="1:2" x14ac:dyDescent="0.35">
      <c r="A76">
        <v>2</v>
      </c>
      <c r="B76">
        <v>8.0000000000000002E-3</v>
      </c>
    </row>
    <row r="77" spans="1:2" x14ac:dyDescent="0.35">
      <c r="A77">
        <v>2</v>
      </c>
      <c r="B77" t="s">
        <v>37</v>
      </c>
    </row>
    <row r="78" spans="1:2" x14ac:dyDescent="0.35">
      <c r="A78">
        <v>2</v>
      </c>
      <c r="B78">
        <v>0.78800000000000003</v>
      </c>
    </row>
    <row r="79" spans="1:2" x14ac:dyDescent="0.35">
      <c r="A79">
        <v>2</v>
      </c>
      <c r="B79" t="s">
        <v>38</v>
      </c>
    </row>
    <row r="80" spans="1:2" x14ac:dyDescent="0.35">
      <c r="A80">
        <v>2</v>
      </c>
      <c r="B80">
        <v>0.11</v>
      </c>
    </row>
    <row r="81" spans="1:2" x14ac:dyDescent="0.35">
      <c r="A81">
        <v>2</v>
      </c>
      <c r="B81" t="s">
        <v>39</v>
      </c>
    </row>
    <row r="82" spans="1:2" x14ac:dyDescent="0.35">
      <c r="A82">
        <v>2</v>
      </c>
      <c r="B82">
        <v>3.2970000000000002</v>
      </c>
    </row>
    <row r="83" spans="1:2" x14ac:dyDescent="0.35">
      <c r="A83">
        <v>2</v>
      </c>
      <c r="B83" t="s">
        <v>40</v>
      </c>
    </row>
    <row r="84" spans="1:2" x14ac:dyDescent="0.35">
      <c r="A84">
        <v>2</v>
      </c>
      <c r="B84" s="4">
        <v>0</v>
      </c>
    </row>
    <row r="85" spans="1:2" x14ac:dyDescent="0.35">
      <c r="A85">
        <v>2</v>
      </c>
      <c r="B85" t="s">
        <v>41</v>
      </c>
    </row>
    <row r="86" spans="1:2" x14ac:dyDescent="0.35">
      <c r="A86">
        <v>2</v>
      </c>
      <c r="B86" s="4">
        <v>57000000</v>
      </c>
    </row>
    <row r="87" spans="1:2" x14ac:dyDescent="0.35">
      <c r="A87">
        <v>2</v>
      </c>
      <c r="B87" t="s">
        <v>42</v>
      </c>
    </row>
    <row r="88" spans="1:2" x14ac:dyDescent="0.35">
      <c r="A88">
        <v>2</v>
      </c>
      <c r="B88" t="s">
        <v>43</v>
      </c>
    </row>
    <row r="89" spans="1:2" x14ac:dyDescent="0.35">
      <c r="A89">
        <v>3</v>
      </c>
      <c r="B89" t="s">
        <v>27</v>
      </c>
    </row>
    <row r="90" spans="1:2" x14ac:dyDescent="0.35">
      <c r="A90">
        <v>3</v>
      </c>
      <c r="B90" s="2">
        <v>0.77280000000000004</v>
      </c>
    </row>
    <row r="91" spans="1:2" x14ac:dyDescent="0.35">
      <c r="A91">
        <v>3</v>
      </c>
      <c r="B91" t="s">
        <v>1</v>
      </c>
    </row>
    <row r="92" spans="1:2" x14ac:dyDescent="0.35">
      <c r="A92">
        <v>3</v>
      </c>
      <c r="B92">
        <v>2.2429999999999999</v>
      </c>
    </row>
    <row r="93" spans="1:2" x14ac:dyDescent="0.35">
      <c r="A93">
        <v>3</v>
      </c>
      <c r="B93" t="s">
        <v>28</v>
      </c>
    </row>
    <row r="94" spans="1:2" x14ac:dyDescent="0.35">
      <c r="A94">
        <v>3</v>
      </c>
      <c r="B94">
        <v>312</v>
      </c>
    </row>
    <row r="95" spans="1:2" x14ac:dyDescent="0.35">
      <c r="A95">
        <v>3</v>
      </c>
      <c r="B95" t="s">
        <v>25</v>
      </c>
    </row>
    <row r="96" spans="1:2" x14ac:dyDescent="0.35">
      <c r="A96">
        <v>3</v>
      </c>
      <c r="B96" s="2">
        <v>0.1236</v>
      </c>
    </row>
    <row r="97" spans="1:2" x14ac:dyDescent="0.35">
      <c r="A97">
        <v>3</v>
      </c>
      <c r="B97" t="s">
        <v>29</v>
      </c>
    </row>
    <row r="98" spans="1:2" x14ac:dyDescent="0.35">
      <c r="A98">
        <v>3</v>
      </c>
      <c r="B98" s="2">
        <v>-4.24E-2</v>
      </c>
    </row>
    <row r="99" spans="1:2" x14ac:dyDescent="0.35">
      <c r="A99">
        <v>3</v>
      </c>
      <c r="B99" t="s">
        <v>30</v>
      </c>
    </row>
    <row r="100" spans="1:2" x14ac:dyDescent="0.35">
      <c r="A100">
        <v>3</v>
      </c>
      <c r="B100" s="2">
        <v>1.2304200000000001</v>
      </c>
    </row>
    <row r="101" spans="1:2" x14ac:dyDescent="0.35">
      <c r="A101">
        <v>3</v>
      </c>
      <c r="B101" t="s">
        <v>8</v>
      </c>
    </row>
    <row r="102" spans="1:2" x14ac:dyDescent="0.35">
      <c r="A102">
        <v>3</v>
      </c>
      <c r="B102" s="2">
        <v>0.22900000000000001</v>
      </c>
    </row>
    <row r="103" spans="1:2" x14ac:dyDescent="0.35">
      <c r="A103">
        <v>3</v>
      </c>
      <c r="B103" t="s">
        <v>31</v>
      </c>
    </row>
    <row r="104" spans="1:2" x14ac:dyDescent="0.35">
      <c r="A104">
        <v>3</v>
      </c>
      <c r="B104">
        <v>1.351</v>
      </c>
    </row>
    <row r="105" spans="1:2" x14ac:dyDescent="0.35">
      <c r="A105">
        <v>3</v>
      </c>
      <c r="B105" t="s">
        <v>32</v>
      </c>
    </row>
    <row r="106" spans="1:2" x14ac:dyDescent="0.35">
      <c r="A106">
        <v>3</v>
      </c>
      <c r="B106" s="2">
        <v>0.67596000000000001</v>
      </c>
    </row>
    <row r="107" spans="1:2" x14ac:dyDescent="0.35">
      <c r="A107">
        <v>3</v>
      </c>
      <c r="B107" t="s">
        <v>33</v>
      </c>
    </row>
    <row r="108" spans="1:2" x14ac:dyDescent="0.35">
      <c r="A108">
        <v>3</v>
      </c>
      <c r="B108" s="3">
        <v>0.4</v>
      </c>
    </row>
    <row r="109" spans="1:2" x14ac:dyDescent="0.35">
      <c r="A109">
        <v>3</v>
      </c>
      <c r="B109" t="s">
        <v>34</v>
      </c>
    </row>
    <row r="110" spans="1:2" x14ac:dyDescent="0.35">
      <c r="A110">
        <v>3</v>
      </c>
      <c r="B110" s="3">
        <v>0.6</v>
      </c>
    </row>
    <row r="111" spans="1:2" x14ac:dyDescent="0.35">
      <c r="A111">
        <v>3</v>
      </c>
      <c r="B111" t="s">
        <v>26</v>
      </c>
    </row>
    <row r="112" spans="1:2" x14ac:dyDescent="0.35">
      <c r="A112">
        <v>3</v>
      </c>
      <c r="B112">
        <v>2.92</v>
      </c>
    </row>
    <row r="113" spans="1:2" x14ac:dyDescent="0.35">
      <c r="A113">
        <v>3</v>
      </c>
      <c r="B113" t="s">
        <v>23</v>
      </c>
    </row>
    <row r="114" spans="1:2" x14ac:dyDescent="0.35">
      <c r="A114">
        <v>3</v>
      </c>
      <c r="B114">
        <v>0.85599999999999998</v>
      </c>
    </row>
    <row r="115" spans="1:2" x14ac:dyDescent="0.35">
      <c r="A115">
        <v>3</v>
      </c>
      <c r="B115" t="s">
        <v>24</v>
      </c>
    </row>
    <row r="116" spans="1:2" x14ac:dyDescent="0.35">
      <c r="A116">
        <v>3</v>
      </c>
      <c r="B116">
        <v>0.20499999999999999</v>
      </c>
    </row>
    <row r="117" spans="1:2" x14ac:dyDescent="0.35">
      <c r="A117">
        <v>3</v>
      </c>
      <c r="B117" t="s">
        <v>35</v>
      </c>
    </row>
    <row r="118" spans="1:2" x14ac:dyDescent="0.35">
      <c r="A118">
        <v>3</v>
      </c>
      <c r="B118">
        <v>0.38800000000000001</v>
      </c>
    </row>
    <row r="119" spans="1:2" x14ac:dyDescent="0.35">
      <c r="A119">
        <v>3</v>
      </c>
      <c r="B119" t="s">
        <v>36</v>
      </c>
    </row>
    <row r="120" spans="1:2" x14ac:dyDescent="0.35">
      <c r="A120">
        <v>3</v>
      </c>
      <c r="B120">
        <v>0.15</v>
      </c>
    </row>
    <row r="121" spans="1:2" x14ac:dyDescent="0.35">
      <c r="A121">
        <v>3</v>
      </c>
      <c r="B121" t="s">
        <v>37</v>
      </c>
    </row>
    <row r="122" spans="1:2" x14ac:dyDescent="0.35">
      <c r="A122">
        <v>3</v>
      </c>
      <c r="B122">
        <v>2.0590000000000002</v>
      </c>
    </row>
    <row r="123" spans="1:2" x14ac:dyDescent="0.35">
      <c r="A123">
        <v>3</v>
      </c>
      <c r="B123" t="s">
        <v>38</v>
      </c>
    </row>
    <row r="124" spans="1:2" x14ac:dyDescent="0.35">
      <c r="A124">
        <v>3</v>
      </c>
      <c r="B124">
        <v>0.39100000000000001</v>
      </c>
    </row>
    <row r="125" spans="1:2" x14ac:dyDescent="0.35">
      <c r="A125">
        <v>3</v>
      </c>
      <c r="B125" t="s">
        <v>39</v>
      </c>
    </row>
    <row r="126" spans="1:2" x14ac:dyDescent="0.35">
      <c r="A126">
        <v>3</v>
      </c>
      <c r="B126">
        <v>4.2450000000000001</v>
      </c>
    </row>
    <row r="127" spans="1:2" x14ac:dyDescent="0.35">
      <c r="A127">
        <v>3</v>
      </c>
      <c r="B127" t="s">
        <v>40</v>
      </c>
    </row>
    <row r="128" spans="1:2" x14ac:dyDescent="0.35">
      <c r="A128">
        <v>3</v>
      </c>
      <c r="B128" s="4">
        <v>0</v>
      </c>
    </row>
    <row r="129" spans="1:2" x14ac:dyDescent="0.35">
      <c r="A129">
        <v>3</v>
      </c>
      <c r="B129" t="s">
        <v>41</v>
      </c>
    </row>
    <row r="130" spans="1:2" x14ac:dyDescent="0.35">
      <c r="A130">
        <v>3</v>
      </c>
      <c r="B130" s="4">
        <v>20000000</v>
      </c>
    </row>
    <row r="131" spans="1:2" x14ac:dyDescent="0.35">
      <c r="A131">
        <v>3</v>
      </c>
      <c r="B131" t="s">
        <v>42</v>
      </c>
    </row>
    <row r="132" spans="1:2" x14ac:dyDescent="0.35">
      <c r="A132">
        <v>3</v>
      </c>
      <c r="B132" t="s">
        <v>43</v>
      </c>
    </row>
    <row r="133" spans="1:2" x14ac:dyDescent="0.35">
      <c r="A133">
        <v>4</v>
      </c>
      <c r="B133" t="s">
        <v>27</v>
      </c>
    </row>
    <row r="134" spans="1:2" x14ac:dyDescent="0.35">
      <c r="A134">
        <v>4</v>
      </c>
      <c r="B134" s="2">
        <v>5.8100000000000001E-3</v>
      </c>
    </row>
    <row r="135" spans="1:2" x14ac:dyDescent="0.35">
      <c r="A135">
        <v>4</v>
      </c>
      <c r="B135" t="s">
        <v>1</v>
      </c>
    </row>
    <row r="136" spans="1:2" x14ac:dyDescent="0.35">
      <c r="A136">
        <v>4</v>
      </c>
      <c r="B136">
        <v>-1.57</v>
      </c>
    </row>
    <row r="137" spans="1:2" x14ac:dyDescent="0.35">
      <c r="A137">
        <v>4</v>
      </c>
      <c r="B137" t="s">
        <v>28</v>
      </c>
    </row>
    <row r="138" spans="1:2" x14ac:dyDescent="0.35">
      <c r="A138">
        <v>4</v>
      </c>
      <c r="B138">
        <v>198</v>
      </c>
    </row>
    <row r="139" spans="1:2" x14ac:dyDescent="0.35">
      <c r="A139">
        <v>4</v>
      </c>
      <c r="B139" t="s">
        <v>25</v>
      </c>
    </row>
    <row r="140" spans="1:2" x14ac:dyDescent="0.35">
      <c r="A140">
        <v>4</v>
      </c>
      <c r="B140" s="2">
        <v>1.1999999999999999E-3</v>
      </c>
    </row>
    <row r="141" spans="1:2" x14ac:dyDescent="0.35">
      <c r="A141">
        <v>4</v>
      </c>
      <c r="B141" t="s">
        <v>29</v>
      </c>
    </row>
    <row r="142" spans="1:2" x14ac:dyDescent="0.35">
      <c r="A142">
        <v>4</v>
      </c>
      <c r="B142" s="2">
        <v>-3.7000000000000002E-3</v>
      </c>
    </row>
    <row r="143" spans="1:2" x14ac:dyDescent="0.35">
      <c r="A143">
        <v>4</v>
      </c>
      <c r="B143" t="s">
        <v>30</v>
      </c>
    </row>
    <row r="144" spans="1:2" x14ac:dyDescent="0.35">
      <c r="A144">
        <v>4</v>
      </c>
      <c r="B144" s="2">
        <v>-1.9720000000000001E-2</v>
      </c>
    </row>
    <row r="145" spans="1:2" x14ac:dyDescent="0.35">
      <c r="A145">
        <v>4</v>
      </c>
      <c r="B145" t="s">
        <v>8</v>
      </c>
    </row>
    <row r="146" spans="1:2" x14ac:dyDescent="0.35">
      <c r="A146">
        <v>4</v>
      </c>
      <c r="B146" s="2">
        <v>1.6E-2</v>
      </c>
    </row>
    <row r="147" spans="1:2" x14ac:dyDescent="0.35">
      <c r="A147">
        <v>4</v>
      </c>
      <c r="B147" t="s">
        <v>31</v>
      </c>
    </row>
    <row r="148" spans="1:2" x14ac:dyDescent="0.35">
      <c r="A148">
        <v>4</v>
      </c>
      <c r="B148">
        <v>-0.56200000000000006</v>
      </c>
    </row>
    <row r="149" spans="1:2" x14ac:dyDescent="0.35">
      <c r="A149">
        <v>4</v>
      </c>
      <c r="B149" t="s">
        <v>32</v>
      </c>
    </row>
    <row r="150" spans="1:2" x14ac:dyDescent="0.35">
      <c r="A150">
        <v>4</v>
      </c>
      <c r="B150" s="2">
        <v>-1.274E-2</v>
      </c>
    </row>
    <row r="151" spans="1:2" x14ac:dyDescent="0.35">
      <c r="A151">
        <v>4</v>
      </c>
      <c r="B151" t="s">
        <v>33</v>
      </c>
    </row>
    <row r="152" spans="1:2" x14ac:dyDescent="0.35">
      <c r="A152">
        <v>4</v>
      </c>
      <c r="B152" s="3">
        <v>0.67</v>
      </c>
    </row>
    <row r="153" spans="1:2" x14ac:dyDescent="0.35">
      <c r="A153">
        <v>4</v>
      </c>
      <c r="B153" t="s">
        <v>34</v>
      </c>
    </row>
    <row r="154" spans="1:2" x14ac:dyDescent="0.35">
      <c r="A154">
        <v>4</v>
      </c>
      <c r="B154" s="3">
        <v>0.33</v>
      </c>
    </row>
    <row r="155" spans="1:2" x14ac:dyDescent="0.35">
      <c r="A155">
        <v>4</v>
      </c>
      <c r="B155" t="s">
        <v>26</v>
      </c>
    </row>
    <row r="156" spans="1:2" x14ac:dyDescent="0.35">
      <c r="A156">
        <v>4</v>
      </c>
      <c r="B156">
        <v>0.31</v>
      </c>
    </row>
    <row r="157" spans="1:2" x14ac:dyDescent="0.35">
      <c r="A157">
        <v>4</v>
      </c>
      <c r="B157" t="s">
        <v>23</v>
      </c>
    </row>
    <row r="158" spans="1:2" x14ac:dyDescent="0.35">
      <c r="A158">
        <v>4</v>
      </c>
      <c r="B158">
        <v>-1.4999999999999999E-2</v>
      </c>
    </row>
    <row r="159" spans="1:2" x14ac:dyDescent="0.35">
      <c r="A159">
        <v>4</v>
      </c>
      <c r="B159" t="s">
        <v>24</v>
      </c>
    </row>
    <row r="160" spans="1:2" x14ac:dyDescent="0.35">
      <c r="A160">
        <v>4</v>
      </c>
      <c r="B160">
        <v>2.3E-2</v>
      </c>
    </row>
    <row r="161" spans="1:2" x14ac:dyDescent="0.35">
      <c r="A161">
        <v>4</v>
      </c>
      <c r="B161" t="s">
        <v>35</v>
      </c>
    </row>
    <row r="162" spans="1:2" x14ac:dyDescent="0.35">
      <c r="A162">
        <v>4</v>
      </c>
      <c r="B162">
        <v>8.9999999999999993E-3</v>
      </c>
    </row>
    <row r="163" spans="1:2" x14ac:dyDescent="0.35">
      <c r="A163">
        <v>4</v>
      </c>
      <c r="B163" t="s">
        <v>36</v>
      </c>
    </row>
    <row r="164" spans="1:2" x14ac:dyDescent="0.35">
      <c r="A164">
        <v>4</v>
      </c>
      <c r="B164">
        <v>0</v>
      </c>
    </row>
    <row r="165" spans="1:2" x14ac:dyDescent="0.35">
      <c r="A165">
        <v>4</v>
      </c>
      <c r="B165" t="s">
        <v>37</v>
      </c>
    </row>
    <row r="166" spans="1:2" x14ac:dyDescent="0.35">
      <c r="A166">
        <v>4</v>
      </c>
      <c r="B166">
        <v>-1.18</v>
      </c>
    </row>
    <row r="167" spans="1:2" x14ac:dyDescent="0.35">
      <c r="A167">
        <v>4</v>
      </c>
      <c r="B167" t="s">
        <v>38</v>
      </c>
    </row>
    <row r="168" spans="1:2" x14ac:dyDescent="0.35">
      <c r="A168">
        <v>4</v>
      </c>
      <c r="B168">
        <v>6.6000000000000003E-2</v>
      </c>
    </row>
    <row r="169" spans="1:2" x14ac:dyDescent="0.35">
      <c r="A169">
        <v>4</v>
      </c>
      <c r="B169" t="s">
        <v>39</v>
      </c>
    </row>
    <row r="170" spans="1:2" x14ac:dyDescent="0.35">
      <c r="A170">
        <v>4</v>
      </c>
      <c r="B170">
        <v>-0.58799999999999997</v>
      </c>
    </row>
    <row r="171" spans="1:2" x14ac:dyDescent="0.35">
      <c r="A171">
        <v>4</v>
      </c>
      <c r="B171" t="s">
        <v>40</v>
      </c>
    </row>
    <row r="172" spans="1:2" x14ac:dyDescent="0.35">
      <c r="A172">
        <v>4</v>
      </c>
      <c r="B172" s="4">
        <v>0</v>
      </c>
    </row>
    <row r="173" spans="1:2" x14ac:dyDescent="0.35">
      <c r="A173">
        <v>4</v>
      </c>
      <c r="B173" t="s">
        <v>41</v>
      </c>
    </row>
    <row r="174" spans="1:2" x14ac:dyDescent="0.35">
      <c r="A174">
        <v>4</v>
      </c>
      <c r="B174" s="4">
        <v>95000000</v>
      </c>
    </row>
    <row r="175" spans="1:2" x14ac:dyDescent="0.35">
      <c r="A175">
        <v>4</v>
      </c>
      <c r="B175" t="s">
        <v>42</v>
      </c>
    </row>
    <row r="176" spans="1:2" x14ac:dyDescent="0.35">
      <c r="A176">
        <v>4</v>
      </c>
      <c r="B176" t="s">
        <v>43</v>
      </c>
    </row>
    <row r="177" spans="1:2" x14ac:dyDescent="0.35">
      <c r="A177">
        <v>5</v>
      </c>
      <c r="B177" t="s">
        <v>27</v>
      </c>
    </row>
    <row r="178" spans="1:2" x14ac:dyDescent="0.35">
      <c r="A178">
        <v>5</v>
      </c>
      <c r="B178" s="2">
        <v>5.9800000000000001E-3</v>
      </c>
    </row>
    <row r="179" spans="1:2" x14ac:dyDescent="0.35">
      <c r="A179">
        <v>5</v>
      </c>
      <c r="B179" t="s">
        <v>1</v>
      </c>
    </row>
    <row r="180" spans="1:2" x14ac:dyDescent="0.35">
      <c r="A180">
        <v>5</v>
      </c>
      <c r="B180">
        <v>-1.4610000000000001</v>
      </c>
    </row>
    <row r="181" spans="1:2" x14ac:dyDescent="0.35">
      <c r="A181">
        <v>5</v>
      </c>
      <c r="B181" t="s">
        <v>28</v>
      </c>
    </row>
    <row r="182" spans="1:2" x14ac:dyDescent="0.35">
      <c r="A182">
        <v>5</v>
      </c>
      <c r="B182">
        <v>198</v>
      </c>
    </row>
    <row r="183" spans="1:2" x14ac:dyDescent="0.35">
      <c r="A183">
        <v>5</v>
      </c>
      <c r="B183" t="s">
        <v>25</v>
      </c>
    </row>
    <row r="184" spans="1:2" x14ac:dyDescent="0.35">
      <c r="A184">
        <v>5</v>
      </c>
      <c r="B184" s="2">
        <v>1.17E-2</v>
      </c>
    </row>
    <row r="185" spans="1:2" x14ac:dyDescent="0.35">
      <c r="A185">
        <v>5</v>
      </c>
      <c r="B185" t="s">
        <v>29</v>
      </c>
    </row>
    <row r="186" spans="1:2" x14ac:dyDescent="0.35">
      <c r="A186">
        <v>5</v>
      </c>
      <c r="B186" s="2">
        <v>-3.8199999999999998E-2</v>
      </c>
    </row>
    <row r="187" spans="1:2" x14ac:dyDescent="0.35">
      <c r="A187">
        <v>5</v>
      </c>
      <c r="B187" t="s">
        <v>30</v>
      </c>
    </row>
    <row r="188" spans="1:2" x14ac:dyDescent="0.35">
      <c r="A188">
        <v>5</v>
      </c>
      <c r="B188" s="2">
        <v>-0.19076000000000001</v>
      </c>
    </row>
    <row r="189" spans="1:2" x14ac:dyDescent="0.35">
      <c r="A189">
        <v>5</v>
      </c>
      <c r="B189" t="s">
        <v>8</v>
      </c>
    </row>
    <row r="190" spans="1:2" x14ac:dyDescent="0.35">
      <c r="A190">
        <v>5</v>
      </c>
      <c r="B190" s="2">
        <v>0.159</v>
      </c>
    </row>
    <row r="191" spans="1:2" x14ac:dyDescent="0.35">
      <c r="A191">
        <v>5</v>
      </c>
      <c r="B191" t="s">
        <v>31</v>
      </c>
    </row>
    <row r="192" spans="1:2" x14ac:dyDescent="0.35">
      <c r="A192">
        <v>5</v>
      </c>
      <c r="B192">
        <v>-0.56499999999999995</v>
      </c>
    </row>
    <row r="193" spans="1:2" x14ac:dyDescent="0.35">
      <c r="A193">
        <v>5</v>
      </c>
      <c r="B193" t="s">
        <v>32</v>
      </c>
    </row>
    <row r="194" spans="1:2" x14ac:dyDescent="0.35">
      <c r="A194">
        <v>5</v>
      </c>
      <c r="B194" s="2">
        <v>-0.12737000000000001</v>
      </c>
    </row>
    <row r="195" spans="1:2" x14ac:dyDescent="0.35">
      <c r="A195">
        <v>5</v>
      </c>
      <c r="B195" t="s">
        <v>33</v>
      </c>
    </row>
    <row r="196" spans="1:2" x14ac:dyDescent="0.35">
      <c r="A196">
        <v>5</v>
      </c>
      <c r="B196" s="3">
        <v>0.67</v>
      </c>
    </row>
    <row r="197" spans="1:2" x14ac:dyDescent="0.35">
      <c r="A197">
        <v>5</v>
      </c>
      <c r="B197" t="s">
        <v>34</v>
      </c>
    </row>
    <row r="198" spans="1:2" x14ac:dyDescent="0.35">
      <c r="A198">
        <v>5</v>
      </c>
      <c r="B198" s="3">
        <v>0.33</v>
      </c>
    </row>
    <row r="199" spans="1:2" x14ac:dyDescent="0.35">
      <c r="A199">
        <v>5</v>
      </c>
      <c r="B199" t="s">
        <v>26</v>
      </c>
    </row>
    <row r="200" spans="1:2" x14ac:dyDescent="0.35">
      <c r="A200">
        <v>5</v>
      </c>
      <c r="B200">
        <v>0.31</v>
      </c>
    </row>
    <row r="201" spans="1:2" x14ac:dyDescent="0.35">
      <c r="A201">
        <v>5</v>
      </c>
      <c r="B201" t="s">
        <v>23</v>
      </c>
    </row>
    <row r="202" spans="1:2" x14ac:dyDescent="0.35">
      <c r="A202">
        <v>5</v>
      </c>
      <c r="B202">
        <v>-0.14899999999999999</v>
      </c>
    </row>
    <row r="203" spans="1:2" x14ac:dyDescent="0.35">
      <c r="A203">
        <v>5</v>
      </c>
      <c r="B203" t="s">
        <v>24</v>
      </c>
    </row>
    <row r="204" spans="1:2" x14ac:dyDescent="0.35">
      <c r="A204">
        <v>5</v>
      </c>
      <c r="B204">
        <v>0.24399999999999999</v>
      </c>
    </row>
    <row r="205" spans="1:2" x14ac:dyDescent="0.35">
      <c r="A205">
        <v>5</v>
      </c>
      <c r="B205" t="s">
        <v>35</v>
      </c>
    </row>
    <row r="206" spans="1:2" x14ac:dyDescent="0.35">
      <c r="A206">
        <v>5</v>
      </c>
      <c r="B206">
        <v>9.0999999999999998E-2</v>
      </c>
    </row>
    <row r="207" spans="1:2" x14ac:dyDescent="0.35">
      <c r="A207">
        <v>5</v>
      </c>
      <c r="B207" t="s">
        <v>36</v>
      </c>
    </row>
    <row r="208" spans="1:2" x14ac:dyDescent="0.35">
      <c r="A208">
        <v>5</v>
      </c>
      <c r="B208">
        <v>8.0000000000000002E-3</v>
      </c>
    </row>
    <row r="209" spans="1:2" x14ac:dyDescent="0.35">
      <c r="A209">
        <v>5</v>
      </c>
      <c r="B209" t="s">
        <v>37</v>
      </c>
    </row>
    <row r="210" spans="1:2" x14ac:dyDescent="0.35">
      <c r="A210">
        <v>5</v>
      </c>
      <c r="B210">
        <v>-1.917</v>
      </c>
    </row>
    <row r="211" spans="1:2" x14ac:dyDescent="0.35">
      <c r="A211">
        <v>5</v>
      </c>
      <c r="B211" t="s">
        <v>38</v>
      </c>
    </row>
    <row r="212" spans="1:2" x14ac:dyDescent="0.35">
      <c r="A212">
        <v>5</v>
      </c>
      <c r="B212">
        <v>0.10299999999999999</v>
      </c>
    </row>
    <row r="213" spans="1:2" x14ac:dyDescent="0.35">
      <c r="A213">
        <v>5</v>
      </c>
      <c r="B213" t="s">
        <v>39</v>
      </c>
    </row>
    <row r="214" spans="1:2" x14ac:dyDescent="0.35">
      <c r="A214">
        <v>5</v>
      </c>
      <c r="B214">
        <v>-0.54500000000000004</v>
      </c>
    </row>
    <row r="215" spans="1:2" x14ac:dyDescent="0.35">
      <c r="A215">
        <v>5</v>
      </c>
      <c r="B215" t="s">
        <v>40</v>
      </c>
    </row>
    <row r="216" spans="1:2" x14ac:dyDescent="0.35">
      <c r="A216">
        <v>5</v>
      </c>
      <c r="B216" s="4">
        <v>0</v>
      </c>
    </row>
    <row r="217" spans="1:2" x14ac:dyDescent="0.35">
      <c r="A217">
        <v>5</v>
      </c>
      <c r="B217" t="s">
        <v>41</v>
      </c>
    </row>
    <row r="218" spans="1:2" x14ac:dyDescent="0.35">
      <c r="A218">
        <v>5</v>
      </c>
      <c r="B218" s="4">
        <v>13000000</v>
      </c>
    </row>
    <row r="219" spans="1:2" x14ac:dyDescent="0.35">
      <c r="A219">
        <v>5</v>
      </c>
      <c r="B219" t="s">
        <v>42</v>
      </c>
    </row>
    <row r="220" spans="1:2" x14ac:dyDescent="0.35">
      <c r="A220">
        <v>5</v>
      </c>
      <c r="B220" t="s">
        <v>43</v>
      </c>
    </row>
    <row r="221" spans="1:2" x14ac:dyDescent="0.35">
      <c r="A221">
        <v>6</v>
      </c>
      <c r="B221" t="s">
        <v>27</v>
      </c>
    </row>
    <row r="222" spans="1:2" x14ac:dyDescent="0.35">
      <c r="A222">
        <v>6</v>
      </c>
      <c r="B222" s="2">
        <v>1.468E-2</v>
      </c>
    </row>
    <row r="223" spans="1:2" x14ac:dyDescent="0.35">
      <c r="A223">
        <v>6</v>
      </c>
      <c r="B223" t="s">
        <v>1</v>
      </c>
    </row>
    <row r="224" spans="1:2" x14ac:dyDescent="0.35">
      <c r="A224">
        <v>6</v>
      </c>
      <c r="B224">
        <v>-0.93700000000000006</v>
      </c>
    </row>
    <row r="225" spans="1:2" x14ac:dyDescent="0.35">
      <c r="A225">
        <v>6</v>
      </c>
      <c r="B225" t="s">
        <v>28</v>
      </c>
    </row>
    <row r="226" spans="1:2" x14ac:dyDescent="0.35">
      <c r="A226">
        <v>6</v>
      </c>
      <c r="B226">
        <v>195</v>
      </c>
    </row>
    <row r="227" spans="1:2" x14ac:dyDescent="0.35">
      <c r="A227">
        <v>6</v>
      </c>
      <c r="B227" t="s">
        <v>25</v>
      </c>
    </row>
    <row r="228" spans="1:2" x14ac:dyDescent="0.35">
      <c r="A228">
        <v>6</v>
      </c>
      <c r="B228" s="2">
        <v>5.9900000000000002E-2</v>
      </c>
    </row>
    <row r="229" spans="1:2" x14ac:dyDescent="0.35">
      <c r="A229">
        <v>6</v>
      </c>
      <c r="B229" t="s">
        <v>29</v>
      </c>
    </row>
    <row r="230" spans="1:2" x14ac:dyDescent="0.35">
      <c r="A230">
        <v>6</v>
      </c>
      <c r="B230" s="2">
        <v>-0.19839999999999999</v>
      </c>
    </row>
    <row r="231" spans="1:2" x14ac:dyDescent="0.35">
      <c r="A231">
        <v>6</v>
      </c>
      <c r="B231" t="s">
        <v>30</v>
      </c>
    </row>
    <row r="232" spans="1:2" x14ac:dyDescent="0.35">
      <c r="A232">
        <v>6</v>
      </c>
      <c r="B232" s="2">
        <v>-0.72033999999999998</v>
      </c>
    </row>
    <row r="233" spans="1:2" x14ac:dyDescent="0.35">
      <c r="A233">
        <v>6</v>
      </c>
      <c r="B233" t="s">
        <v>8</v>
      </c>
    </row>
    <row r="234" spans="1:2" x14ac:dyDescent="0.35">
      <c r="A234">
        <v>6</v>
      </c>
      <c r="B234" s="2">
        <v>0.63400000000000001</v>
      </c>
    </row>
    <row r="235" spans="1:2" x14ac:dyDescent="0.35">
      <c r="A235">
        <v>6</v>
      </c>
      <c r="B235" t="s">
        <v>31</v>
      </c>
    </row>
    <row r="236" spans="1:2" x14ac:dyDescent="0.35">
      <c r="A236">
        <v>6</v>
      </c>
      <c r="B236">
        <v>-0.56599999999999995</v>
      </c>
    </row>
    <row r="237" spans="1:2" x14ac:dyDescent="0.35">
      <c r="A237">
        <v>6</v>
      </c>
      <c r="B237" t="s">
        <v>32</v>
      </c>
    </row>
    <row r="238" spans="1:2" x14ac:dyDescent="0.35">
      <c r="A238">
        <v>6</v>
      </c>
      <c r="B238" s="2">
        <v>-0.55966000000000005</v>
      </c>
    </row>
    <row r="239" spans="1:2" x14ac:dyDescent="0.35">
      <c r="A239">
        <v>6</v>
      </c>
      <c r="B239" t="s">
        <v>33</v>
      </c>
    </row>
    <row r="240" spans="1:2" x14ac:dyDescent="0.35">
      <c r="A240">
        <v>6</v>
      </c>
      <c r="B240" s="3">
        <v>0.67</v>
      </c>
    </row>
    <row r="241" spans="1:2" x14ac:dyDescent="0.35">
      <c r="A241">
        <v>6</v>
      </c>
      <c r="B241" t="s">
        <v>34</v>
      </c>
    </row>
    <row r="242" spans="1:2" x14ac:dyDescent="0.35">
      <c r="A242">
        <v>6</v>
      </c>
      <c r="B242" s="3">
        <v>0.33</v>
      </c>
    </row>
    <row r="243" spans="1:2" x14ac:dyDescent="0.35">
      <c r="A243">
        <v>6</v>
      </c>
      <c r="B243" t="s">
        <v>26</v>
      </c>
    </row>
    <row r="244" spans="1:2" x14ac:dyDescent="0.35">
      <c r="A244">
        <v>6</v>
      </c>
      <c r="B244">
        <v>0.3</v>
      </c>
    </row>
    <row r="245" spans="1:2" x14ac:dyDescent="0.35">
      <c r="A245">
        <v>6</v>
      </c>
      <c r="B245" t="s">
        <v>23</v>
      </c>
    </row>
    <row r="246" spans="1:2" x14ac:dyDescent="0.35">
      <c r="A246">
        <v>6</v>
      </c>
      <c r="B246">
        <v>-0.61599999999999999</v>
      </c>
    </row>
    <row r="247" spans="1:2" x14ac:dyDescent="0.35">
      <c r="A247">
        <v>6</v>
      </c>
      <c r="B247" t="s">
        <v>24</v>
      </c>
    </row>
    <row r="248" spans="1:2" x14ac:dyDescent="0.35">
      <c r="A248">
        <v>6</v>
      </c>
      <c r="B248">
        <v>1.53</v>
      </c>
    </row>
    <row r="249" spans="1:2" x14ac:dyDescent="0.35">
      <c r="A249">
        <v>6</v>
      </c>
      <c r="B249" t="s">
        <v>35</v>
      </c>
    </row>
    <row r="250" spans="1:2" x14ac:dyDescent="0.35">
      <c r="A250">
        <v>6</v>
      </c>
      <c r="B250">
        <v>0.55300000000000005</v>
      </c>
    </row>
    <row r="251" spans="1:2" x14ac:dyDescent="0.35">
      <c r="A251">
        <v>6</v>
      </c>
      <c r="B251" t="s">
        <v>36</v>
      </c>
    </row>
    <row r="252" spans="1:2" x14ac:dyDescent="0.35">
      <c r="A252">
        <v>6</v>
      </c>
      <c r="B252">
        <v>0.30499999999999999</v>
      </c>
    </row>
    <row r="253" spans="1:2" x14ac:dyDescent="0.35">
      <c r="A253">
        <v>6</v>
      </c>
      <c r="B253" t="s">
        <v>37</v>
      </c>
    </row>
    <row r="254" spans="1:2" x14ac:dyDescent="0.35">
      <c r="A254">
        <v>6</v>
      </c>
      <c r="B254">
        <v>-1.069</v>
      </c>
    </row>
    <row r="255" spans="1:2" x14ac:dyDescent="0.35">
      <c r="A255">
        <v>6</v>
      </c>
      <c r="B255" t="s">
        <v>38</v>
      </c>
    </row>
    <row r="256" spans="1:2" x14ac:dyDescent="0.35">
      <c r="A256">
        <v>6</v>
      </c>
      <c r="B256">
        <v>0.54400000000000004</v>
      </c>
    </row>
    <row r="257" spans="1:2" x14ac:dyDescent="0.35">
      <c r="A257">
        <v>6</v>
      </c>
      <c r="B257" t="s">
        <v>39</v>
      </c>
    </row>
    <row r="258" spans="1:2" x14ac:dyDescent="0.35">
      <c r="A258">
        <v>6</v>
      </c>
      <c r="B258">
        <v>-0.33800000000000002</v>
      </c>
    </row>
    <row r="259" spans="1:2" x14ac:dyDescent="0.35">
      <c r="A259">
        <v>6</v>
      </c>
      <c r="B259" t="s">
        <v>40</v>
      </c>
    </row>
    <row r="260" spans="1:2" x14ac:dyDescent="0.35">
      <c r="A260">
        <v>6</v>
      </c>
      <c r="B260" s="4">
        <v>0</v>
      </c>
    </row>
    <row r="261" spans="1:2" x14ac:dyDescent="0.35">
      <c r="A261">
        <v>6</v>
      </c>
      <c r="B261" t="s">
        <v>41</v>
      </c>
    </row>
    <row r="262" spans="1:2" x14ac:dyDescent="0.35">
      <c r="A262">
        <v>6</v>
      </c>
      <c r="B262" s="4">
        <v>3000000</v>
      </c>
    </row>
    <row r="263" spans="1:2" x14ac:dyDescent="0.35">
      <c r="A263">
        <v>6</v>
      </c>
      <c r="B263" t="s">
        <v>42</v>
      </c>
    </row>
    <row r="264" spans="1:2" x14ac:dyDescent="0.35">
      <c r="A264">
        <v>6</v>
      </c>
      <c r="B264" t="s">
        <v>43</v>
      </c>
    </row>
    <row r="265" spans="1:2" x14ac:dyDescent="0.35">
      <c r="A265">
        <v>7</v>
      </c>
    </row>
    <row r="266" spans="1:2" x14ac:dyDescent="0.35">
      <c r="A266">
        <v>7</v>
      </c>
      <c r="B266" t="s">
        <v>27</v>
      </c>
    </row>
    <row r="267" spans="1:2" x14ac:dyDescent="0.35">
      <c r="A267">
        <v>7</v>
      </c>
      <c r="B267" s="2">
        <v>1.554E-2</v>
      </c>
    </row>
    <row r="268" spans="1:2" x14ac:dyDescent="0.35">
      <c r="A268">
        <v>7</v>
      </c>
      <c r="B268" t="s">
        <v>1</v>
      </c>
    </row>
    <row r="269" spans="1:2" x14ac:dyDescent="0.35">
      <c r="A269">
        <v>7</v>
      </c>
      <c r="B269">
        <v>-1.2050000000000001</v>
      </c>
    </row>
    <row r="270" spans="1:2" x14ac:dyDescent="0.35">
      <c r="A270">
        <v>7</v>
      </c>
      <c r="B270" t="s">
        <v>28</v>
      </c>
    </row>
    <row r="271" spans="1:2" x14ac:dyDescent="0.35">
      <c r="A271">
        <v>7</v>
      </c>
      <c r="B271">
        <v>136</v>
      </c>
    </row>
    <row r="272" spans="1:2" x14ac:dyDescent="0.35">
      <c r="A272">
        <v>7</v>
      </c>
      <c r="B272" t="s">
        <v>25</v>
      </c>
    </row>
    <row r="273" spans="1:2" x14ac:dyDescent="0.35">
      <c r="A273">
        <v>7</v>
      </c>
      <c r="B273" s="2">
        <v>4.7000000000000002E-3</v>
      </c>
    </row>
    <row r="274" spans="1:2" x14ac:dyDescent="0.35">
      <c r="A274">
        <v>7</v>
      </c>
      <c r="B274" t="s">
        <v>29</v>
      </c>
    </row>
    <row r="275" spans="1:2" x14ac:dyDescent="0.35">
      <c r="A275">
        <v>7</v>
      </c>
      <c r="B275" s="2">
        <v>-1.2999999999999999E-2</v>
      </c>
    </row>
    <row r="276" spans="1:2" x14ac:dyDescent="0.35">
      <c r="A276">
        <v>7</v>
      </c>
      <c r="B276" t="s">
        <v>30</v>
      </c>
    </row>
    <row r="277" spans="1:2" x14ac:dyDescent="0.35">
      <c r="A277">
        <v>7</v>
      </c>
      <c r="B277" s="2">
        <v>-2.512E-2</v>
      </c>
    </row>
    <row r="278" spans="1:2" x14ac:dyDescent="0.35">
      <c r="A278">
        <v>7</v>
      </c>
      <c r="B278" t="s">
        <v>8</v>
      </c>
    </row>
    <row r="279" spans="1:2" x14ac:dyDescent="0.35">
      <c r="A279">
        <v>7</v>
      </c>
      <c r="B279" s="2">
        <v>2.7E-2</v>
      </c>
    </row>
    <row r="280" spans="1:2" x14ac:dyDescent="0.35">
      <c r="A280">
        <v>7</v>
      </c>
      <c r="B280" t="s">
        <v>31</v>
      </c>
    </row>
    <row r="281" spans="1:2" x14ac:dyDescent="0.35">
      <c r="A281">
        <v>7</v>
      </c>
      <c r="B281">
        <v>-0.32</v>
      </c>
    </row>
    <row r="282" spans="1:2" x14ac:dyDescent="0.35">
      <c r="A282">
        <v>7</v>
      </c>
      <c r="B282" t="s">
        <v>32</v>
      </c>
    </row>
    <row r="283" spans="1:2" x14ac:dyDescent="0.35">
      <c r="A283">
        <v>7</v>
      </c>
      <c r="B283" s="2">
        <v>-1.6240000000000001E-2</v>
      </c>
    </row>
    <row r="284" spans="1:2" x14ac:dyDescent="0.35">
      <c r="A284">
        <v>7</v>
      </c>
      <c r="B284" t="s">
        <v>33</v>
      </c>
    </row>
    <row r="285" spans="1:2" x14ac:dyDescent="0.35">
      <c r="A285">
        <v>7</v>
      </c>
      <c r="B285" s="3">
        <v>0.5</v>
      </c>
    </row>
    <row r="286" spans="1:2" x14ac:dyDescent="0.35">
      <c r="A286">
        <v>7</v>
      </c>
      <c r="B286" t="s">
        <v>34</v>
      </c>
    </row>
    <row r="287" spans="1:2" x14ac:dyDescent="0.35">
      <c r="A287">
        <v>7</v>
      </c>
      <c r="B287" s="3">
        <v>0.5</v>
      </c>
    </row>
    <row r="288" spans="1:2" x14ac:dyDescent="0.35">
      <c r="A288">
        <v>7</v>
      </c>
      <c r="B288" t="s">
        <v>26</v>
      </c>
    </row>
    <row r="289" spans="1:2" x14ac:dyDescent="0.35">
      <c r="A289">
        <v>7</v>
      </c>
      <c r="B289">
        <v>0.36</v>
      </c>
    </row>
    <row r="290" spans="1:2" x14ac:dyDescent="0.35">
      <c r="A290">
        <v>7</v>
      </c>
      <c r="B290" t="s">
        <v>23</v>
      </c>
    </row>
    <row r="291" spans="1:2" x14ac:dyDescent="0.35">
      <c r="A291">
        <v>7</v>
      </c>
      <c r="B291">
        <v>-1.9E-2</v>
      </c>
    </row>
    <row r="292" spans="1:2" x14ac:dyDescent="0.35">
      <c r="A292">
        <v>7</v>
      </c>
      <c r="B292" t="s">
        <v>24</v>
      </c>
    </row>
    <row r="293" spans="1:2" x14ac:dyDescent="0.35">
      <c r="A293">
        <v>7</v>
      </c>
      <c r="B293">
        <v>1.7999999999999999E-2</v>
      </c>
    </row>
    <row r="294" spans="1:2" x14ac:dyDescent="0.35">
      <c r="A294">
        <v>7</v>
      </c>
      <c r="B294" t="s">
        <v>35</v>
      </c>
    </row>
    <row r="295" spans="1:2" x14ac:dyDescent="0.35">
      <c r="A295">
        <v>7</v>
      </c>
      <c r="B295">
        <v>1.4E-2</v>
      </c>
    </row>
    <row r="296" spans="1:2" x14ac:dyDescent="0.35">
      <c r="A296">
        <v>7</v>
      </c>
      <c r="B296" t="s">
        <v>36</v>
      </c>
    </row>
    <row r="297" spans="1:2" x14ac:dyDescent="0.35">
      <c r="A297">
        <v>7</v>
      </c>
      <c r="B297">
        <v>0</v>
      </c>
    </row>
    <row r="298" spans="1:2" x14ac:dyDescent="0.35">
      <c r="A298">
        <v>7</v>
      </c>
      <c r="B298" t="s">
        <v>37</v>
      </c>
    </row>
    <row r="299" spans="1:2" x14ac:dyDescent="0.35">
      <c r="A299">
        <v>7</v>
      </c>
      <c r="B299">
        <v>-1.212</v>
      </c>
    </row>
    <row r="300" spans="1:2" x14ac:dyDescent="0.35">
      <c r="A300">
        <v>7</v>
      </c>
      <c r="B300" t="s">
        <v>38</v>
      </c>
    </row>
    <row r="301" spans="1:2" x14ac:dyDescent="0.35">
      <c r="A301">
        <v>7</v>
      </c>
      <c r="B301">
        <v>6.7000000000000004E-2</v>
      </c>
    </row>
    <row r="302" spans="1:2" x14ac:dyDescent="0.35">
      <c r="A302">
        <v>7</v>
      </c>
      <c r="B302" t="s">
        <v>39</v>
      </c>
    </row>
    <row r="303" spans="1:2" x14ac:dyDescent="0.35">
      <c r="A303">
        <v>7</v>
      </c>
      <c r="B303">
        <v>-0.96299999999999997</v>
      </c>
    </row>
    <row r="304" spans="1:2" x14ac:dyDescent="0.35">
      <c r="A304">
        <v>7</v>
      </c>
      <c r="B304" t="s">
        <v>40</v>
      </c>
    </row>
    <row r="305" spans="1:2" x14ac:dyDescent="0.35">
      <c r="A305">
        <v>7</v>
      </c>
      <c r="B305" s="4">
        <v>0</v>
      </c>
    </row>
    <row r="306" spans="1:2" x14ac:dyDescent="0.35">
      <c r="A306">
        <v>7</v>
      </c>
      <c r="B306" t="s">
        <v>41</v>
      </c>
    </row>
    <row r="307" spans="1:2" x14ac:dyDescent="0.35">
      <c r="A307">
        <v>7</v>
      </c>
      <c r="B307" s="4">
        <v>240000000</v>
      </c>
    </row>
    <row r="308" spans="1:2" x14ac:dyDescent="0.35">
      <c r="A308">
        <v>7</v>
      </c>
      <c r="B308" t="s">
        <v>42</v>
      </c>
    </row>
    <row r="309" spans="1:2" x14ac:dyDescent="0.35">
      <c r="A309">
        <v>7</v>
      </c>
      <c r="B309" t="s">
        <v>43</v>
      </c>
    </row>
    <row r="310" spans="1:2" x14ac:dyDescent="0.35">
      <c r="A310">
        <v>8</v>
      </c>
    </row>
    <row r="311" spans="1:2" x14ac:dyDescent="0.35">
      <c r="A311">
        <v>8</v>
      </c>
      <c r="B311" t="s">
        <v>27</v>
      </c>
    </row>
    <row r="312" spans="1:2" x14ac:dyDescent="0.35">
      <c r="A312">
        <v>8</v>
      </c>
      <c r="B312" s="2">
        <v>1.626E-2</v>
      </c>
    </row>
    <row r="313" spans="1:2" x14ac:dyDescent="0.35">
      <c r="A313">
        <v>8</v>
      </c>
      <c r="B313" t="s">
        <v>1</v>
      </c>
    </row>
    <row r="314" spans="1:2" x14ac:dyDescent="0.35">
      <c r="A314">
        <v>8</v>
      </c>
      <c r="B314">
        <v>-1.1040000000000001</v>
      </c>
    </row>
    <row r="315" spans="1:2" x14ac:dyDescent="0.35">
      <c r="A315">
        <v>8</v>
      </c>
      <c r="B315" t="s">
        <v>28</v>
      </c>
    </row>
    <row r="316" spans="1:2" x14ac:dyDescent="0.35">
      <c r="A316">
        <v>8</v>
      </c>
      <c r="B316">
        <v>136</v>
      </c>
    </row>
    <row r="317" spans="1:2" x14ac:dyDescent="0.35">
      <c r="A317">
        <v>8</v>
      </c>
      <c r="B317" t="s">
        <v>25</v>
      </c>
    </row>
    <row r="318" spans="1:2" x14ac:dyDescent="0.35">
      <c r="A318">
        <v>8</v>
      </c>
      <c r="B318" s="2">
        <v>4.6100000000000002E-2</v>
      </c>
    </row>
    <row r="319" spans="1:2" x14ac:dyDescent="0.35">
      <c r="A319">
        <v>8</v>
      </c>
      <c r="B319" t="s">
        <v>29</v>
      </c>
    </row>
    <row r="320" spans="1:2" x14ac:dyDescent="0.35">
      <c r="A320">
        <v>8</v>
      </c>
      <c r="B320" s="2">
        <v>-0.12509999999999999</v>
      </c>
    </row>
    <row r="321" spans="1:2" x14ac:dyDescent="0.35">
      <c r="A321">
        <v>8</v>
      </c>
      <c r="B321" t="s">
        <v>30</v>
      </c>
    </row>
    <row r="322" spans="1:2" x14ac:dyDescent="0.35">
      <c r="A322">
        <v>8</v>
      </c>
      <c r="B322" s="2">
        <v>-0.24071000000000001</v>
      </c>
    </row>
    <row r="323" spans="1:2" x14ac:dyDescent="0.35">
      <c r="A323">
        <v>8</v>
      </c>
      <c r="B323" t="s">
        <v>8</v>
      </c>
    </row>
    <row r="324" spans="1:2" x14ac:dyDescent="0.35">
      <c r="A324">
        <v>8</v>
      </c>
      <c r="B324" s="2">
        <v>0.245</v>
      </c>
    </row>
    <row r="325" spans="1:2" x14ac:dyDescent="0.35">
      <c r="A325">
        <v>8</v>
      </c>
      <c r="B325" t="s">
        <v>31</v>
      </c>
    </row>
    <row r="326" spans="1:2" x14ac:dyDescent="0.35">
      <c r="A326">
        <v>8</v>
      </c>
      <c r="B326">
        <v>-0.316</v>
      </c>
    </row>
    <row r="327" spans="1:2" x14ac:dyDescent="0.35">
      <c r="A327">
        <v>8</v>
      </c>
      <c r="B327" t="s">
        <v>32</v>
      </c>
    </row>
    <row r="328" spans="1:2" x14ac:dyDescent="0.35">
      <c r="A328">
        <v>8</v>
      </c>
      <c r="B328" s="2">
        <v>-0.16244</v>
      </c>
    </row>
    <row r="329" spans="1:2" x14ac:dyDescent="0.35">
      <c r="A329">
        <v>8</v>
      </c>
      <c r="B329" t="s">
        <v>33</v>
      </c>
    </row>
    <row r="330" spans="1:2" x14ac:dyDescent="0.35">
      <c r="A330">
        <v>8</v>
      </c>
      <c r="B330" s="3">
        <v>0.5</v>
      </c>
    </row>
    <row r="331" spans="1:2" x14ac:dyDescent="0.35">
      <c r="A331">
        <v>8</v>
      </c>
      <c r="B331" t="s">
        <v>34</v>
      </c>
    </row>
    <row r="332" spans="1:2" x14ac:dyDescent="0.35">
      <c r="A332">
        <v>8</v>
      </c>
      <c r="B332" s="3">
        <v>0.5</v>
      </c>
    </row>
    <row r="333" spans="1:2" x14ac:dyDescent="0.35">
      <c r="A333">
        <v>8</v>
      </c>
      <c r="B333" t="s">
        <v>26</v>
      </c>
    </row>
    <row r="334" spans="1:2" x14ac:dyDescent="0.35">
      <c r="A334">
        <v>8</v>
      </c>
      <c r="B334">
        <v>0.37</v>
      </c>
    </row>
    <row r="335" spans="1:2" x14ac:dyDescent="0.35">
      <c r="A335">
        <v>8</v>
      </c>
      <c r="B335" t="s">
        <v>23</v>
      </c>
    </row>
    <row r="336" spans="1:2" x14ac:dyDescent="0.35">
      <c r="A336">
        <v>8</v>
      </c>
      <c r="B336">
        <v>-0.17599999999999999</v>
      </c>
    </row>
    <row r="337" spans="1:2" x14ac:dyDescent="0.35">
      <c r="A337">
        <v>8</v>
      </c>
      <c r="B337" t="s">
        <v>24</v>
      </c>
    </row>
    <row r="338" spans="1:2" x14ac:dyDescent="0.35">
      <c r="A338">
        <v>8</v>
      </c>
      <c r="B338">
        <v>0.183</v>
      </c>
    </row>
    <row r="339" spans="1:2" x14ac:dyDescent="0.35">
      <c r="A339">
        <v>8</v>
      </c>
      <c r="B339" t="s">
        <v>35</v>
      </c>
    </row>
    <row r="340" spans="1:2" x14ac:dyDescent="0.35">
      <c r="A340">
        <v>8</v>
      </c>
      <c r="B340">
        <v>0.14899999999999999</v>
      </c>
    </row>
    <row r="341" spans="1:2" x14ac:dyDescent="0.35">
      <c r="A341">
        <v>8</v>
      </c>
      <c r="B341" t="s">
        <v>36</v>
      </c>
    </row>
    <row r="342" spans="1:2" x14ac:dyDescent="0.35">
      <c r="A342">
        <v>8</v>
      </c>
      <c r="B342">
        <v>2.1999999999999999E-2</v>
      </c>
    </row>
    <row r="343" spans="1:2" x14ac:dyDescent="0.35">
      <c r="A343">
        <v>8</v>
      </c>
      <c r="B343" t="s">
        <v>37</v>
      </c>
    </row>
    <row r="344" spans="1:2" x14ac:dyDescent="0.35">
      <c r="A344">
        <v>8</v>
      </c>
      <c r="B344">
        <v>-1.444</v>
      </c>
    </row>
    <row r="345" spans="1:2" x14ac:dyDescent="0.35">
      <c r="A345">
        <v>8</v>
      </c>
      <c r="B345" t="s">
        <v>38</v>
      </c>
    </row>
    <row r="346" spans="1:2" x14ac:dyDescent="0.35">
      <c r="A346">
        <v>8</v>
      </c>
      <c r="B346">
        <v>0.158</v>
      </c>
    </row>
    <row r="347" spans="1:2" x14ac:dyDescent="0.35">
      <c r="A347">
        <v>8</v>
      </c>
      <c r="B347" t="s">
        <v>39</v>
      </c>
    </row>
    <row r="348" spans="1:2" x14ac:dyDescent="0.35">
      <c r="A348">
        <v>8</v>
      </c>
      <c r="B348">
        <v>-0.89800000000000002</v>
      </c>
    </row>
    <row r="349" spans="1:2" x14ac:dyDescent="0.35">
      <c r="A349">
        <v>8</v>
      </c>
      <c r="B349" t="s">
        <v>40</v>
      </c>
    </row>
    <row r="350" spans="1:2" x14ac:dyDescent="0.35">
      <c r="A350">
        <v>8</v>
      </c>
      <c r="B350" s="4">
        <v>0</v>
      </c>
    </row>
    <row r="351" spans="1:2" x14ac:dyDescent="0.35">
      <c r="A351">
        <v>8</v>
      </c>
      <c r="B351" t="s">
        <v>41</v>
      </c>
    </row>
    <row r="352" spans="1:2" x14ac:dyDescent="0.35">
      <c r="A352">
        <v>8</v>
      </c>
      <c r="B352" s="4">
        <v>23000000</v>
      </c>
    </row>
    <row r="353" spans="1:2" x14ac:dyDescent="0.35">
      <c r="A353">
        <v>8</v>
      </c>
      <c r="B353" t="s">
        <v>42</v>
      </c>
    </row>
    <row r="354" spans="1:2" x14ac:dyDescent="0.35">
      <c r="A354">
        <v>8</v>
      </c>
      <c r="B354" t="s">
        <v>43</v>
      </c>
    </row>
    <row r="355" spans="1:2" x14ac:dyDescent="0.35">
      <c r="A355">
        <v>34</v>
      </c>
      <c r="B355" t="s">
        <v>27</v>
      </c>
    </row>
    <row r="356" spans="1:2" x14ac:dyDescent="0.35">
      <c r="A356">
        <v>34</v>
      </c>
      <c r="B356" s="2">
        <v>0.22356999999999999</v>
      </c>
    </row>
    <row r="357" spans="1:2" x14ac:dyDescent="0.35">
      <c r="A357">
        <v>34</v>
      </c>
      <c r="B357" t="s">
        <v>1</v>
      </c>
    </row>
    <row r="358" spans="1:2" x14ac:dyDescent="0.35">
      <c r="A358">
        <v>34</v>
      </c>
      <c r="B358">
        <v>0.23699999999999999</v>
      </c>
    </row>
    <row r="359" spans="1:2" x14ac:dyDescent="0.35">
      <c r="A359">
        <v>34</v>
      </c>
      <c r="B359" t="s">
        <v>28</v>
      </c>
    </row>
    <row r="360" spans="1:2" x14ac:dyDescent="0.35">
      <c r="A360">
        <v>34</v>
      </c>
      <c r="B360">
        <v>317</v>
      </c>
    </row>
    <row r="361" spans="1:2" x14ac:dyDescent="0.35">
      <c r="A361">
        <v>34</v>
      </c>
      <c r="B361" t="s">
        <v>25</v>
      </c>
    </row>
    <row r="362" spans="1:2" x14ac:dyDescent="0.35">
      <c r="A362">
        <v>34</v>
      </c>
      <c r="B362" s="2">
        <v>1.6999999999999999E-3</v>
      </c>
    </row>
    <row r="363" spans="1:2" x14ac:dyDescent="0.35">
      <c r="A363">
        <v>34</v>
      </c>
      <c r="B363" t="s">
        <v>29</v>
      </c>
    </row>
    <row r="364" spans="1:2" x14ac:dyDescent="0.35">
      <c r="A364">
        <v>34</v>
      </c>
      <c r="B364" s="2">
        <v>-8.0000000000000004E-4</v>
      </c>
    </row>
    <row r="365" spans="1:2" x14ac:dyDescent="0.35">
      <c r="A365">
        <v>34</v>
      </c>
      <c r="B365" t="s">
        <v>30</v>
      </c>
    </row>
    <row r="366" spans="1:2" x14ac:dyDescent="0.35">
      <c r="A366">
        <v>34</v>
      </c>
      <c r="B366" s="2">
        <v>3.1199999999999999E-3</v>
      </c>
    </row>
    <row r="367" spans="1:2" x14ac:dyDescent="0.35">
      <c r="A367">
        <v>34</v>
      </c>
      <c r="B367" t="s">
        <v>8</v>
      </c>
    </row>
    <row r="368" spans="1:2" x14ac:dyDescent="0.35">
      <c r="A368">
        <v>34</v>
      </c>
      <c r="B368" s="2">
        <v>5.0000000000000001E-3</v>
      </c>
    </row>
    <row r="369" spans="1:2" x14ac:dyDescent="0.35">
      <c r="A369">
        <v>34</v>
      </c>
      <c r="B369" t="s">
        <v>31</v>
      </c>
    </row>
    <row r="370" spans="1:2" x14ac:dyDescent="0.35">
      <c r="A370">
        <v>34</v>
      </c>
      <c r="B370">
        <v>0.28699999999999998</v>
      </c>
    </row>
    <row r="371" spans="1:2" x14ac:dyDescent="0.35">
      <c r="A371">
        <v>34</v>
      </c>
      <c r="B371" t="s">
        <v>32</v>
      </c>
    </row>
    <row r="372" spans="1:2" x14ac:dyDescent="0.35">
      <c r="A372">
        <v>34</v>
      </c>
      <c r="B372" s="2">
        <v>2.0100000000000001E-3</v>
      </c>
    </row>
    <row r="373" spans="1:2" x14ac:dyDescent="0.35">
      <c r="A373">
        <v>34</v>
      </c>
      <c r="B373" t="s">
        <v>33</v>
      </c>
    </row>
    <row r="374" spans="1:2" x14ac:dyDescent="0.35">
      <c r="A374">
        <v>34</v>
      </c>
      <c r="B374" s="3">
        <v>0.6</v>
      </c>
    </row>
    <row r="375" spans="1:2" x14ac:dyDescent="0.35">
      <c r="A375">
        <v>34</v>
      </c>
      <c r="B375" t="s">
        <v>34</v>
      </c>
    </row>
    <row r="376" spans="1:2" x14ac:dyDescent="0.35">
      <c r="A376">
        <v>34</v>
      </c>
      <c r="B376" s="3">
        <v>0.4</v>
      </c>
    </row>
    <row r="377" spans="1:2" x14ac:dyDescent="0.35">
      <c r="A377">
        <v>34</v>
      </c>
      <c r="B377" t="s">
        <v>26</v>
      </c>
    </row>
    <row r="378" spans="1:2" x14ac:dyDescent="0.35">
      <c r="A378">
        <v>34</v>
      </c>
      <c r="B378">
        <v>2.2200000000000002</v>
      </c>
    </row>
    <row r="379" spans="1:2" x14ac:dyDescent="0.35">
      <c r="A379">
        <v>34</v>
      </c>
      <c r="B379" t="s">
        <v>23</v>
      </c>
    </row>
    <row r="380" spans="1:2" x14ac:dyDescent="0.35">
      <c r="A380">
        <v>34</v>
      </c>
      <c r="B380">
        <v>0</v>
      </c>
    </row>
    <row r="381" spans="1:2" x14ac:dyDescent="0.35">
      <c r="A381">
        <v>34</v>
      </c>
      <c r="B381" t="s">
        <v>24</v>
      </c>
    </row>
    <row r="382" spans="1:2" x14ac:dyDescent="0.35">
      <c r="A382">
        <v>34</v>
      </c>
      <c r="B382">
        <v>4.2000000000000003E-2</v>
      </c>
    </row>
    <row r="383" spans="1:2" x14ac:dyDescent="0.35">
      <c r="A383">
        <v>34</v>
      </c>
      <c r="B383" t="s">
        <v>35</v>
      </c>
    </row>
    <row r="384" spans="1:2" x14ac:dyDescent="0.35">
      <c r="A384">
        <v>34</v>
      </c>
      <c r="B384">
        <v>8.9999999999999993E-3</v>
      </c>
    </row>
    <row r="385" spans="1:2" x14ac:dyDescent="0.35">
      <c r="A385">
        <v>34</v>
      </c>
      <c r="B385" t="s">
        <v>36</v>
      </c>
    </row>
    <row r="386" spans="1:2" x14ac:dyDescent="0.35">
      <c r="A386">
        <v>34</v>
      </c>
      <c r="B386">
        <v>0</v>
      </c>
    </row>
    <row r="387" spans="1:2" x14ac:dyDescent="0.35">
      <c r="A387">
        <v>34</v>
      </c>
      <c r="B387" t="s">
        <v>37</v>
      </c>
    </row>
    <row r="388" spans="1:2" x14ac:dyDescent="0.35">
      <c r="A388">
        <v>34</v>
      </c>
      <c r="B388">
        <v>-0.95699999999999996</v>
      </c>
    </row>
    <row r="389" spans="1:2" x14ac:dyDescent="0.35">
      <c r="A389">
        <v>34</v>
      </c>
      <c r="B389" t="s">
        <v>38</v>
      </c>
    </row>
    <row r="390" spans="1:2" x14ac:dyDescent="0.35">
      <c r="A390">
        <v>34</v>
      </c>
      <c r="B390">
        <v>6.5000000000000002E-2</v>
      </c>
    </row>
    <row r="391" spans="1:2" x14ac:dyDescent="0.35">
      <c r="A391">
        <v>34</v>
      </c>
      <c r="B391" t="s">
        <v>39</v>
      </c>
    </row>
    <row r="392" spans="1:2" x14ac:dyDescent="0.35">
      <c r="A392">
        <v>34</v>
      </c>
      <c r="B392">
        <v>5.2999999999999999E-2</v>
      </c>
    </row>
    <row r="393" spans="1:2" x14ac:dyDescent="0.35">
      <c r="A393">
        <v>34</v>
      </c>
      <c r="B393" t="s">
        <v>40</v>
      </c>
    </row>
    <row r="394" spans="1:2" x14ac:dyDescent="0.35">
      <c r="A394">
        <v>34</v>
      </c>
      <c r="B394" s="4">
        <v>0</v>
      </c>
    </row>
    <row r="395" spans="1:2" x14ac:dyDescent="0.35">
      <c r="A395">
        <v>34</v>
      </c>
      <c r="B395" t="s">
        <v>41</v>
      </c>
    </row>
    <row r="396" spans="1:2" x14ac:dyDescent="0.35">
      <c r="A396">
        <v>34</v>
      </c>
      <c r="B396" s="4">
        <v>230000000</v>
      </c>
    </row>
    <row r="397" spans="1:2" x14ac:dyDescent="0.35">
      <c r="A397">
        <v>34</v>
      </c>
      <c r="B397" t="s">
        <v>42</v>
      </c>
    </row>
    <row r="398" spans="1:2" x14ac:dyDescent="0.35">
      <c r="A398">
        <v>34</v>
      </c>
      <c r="B398" t="s">
        <v>44</v>
      </c>
    </row>
    <row r="399" spans="1:2" x14ac:dyDescent="0.35">
      <c r="A399">
        <v>28</v>
      </c>
      <c r="B399" t="s">
        <v>27</v>
      </c>
    </row>
    <row r="400" spans="1:2" x14ac:dyDescent="0.35">
      <c r="A400">
        <v>28</v>
      </c>
      <c r="B400" s="2">
        <v>1.125E-2</v>
      </c>
    </row>
    <row r="401" spans="1:2" x14ac:dyDescent="0.35">
      <c r="A401">
        <v>28</v>
      </c>
      <c r="B401" t="s">
        <v>1</v>
      </c>
    </row>
    <row r="402" spans="1:2" x14ac:dyDescent="0.35">
      <c r="A402">
        <v>28</v>
      </c>
      <c r="B402">
        <v>-1.2729999999999999</v>
      </c>
    </row>
    <row r="403" spans="1:2" x14ac:dyDescent="0.35">
      <c r="A403">
        <v>28</v>
      </c>
      <c r="B403" t="s">
        <v>28</v>
      </c>
    </row>
    <row r="404" spans="1:2" x14ac:dyDescent="0.35">
      <c r="A404">
        <v>28</v>
      </c>
      <c r="B404">
        <v>764</v>
      </c>
    </row>
    <row r="405" spans="1:2" x14ac:dyDescent="0.35">
      <c r="A405">
        <v>28</v>
      </c>
      <c r="B405" t="s">
        <v>25</v>
      </c>
    </row>
    <row r="406" spans="1:2" x14ac:dyDescent="0.35">
      <c r="A406">
        <v>28</v>
      </c>
      <c r="B406" s="2">
        <v>8.0000000000000004E-4</v>
      </c>
    </row>
    <row r="407" spans="1:2" x14ac:dyDescent="0.35">
      <c r="A407">
        <v>28</v>
      </c>
      <c r="B407" t="s">
        <v>29</v>
      </c>
    </row>
    <row r="408" spans="1:2" x14ac:dyDescent="0.35">
      <c r="A408">
        <v>28</v>
      </c>
      <c r="B408" s="2">
        <v>-1.1999999999999999E-3</v>
      </c>
    </row>
    <row r="409" spans="1:2" x14ac:dyDescent="0.35">
      <c r="A409">
        <v>28</v>
      </c>
      <c r="B409" t="s">
        <v>30</v>
      </c>
    </row>
    <row r="410" spans="1:2" x14ac:dyDescent="0.35">
      <c r="A410">
        <v>28</v>
      </c>
      <c r="B410" s="2">
        <v>-1.6959999999999999E-2</v>
      </c>
    </row>
    <row r="411" spans="1:2" x14ac:dyDescent="0.35">
      <c r="A411">
        <v>28</v>
      </c>
      <c r="B411" t="s">
        <v>8</v>
      </c>
    </row>
    <row r="412" spans="1:2" x14ac:dyDescent="0.35">
      <c r="A412">
        <v>28</v>
      </c>
      <c r="B412" s="2">
        <v>1.6E-2</v>
      </c>
    </row>
    <row r="413" spans="1:2" x14ac:dyDescent="0.35">
      <c r="A413">
        <v>28</v>
      </c>
      <c r="B413" t="s">
        <v>31</v>
      </c>
    </row>
    <row r="414" spans="1:2" x14ac:dyDescent="0.35">
      <c r="A414">
        <v>28</v>
      </c>
      <c r="B414">
        <v>-0.35599999999999998</v>
      </c>
    </row>
    <row r="415" spans="1:2" x14ac:dyDescent="0.35">
      <c r="A415">
        <v>28</v>
      </c>
      <c r="B415" t="s">
        <v>32</v>
      </c>
    </row>
    <row r="416" spans="1:2" x14ac:dyDescent="0.35">
      <c r="A416">
        <v>28</v>
      </c>
      <c r="B416" s="2">
        <v>-1.095E-2</v>
      </c>
    </row>
    <row r="417" spans="1:2" x14ac:dyDescent="0.35">
      <c r="A417">
        <v>28</v>
      </c>
      <c r="B417" t="s">
        <v>33</v>
      </c>
    </row>
    <row r="418" spans="1:2" x14ac:dyDescent="0.35">
      <c r="A418">
        <v>28</v>
      </c>
      <c r="B418" s="3">
        <v>0.6</v>
      </c>
    </row>
    <row r="419" spans="1:2" x14ac:dyDescent="0.35">
      <c r="A419">
        <v>28</v>
      </c>
      <c r="B419" t="s">
        <v>34</v>
      </c>
    </row>
    <row r="420" spans="1:2" x14ac:dyDescent="0.35">
      <c r="A420">
        <v>28</v>
      </c>
      <c r="B420" s="3">
        <v>0.4</v>
      </c>
    </row>
    <row r="421" spans="1:2" x14ac:dyDescent="0.35">
      <c r="A421">
        <v>28</v>
      </c>
      <c r="B421" t="s">
        <v>26</v>
      </c>
    </row>
    <row r="422" spans="1:2" x14ac:dyDescent="0.35">
      <c r="A422">
        <v>28</v>
      </c>
      <c r="B422">
        <v>0.61</v>
      </c>
    </row>
    <row r="423" spans="1:2" x14ac:dyDescent="0.35">
      <c r="A423">
        <v>28</v>
      </c>
      <c r="B423" t="s">
        <v>23</v>
      </c>
    </row>
    <row r="424" spans="1:2" x14ac:dyDescent="0.35">
      <c r="A424">
        <v>28</v>
      </c>
      <c r="B424">
        <v>-1.4E-2</v>
      </c>
    </row>
    <row r="425" spans="1:2" x14ac:dyDescent="0.35">
      <c r="A425">
        <v>28</v>
      </c>
      <c r="B425" t="s">
        <v>24</v>
      </c>
    </row>
    <row r="426" spans="1:2" x14ac:dyDescent="0.35">
      <c r="A426">
        <v>28</v>
      </c>
      <c r="B426">
        <v>3.3000000000000002E-2</v>
      </c>
    </row>
    <row r="427" spans="1:2" x14ac:dyDescent="0.35">
      <c r="A427">
        <v>28</v>
      </c>
      <c r="B427" t="s">
        <v>35</v>
      </c>
    </row>
    <row r="428" spans="1:2" x14ac:dyDescent="0.35">
      <c r="A428">
        <v>28</v>
      </c>
      <c r="B428">
        <v>8.9999999999999993E-3</v>
      </c>
    </row>
    <row r="429" spans="1:2" x14ac:dyDescent="0.35">
      <c r="A429">
        <v>28</v>
      </c>
      <c r="B429" t="s">
        <v>36</v>
      </c>
    </row>
    <row r="430" spans="1:2" x14ac:dyDescent="0.35">
      <c r="A430">
        <v>28</v>
      </c>
      <c r="B430">
        <v>0</v>
      </c>
    </row>
    <row r="431" spans="1:2" x14ac:dyDescent="0.35">
      <c r="A431">
        <v>28</v>
      </c>
      <c r="B431" t="s">
        <v>37</v>
      </c>
    </row>
    <row r="432" spans="1:2" x14ac:dyDescent="0.35">
      <c r="A432">
        <v>28</v>
      </c>
      <c r="B432">
        <v>-1.161</v>
      </c>
    </row>
    <row r="433" spans="1:2" x14ac:dyDescent="0.35">
      <c r="A433">
        <v>28</v>
      </c>
      <c r="B433" t="s">
        <v>38</v>
      </c>
    </row>
    <row r="434" spans="1:2" x14ac:dyDescent="0.35">
      <c r="A434">
        <v>28</v>
      </c>
      <c r="B434">
        <v>6.5000000000000002E-2</v>
      </c>
    </row>
    <row r="435" spans="1:2" x14ac:dyDescent="0.35">
      <c r="A435">
        <v>28</v>
      </c>
      <c r="B435" t="s">
        <v>39</v>
      </c>
    </row>
    <row r="436" spans="1:2" x14ac:dyDescent="0.35">
      <c r="A436">
        <v>28</v>
      </c>
      <c r="B436">
        <v>-0.35799999999999998</v>
      </c>
    </row>
    <row r="437" spans="1:2" x14ac:dyDescent="0.35">
      <c r="A437">
        <v>28</v>
      </c>
      <c r="B437" t="s">
        <v>40</v>
      </c>
    </row>
    <row r="438" spans="1:2" x14ac:dyDescent="0.35">
      <c r="A438">
        <v>28</v>
      </c>
      <c r="B438" s="4">
        <v>0</v>
      </c>
    </row>
    <row r="439" spans="1:2" x14ac:dyDescent="0.35">
      <c r="A439">
        <v>28</v>
      </c>
      <c r="B439" t="s">
        <v>41</v>
      </c>
    </row>
    <row r="440" spans="1:2" x14ac:dyDescent="0.35">
      <c r="A440">
        <v>28</v>
      </c>
      <c r="B440" s="4">
        <v>230000000</v>
      </c>
    </row>
    <row r="441" spans="1:2" x14ac:dyDescent="0.35">
      <c r="A441">
        <v>28</v>
      </c>
      <c r="B441" t="s">
        <v>42</v>
      </c>
    </row>
    <row r="442" spans="1:2" x14ac:dyDescent="0.35">
      <c r="A442">
        <v>28</v>
      </c>
      <c r="B442" t="s">
        <v>44</v>
      </c>
    </row>
    <row r="443" spans="1:2" x14ac:dyDescent="0.35">
      <c r="A443">
        <v>29</v>
      </c>
      <c r="B443" t="s">
        <v>27</v>
      </c>
    </row>
    <row r="444" spans="1:2" x14ac:dyDescent="0.35">
      <c r="A444">
        <v>29</v>
      </c>
      <c r="B444" s="2">
        <v>1.3780000000000001E-2</v>
      </c>
    </row>
    <row r="445" spans="1:2" x14ac:dyDescent="0.35">
      <c r="A445">
        <v>29</v>
      </c>
      <c r="B445" t="s">
        <v>1</v>
      </c>
    </row>
    <row r="446" spans="1:2" x14ac:dyDescent="0.35">
      <c r="A446">
        <v>29</v>
      </c>
      <c r="B446">
        <v>-1.1679999999999999</v>
      </c>
    </row>
    <row r="447" spans="1:2" x14ac:dyDescent="0.35">
      <c r="A447">
        <v>29</v>
      </c>
      <c r="B447" t="s">
        <v>28</v>
      </c>
    </row>
    <row r="448" spans="1:2" x14ac:dyDescent="0.35">
      <c r="A448">
        <v>29</v>
      </c>
      <c r="B448">
        <v>764</v>
      </c>
    </row>
    <row r="449" spans="1:2" x14ac:dyDescent="0.35">
      <c r="A449">
        <v>29</v>
      </c>
      <c r="B449" t="s">
        <v>25</v>
      </c>
    </row>
    <row r="450" spans="1:2" x14ac:dyDescent="0.35">
      <c r="A450">
        <v>29</v>
      </c>
      <c r="B450" s="2">
        <v>7.9000000000000008E-3</v>
      </c>
    </row>
    <row r="451" spans="1:2" x14ac:dyDescent="0.35">
      <c r="A451">
        <v>29</v>
      </c>
      <c r="B451" t="s">
        <v>29</v>
      </c>
    </row>
    <row r="452" spans="1:2" x14ac:dyDescent="0.35">
      <c r="A452">
        <v>29</v>
      </c>
      <c r="B452" s="2">
        <v>-1.2699999999999999E-2</v>
      </c>
    </row>
    <row r="453" spans="1:2" x14ac:dyDescent="0.35">
      <c r="A453">
        <v>29</v>
      </c>
      <c r="B453" t="s">
        <v>30</v>
      </c>
    </row>
    <row r="454" spans="1:2" x14ac:dyDescent="0.35">
      <c r="A454">
        <v>29</v>
      </c>
      <c r="B454" s="2">
        <v>-0.16483999999999999</v>
      </c>
    </row>
    <row r="455" spans="1:2" x14ac:dyDescent="0.35">
      <c r="A455">
        <v>29</v>
      </c>
      <c r="B455" t="s">
        <v>8</v>
      </c>
    </row>
    <row r="456" spans="1:2" x14ac:dyDescent="0.35">
      <c r="A456">
        <v>29</v>
      </c>
      <c r="B456" s="2">
        <v>0.155</v>
      </c>
    </row>
    <row r="457" spans="1:2" x14ac:dyDescent="0.35">
      <c r="A457">
        <v>29</v>
      </c>
      <c r="B457" t="s">
        <v>31</v>
      </c>
    </row>
    <row r="458" spans="1:2" x14ac:dyDescent="0.35">
      <c r="A458">
        <v>29</v>
      </c>
      <c r="B458">
        <v>-0.35299999999999998</v>
      </c>
    </row>
    <row r="459" spans="1:2" x14ac:dyDescent="0.35">
      <c r="A459">
        <v>29</v>
      </c>
      <c r="B459" t="s">
        <v>32</v>
      </c>
    </row>
    <row r="460" spans="1:2" x14ac:dyDescent="0.35">
      <c r="A460">
        <v>29</v>
      </c>
      <c r="B460" s="2">
        <v>-0.10947999999999999</v>
      </c>
    </row>
    <row r="461" spans="1:2" x14ac:dyDescent="0.35">
      <c r="A461">
        <v>29</v>
      </c>
      <c r="B461" t="s">
        <v>33</v>
      </c>
    </row>
    <row r="462" spans="1:2" x14ac:dyDescent="0.35">
      <c r="A462">
        <v>29</v>
      </c>
      <c r="B462" s="3">
        <v>0.6</v>
      </c>
    </row>
    <row r="463" spans="1:2" x14ac:dyDescent="0.35">
      <c r="A463">
        <v>29</v>
      </c>
      <c r="B463" t="s">
        <v>34</v>
      </c>
    </row>
    <row r="464" spans="1:2" x14ac:dyDescent="0.35">
      <c r="A464">
        <v>29</v>
      </c>
      <c r="B464" s="3">
        <v>0.4</v>
      </c>
    </row>
    <row r="465" spans="1:2" x14ac:dyDescent="0.35">
      <c r="A465">
        <v>29</v>
      </c>
      <c r="B465" t="s">
        <v>26</v>
      </c>
    </row>
    <row r="466" spans="1:2" x14ac:dyDescent="0.35">
      <c r="A466">
        <v>29</v>
      </c>
      <c r="B466">
        <v>0.62</v>
      </c>
    </row>
    <row r="467" spans="1:2" x14ac:dyDescent="0.35">
      <c r="A467">
        <v>29</v>
      </c>
      <c r="B467" t="s">
        <v>23</v>
      </c>
    </row>
    <row r="468" spans="1:2" x14ac:dyDescent="0.35">
      <c r="A468">
        <v>29</v>
      </c>
      <c r="B468">
        <v>-0.13500000000000001</v>
      </c>
    </row>
    <row r="469" spans="1:2" x14ac:dyDescent="0.35">
      <c r="A469">
        <v>29</v>
      </c>
      <c r="B469" t="s">
        <v>24</v>
      </c>
    </row>
    <row r="470" spans="1:2" x14ac:dyDescent="0.35">
      <c r="A470">
        <v>29</v>
      </c>
      <c r="B470">
        <v>0.34599999999999997</v>
      </c>
    </row>
    <row r="471" spans="1:2" x14ac:dyDescent="0.35">
      <c r="A471">
        <v>29</v>
      </c>
      <c r="B471" t="s">
        <v>35</v>
      </c>
    </row>
    <row r="472" spans="1:2" x14ac:dyDescent="0.35">
      <c r="A472">
        <v>29</v>
      </c>
      <c r="B472">
        <v>9.7000000000000003E-2</v>
      </c>
    </row>
    <row r="473" spans="1:2" x14ac:dyDescent="0.35">
      <c r="A473">
        <v>29</v>
      </c>
      <c r="B473" t="s">
        <v>36</v>
      </c>
    </row>
    <row r="474" spans="1:2" x14ac:dyDescent="0.35">
      <c r="A474">
        <v>29</v>
      </c>
      <c r="B474">
        <v>8.9999999999999993E-3</v>
      </c>
    </row>
    <row r="475" spans="1:2" x14ac:dyDescent="0.35">
      <c r="A475">
        <v>29</v>
      </c>
      <c r="B475" t="s">
        <v>37</v>
      </c>
    </row>
    <row r="476" spans="1:2" x14ac:dyDescent="0.35">
      <c r="A476">
        <v>29</v>
      </c>
      <c r="B476">
        <v>-1.708</v>
      </c>
    </row>
    <row r="477" spans="1:2" x14ac:dyDescent="0.35">
      <c r="A477">
        <v>29</v>
      </c>
      <c r="B477" t="s">
        <v>38</v>
      </c>
    </row>
    <row r="478" spans="1:2" x14ac:dyDescent="0.35">
      <c r="A478">
        <v>29</v>
      </c>
      <c r="B478">
        <v>0.104</v>
      </c>
    </row>
    <row r="479" spans="1:2" x14ac:dyDescent="0.35">
      <c r="A479">
        <v>29</v>
      </c>
      <c r="B479" t="s">
        <v>39</v>
      </c>
    </row>
    <row r="480" spans="1:2" x14ac:dyDescent="0.35">
      <c r="A480">
        <v>29</v>
      </c>
      <c r="B480">
        <v>-0.32700000000000001</v>
      </c>
    </row>
    <row r="481" spans="1:2" x14ac:dyDescent="0.35">
      <c r="A481">
        <v>29</v>
      </c>
      <c r="B481" t="s">
        <v>40</v>
      </c>
    </row>
    <row r="482" spans="1:2" x14ac:dyDescent="0.35">
      <c r="A482">
        <v>29</v>
      </c>
      <c r="B482" s="4">
        <v>0</v>
      </c>
    </row>
    <row r="483" spans="1:2" x14ac:dyDescent="0.35">
      <c r="A483">
        <v>29</v>
      </c>
      <c r="B483" t="s">
        <v>41</v>
      </c>
    </row>
    <row r="484" spans="1:2" x14ac:dyDescent="0.35">
      <c r="A484">
        <v>29</v>
      </c>
      <c r="B484" s="4">
        <v>22000000</v>
      </c>
    </row>
    <row r="485" spans="1:2" x14ac:dyDescent="0.35">
      <c r="A485">
        <v>29</v>
      </c>
      <c r="B485" t="s">
        <v>42</v>
      </c>
    </row>
    <row r="486" spans="1:2" x14ac:dyDescent="0.35">
      <c r="A486">
        <v>29</v>
      </c>
      <c r="B486" t="s">
        <v>44</v>
      </c>
    </row>
    <row r="487" spans="1:2" x14ac:dyDescent="0.35">
      <c r="A487">
        <v>30</v>
      </c>
      <c r="B487" t="s">
        <v>27</v>
      </c>
    </row>
    <row r="488" spans="1:2" x14ac:dyDescent="0.35">
      <c r="A488">
        <v>30</v>
      </c>
      <c r="B488" s="2">
        <v>4.7910000000000001E-2</v>
      </c>
    </row>
    <row r="489" spans="1:2" x14ac:dyDescent="0.35">
      <c r="A489">
        <v>30</v>
      </c>
      <c r="B489" t="s">
        <v>1</v>
      </c>
    </row>
    <row r="490" spans="1:2" x14ac:dyDescent="0.35">
      <c r="A490">
        <v>30</v>
      </c>
      <c r="B490">
        <v>-0.61899999999999999</v>
      </c>
    </row>
    <row r="491" spans="1:2" x14ac:dyDescent="0.35">
      <c r="A491">
        <v>30</v>
      </c>
      <c r="B491" t="s">
        <v>28</v>
      </c>
    </row>
    <row r="492" spans="1:2" x14ac:dyDescent="0.35">
      <c r="A492">
        <v>30</v>
      </c>
      <c r="B492">
        <v>764</v>
      </c>
    </row>
    <row r="493" spans="1:2" x14ac:dyDescent="0.35">
      <c r="A493">
        <v>30</v>
      </c>
      <c r="B493" t="s">
        <v>25</v>
      </c>
    </row>
    <row r="494" spans="1:2" x14ac:dyDescent="0.35">
      <c r="A494">
        <v>30</v>
      </c>
      <c r="B494" s="2">
        <v>5.0900000000000001E-2</v>
      </c>
    </row>
    <row r="495" spans="1:2" x14ac:dyDescent="0.35">
      <c r="A495">
        <v>30</v>
      </c>
      <c r="B495" t="s">
        <v>29</v>
      </c>
    </row>
    <row r="496" spans="1:2" x14ac:dyDescent="0.35">
      <c r="A496">
        <v>30</v>
      </c>
      <c r="B496" s="2">
        <v>-7.8899999999999998E-2</v>
      </c>
    </row>
    <row r="497" spans="1:2" x14ac:dyDescent="0.35">
      <c r="A497">
        <v>30</v>
      </c>
      <c r="B497" t="s">
        <v>30</v>
      </c>
    </row>
    <row r="498" spans="1:2" x14ac:dyDescent="0.35">
      <c r="A498">
        <v>30</v>
      </c>
      <c r="B498" s="2">
        <v>-0.70816000000000001</v>
      </c>
    </row>
    <row r="499" spans="1:2" x14ac:dyDescent="0.35">
      <c r="A499">
        <v>30</v>
      </c>
      <c r="B499" t="s">
        <v>8</v>
      </c>
    </row>
    <row r="500" spans="1:2" x14ac:dyDescent="0.35">
      <c r="A500">
        <v>30</v>
      </c>
      <c r="B500" s="2">
        <v>0.70899999999999996</v>
      </c>
    </row>
    <row r="501" spans="1:2" x14ac:dyDescent="0.35">
      <c r="A501">
        <v>30</v>
      </c>
      <c r="B501" t="s">
        <v>31</v>
      </c>
    </row>
    <row r="502" spans="1:2" x14ac:dyDescent="0.35">
      <c r="A502">
        <v>30</v>
      </c>
      <c r="B502">
        <v>-0.34200000000000003</v>
      </c>
    </row>
    <row r="503" spans="1:2" x14ac:dyDescent="0.35">
      <c r="A503">
        <v>30</v>
      </c>
      <c r="B503" t="s">
        <v>32</v>
      </c>
    </row>
    <row r="504" spans="1:2" x14ac:dyDescent="0.35">
      <c r="A504">
        <v>30</v>
      </c>
      <c r="B504" s="2">
        <v>-0.54740999999999995</v>
      </c>
    </row>
    <row r="505" spans="1:2" x14ac:dyDescent="0.35">
      <c r="A505">
        <v>30</v>
      </c>
      <c r="B505" t="s">
        <v>33</v>
      </c>
    </row>
    <row r="506" spans="1:2" x14ac:dyDescent="0.35">
      <c r="A506">
        <v>30</v>
      </c>
      <c r="B506" s="3">
        <v>0.6</v>
      </c>
    </row>
    <row r="507" spans="1:2" x14ac:dyDescent="0.35">
      <c r="A507">
        <v>30</v>
      </c>
      <c r="B507" t="s">
        <v>34</v>
      </c>
    </row>
    <row r="508" spans="1:2" x14ac:dyDescent="0.35">
      <c r="A508">
        <v>30</v>
      </c>
      <c r="B508" s="3">
        <v>0.4</v>
      </c>
    </row>
    <row r="509" spans="1:2" x14ac:dyDescent="0.35">
      <c r="A509">
        <v>30</v>
      </c>
      <c r="B509" t="s">
        <v>26</v>
      </c>
    </row>
    <row r="510" spans="1:2" x14ac:dyDescent="0.35">
      <c r="A510">
        <v>30</v>
      </c>
      <c r="B510">
        <v>0.65</v>
      </c>
    </row>
    <row r="511" spans="1:2" x14ac:dyDescent="0.35">
      <c r="A511">
        <v>30</v>
      </c>
      <c r="B511" t="s">
        <v>23</v>
      </c>
    </row>
    <row r="512" spans="1:2" x14ac:dyDescent="0.35">
      <c r="A512">
        <v>30</v>
      </c>
      <c r="B512">
        <v>-0.61199999999999999</v>
      </c>
    </row>
    <row r="513" spans="1:2" x14ac:dyDescent="0.35">
      <c r="A513">
        <v>30</v>
      </c>
      <c r="B513" t="s">
        <v>24</v>
      </c>
    </row>
    <row r="514" spans="1:2" x14ac:dyDescent="0.35">
      <c r="A514">
        <v>30</v>
      </c>
      <c r="B514">
        <v>2.528</v>
      </c>
    </row>
    <row r="515" spans="1:2" x14ac:dyDescent="0.35">
      <c r="A515">
        <v>30</v>
      </c>
      <c r="B515" t="s">
        <v>35</v>
      </c>
    </row>
    <row r="516" spans="1:2" x14ac:dyDescent="0.35">
      <c r="A516">
        <v>30</v>
      </c>
      <c r="B516">
        <v>0.72599999999999998</v>
      </c>
    </row>
    <row r="517" spans="1:2" x14ac:dyDescent="0.35">
      <c r="A517">
        <v>30</v>
      </c>
      <c r="B517" t="s">
        <v>36</v>
      </c>
    </row>
    <row r="518" spans="1:2" x14ac:dyDescent="0.35">
      <c r="A518">
        <v>30</v>
      </c>
      <c r="B518">
        <v>0.52800000000000002</v>
      </c>
    </row>
    <row r="519" spans="1:2" x14ac:dyDescent="0.35">
      <c r="A519">
        <v>30</v>
      </c>
      <c r="B519" t="s">
        <v>37</v>
      </c>
    </row>
    <row r="520" spans="1:2" x14ac:dyDescent="0.35">
      <c r="A520">
        <v>30</v>
      </c>
      <c r="B520">
        <v>-0.71899999999999997</v>
      </c>
    </row>
    <row r="521" spans="1:2" x14ac:dyDescent="0.35">
      <c r="A521">
        <v>30</v>
      </c>
      <c r="B521" t="s">
        <v>38</v>
      </c>
    </row>
    <row r="522" spans="1:2" x14ac:dyDescent="0.35">
      <c r="A522">
        <v>30</v>
      </c>
      <c r="B522">
        <v>0.71399999999999997</v>
      </c>
    </row>
    <row r="523" spans="1:2" x14ac:dyDescent="0.35">
      <c r="A523">
        <v>30</v>
      </c>
      <c r="B523" t="s">
        <v>39</v>
      </c>
    </row>
    <row r="524" spans="1:2" x14ac:dyDescent="0.35">
      <c r="A524">
        <v>30</v>
      </c>
      <c r="B524">
        <v>-0.17799999999999999</v>
      </c>
    </row>
    <row r="525" spans="1:2" x14ac:dyDescent="0.35">
      <c r="A525">
        <v>30</v>
      </c>
      <c r="B525" t="s">
        <v>40</v>
      </c>
    </row>
    <row r="526" spans="1:2" x14ac:dyDescent="0.35">
      <c r="A526">
        <v>30</v>
      </c>
      <c r="B526" s="4">
        <v>0</v>
      </c>
    </row>
    <row r="527" spans="1:2" x14ac:dyDescent="0.35">
      <c r="A527">
        <v>30</v>
      </c>
      <c r="B527" t="s">
        <v>41</v>
      </c>
    </row>
    <row r="528" spans="1:2" x14ac:dyDescent="0.35">
      <c r="A528">
        <v>30</v>
      </c>
      <c r="B528" s="4">
        <v>3300000</v>
      </c>
    </row>
    <row r="529" spans="1:2" x14ac:dyDescent="0.35">
      <c r="A529">
        <v>30</v>
      </c>
      <c r="B529" t="s">
        <v>42</v>
      </c>
    </row>
    <row r="530" spans="1:2" x14ac:dyDescent="0.35">
      <c r="A530">
        <v>30</v>
      </c>
      <c r="B530" t="s">
        <v>44</v>
      </c>
    </row>
    <row r="531" spans="1:2" x14ac:dyDescent="0.35">
      <c r="A531">
        <v>31</v>
      </c>
      <c r="B531" t="s">
        <v>27</v>
      </c>
    </row>
    <row r="532" spans="1:2" x14ac:dyDescent="0.35">
      <c r="A532">
        <v>31</v>
      </c>
      <c r="B532" s="2">
        <v>4.5999999999999999E-2</v>
      </c>
    </row>
    <row r="533" spans="1:2" x14ac:dyDescent="0.35">
      <c r="A533">
        <v>31</v>
      </c>
      <c r="B533" t="s">
        <v>1</v>
      </c>
    </row>
    <row r="534" spans="1:2" x14ac:dyDescent="0.35">
      <c r="A534">
        <v>31</v>
      </c>
      <c r="B534">
        <v>-0.76900000000000002</v>
      </c>
    </row>
    <row r="535" spans="1:2" x14ac:dyDescent="0.35">
      <c r="A535">
        <v>31</v>
      </c>
      <c r="B535" t="s">
        <v>28</v>
      </c>
    </row>
    <row r="536" spans="1:2" x14ac:dyDescent="0.35">
      <c r="A536">
        <v>31</v>
      </c>
      <c r="B536">
        <v>459</v>
      </c>
    </row>
    <row r="537" spans="1:2" x14ac:dyDescent="0.35">
      <c r="A537">
        <v>31</v>
      </c>
      <c r="B537" t="s">
        <v>25</v>
      </c>
    </row>
    <row r="538" spans="1:2" x14ac:dyDescent="0.35">
      <c r="A538">
        <v>31</v>
      </c>
      <c r="B538" s="2">
        <v>6.9999999999999999E-4</v>
      </c>
    </row>
    <row r="539" spans="1:2" x14ac:dyDescent="0.35">
      <c r="A539">
        <v>31</v>
      </c>
      <c r="B539" t="s">
        <v>29</v>
      </c>
    </row>
    <row r="540" spans="1:2" x14ac:dyDescent="0.35">
      <c r="A540">
        <v>31</v>
      </c>
      <c r="B540" s="2">
        <v>-1.4E-3</v>
      </c>
    </row>
    <row r="541" spans="1:2" x14ac:dyDescent="0.35">
      <c r="A541">
        <v>31</v>
      </c>
      <c r="B541" t="s">
        <v>30</v>
      </c>
    </row>
    <row r="542" spans="1:2" x14ac:dyDescent="0.35">
      <c r="A542">
        <v>31</v>
      </c>
      <c r="B542" s="2">
        <v>-1.0160000000000001E-2</v>
      </c>
    </row>
    <row r="543" spans="1:2" x14ac:dyDescent="0.35">
      <c r="A543">
        <v>31</v>
      </c>
      <c r="B543" t="s">
        <v>8</v>
      </c>
    </row>
    <row r="544" spans="1:2" x14ac:dyDescent="0.35">
      <c r="A544">
        <v>31</v>
      </c>
      <c r="B544" s="2">
        <v>1.4E-2</v>
      </c>
    </row>
    <row r="545" spans="1:2" x14ac:dyDescent="0.35">
      <c r="A545">
        <v>31</v>
      </c>
      <c r="B545" t="s">
        <v>31</v>
      </c>
    </row>
    <row r="546" spans="1:2" x14ac:dyDescent="0.35">
      <c r="A546">
        <v>31</v>
      </c>
      <c r="B546">
        <v>-0.30199999999999999</v>
      </c>
    </row>
    <row r="547" spans="1:2" x14ac:dyDescent="0.35">
      <c r="A547">
        <v>31</v>
      </c>
      <c r="B547" t="s">
        <v>32</v>
      </c>
    </row>
    <row r="548" spans="1:2" x14ac:dyDescent="0.35">
      <c r="A548">
        <v>31</v>
      </c>
      <c r="B548" s="2">
        <v>-6.5500000000000003E-3</v>
      </c>
    </row>
    <row r="549" spans="1:2" x14ac:dyDescent="0.35">
      <c r="A549">
        <v>31</v>
      </c>
      <c r="B549" t="s">
        <v>33</v>
      </c>
    </row>
    <row r="550" spans="1:2" x14ac:dyDescent="0.35">
      <c r="A550">
        <v>31</v>
      </c>
      <c r="B550" s="3">
        <v>0.53</v>
      </c>
    </row>
    <row r="551" spans="1:2" x14ac:dyDescent="0.35">
      <c r="A551">
        <v>31</v>
      </c>
      <c r="B551" t="s">
        <v>34</v>
      </c>
    </row>
    <row r="552" spans="1:2" x14ac:dyDescent="0.35">
      <c r="A552">
        <v>31</v>
      </c>
      <c r="B552" s="3">
        <v>0.47</v>
      </c>
    </row>
    <row r="553" spans="1:2" x14ac:dyDescent="0.35">
      <c r="A553">
        <v>31</v>
      </c>
      <c r="B553" t="s">
        <v>26</v>
      </c>
    </row>
    <row r="554" spans="1:2" x14ac:dyDescent="0.35">
      <c r="A554">
        <v>31</v>
      </c>
      <c r="B554">
        <v>0.5</v>
      </c>
    </row>
    <row r="555" spans="1:2" x14ac:dyDescent="0.35">
      <c r="A555">
        <v>31</v>
      </c>
      <c r="B555" t="s">
        <v>23</v>
      </c>
    </row>
    <row r="556" spans="1:2" x14ac:dyDescent="0.35">
      <c r="A556">
        <v>31</v>
      </c>
      <c r="B556">
        <v>-8.9999999999999993E-3</v>
      </c>
    </row>
    <row r="557" spans="1:2" x14ac:dyDescent="0.35">
      <c r="A557">
        <v>31</v>
      </c>
      <c r="B557" t="s">
        <v>24</v>
      </c>
    </row>
    <row r="558" spans="1:2" x14ac:dyDescent="0.35">
      <c r="A558">
        <v>31</v>
      </c>
      <c r="B558">
        <v>3.6999999999999998E-2</v>
      </c>
    </row>
    <row r="559" spans="1:2" x14ac:dyDescent="0.35">
      <c r="A559">
        <v>31</v>
      </c>
      <c r="B559" t="s">
        <v>35</v>
      </c>
    </row>
    <row r="560" spans="1:2" x14ac:dyDescent="0.35">
      <c r="A560">
        <v>31</v>
      </c>
      <c r="B560">
        <v>8.9999999999999993E-3</v>
      </c>
    </row>
    <row r="561" spans="1:2" x14ac:dyDescent="0.35">
      <c r="A561">
        <v>31</v>
      </c>
      <c r="B561" t="s">
        <v>36</v>
      </c>
    </row>
    <row r="562" spans="1:2" x14ac:dyDescent="0.35">
      <c r="A562">
        <v>31</v>
      </c>
      <c r="B562">
        <v>0</v>
      </c>
    </row>
    <row r="563" spans="1:2" x14ac:dyDescent="0.35">
      <c r="A563">
        <v>31</v>
      </c>
      <c r="B563" t="s">
        <v>37</v>
      </c>
    </row>
    <row r="564" spans="1:2" x14ac:dyDescent="0.35">
      <c r="A564">
        <v>31</v>
      </c>
      <c r="B564">
        <v>-1.0940000000000001</v>
      </c>
    </row>
    <row r="565" spans="1:2" x14ac:dyDescent="0.35">
      <c r="A565">
        <v>31</v>
      </c>
      <c r="B565" t="s">
        <v>38</v>
      </c>
    </row>
    <row r="566" spans="1:2" x14ac:dyDescent="0.35">
      <c r="A566">
        <v>31</v>
      </c>
      <c r="B566">
        <v>6.5000000000000002E-2</v>
      </c>
    </row>
    <row r="567" spans="1:2" x14ac:dyDescent="0.35">
      <c r="A567">
        <v>31</v>
      </c>
      <c r="B567" t="s">
        <v>39</v>
      </c>
    </row>
    <row r="568" spans="1:2" x14ac:dyDescent="0.35">
      <c r="A568">
        <v>31</v>
      </c>
      <c r="B568">
        <v>-0.188</v>
      </c>
    </row>
    <row r="569" spans="1:2" x14ac:dyDescent="0.35">
      <c r="A569">
        <v>31</v>
      </c>
      <c r="B569" t="s">
        <v>40</v>
      </c>
    </row>
    <row r="570" spans="1:2" x14ac:dyDescent="0.35">
      <c r="A570">
        <v>31</v>
      </c>
      <c r="B570" s="4">
        <v>0</v>
      </c>
    </row>
    <row r="571" spans="1:2" x14ac:dyDescent="0.35">
      <c r="A571">
        <v>31</v>
      </c>
      <c r="B571" t="s">
        <v>41</v>
      </c>
    </row>
    <row r="572" spans="1:2" x14ac:dyDescent="0.35">
      <c r="A572">
        <v>31</v>
      </c>
      <c r="B572" s="4">
        <v>1300000000</v>
      </c>
    </row>
    <row r="573" spans="1:2" x14ac:dyDescent="0.35">
      <c r="A573">
        <v>31</v>
      </c>
      <c r="B573" t="s">
        <v>42</v>
      </c>
    </row>
    <row r="574" spans="1:2" x14ac:dyDescent="0.35">
      <c r="A574">
        <v>31</v>
      </c>
      <c r="B574" t="s">
        <v>44</v>
      </c>
    </row>
    <row r="575" spans="1:2" x14ac:dyDescent="0.35">
      <c r="A575">
        <v>32</v>
      </c>
    </row>
    <row r="576" spans="1:2" x14ac:dyDescent="0.35">
      <c r="A576">
        <v>32</v>
      </c>
      <c r="B576" t="s">
        <v>27</v>
      </c>
    </row>
    <row r="577" spans="1:2" x14ac:dyDescent="0.35">
      <c r="A577">
        <v>32</v>
      </c>
      <c r="B577" s="2">
        <v>5.142E-2</v>
      </c>
    </row>
    <row r="578" spans="1:2" x14ac:dyDescent="0.35">
      <c r="A578">
        <v>32</v>
      </c>
      <c r="B578" t="s">
        <v>1</v>
      </c>
    </row>
    <row r="579" spans="1:2" x14ac:dyDescent="0.35">
      <c r="A579">
        <v>32</v>
      </c>
      <c r="B579">
        <v>-0.7</v>
      </c>
    </row>
    <row r="580" spans="1:2" x14ac:dyDescent="0.35">
      <c r="A580">
        <v>32</v>
      </c>
      <c r="B580" t="s">
        <v>28</v>
      </c>
    </row>
    <row r="581" spans="1:2" x14ac:dyDescent="0.35">
      <c r="A581">
        <v>32</v>
      </c>
      <c r="B581">
        <v>459</v>
      </c>
    </row>
    <row r="582" spans="1:2" x14ac:dyDescent="0.35">
      <c r="A582">
        <v>32</v>
      </c>
      <c r="B582" t="s">
        <v>25</v>
      </c>
    </row>
    <row r="583" spans="1:2" x14ac:dyDescent="0.35">
      <c r="A583">
        <v>32</v>
      </c>
      <c r="B583" s="2">
        <v>7.3000000000000001E-3</v>
      </c>
    </row>
    <row r="584" spans="1:2" x14ac:dyDescent="0.35">
      <c r="A584">
        <v>32</v>
      </c>
      <c r="B584" t="s">
        <v>29</v>
      </c>
    </row>
    <row r="585" spans="1:2" x14ac:dyDescent="0.35">
      <c r="A585">
        <v>32</v>
      </c>
      <c r="B585" s="2">
        <v>-1.47E-2</v>
      </c>
    </row>
    <row r="586" spans="1:2" x14ac:dyDescent="0.35">
      <c r="A586">
        <v>32</v>
      </c>
      <c r="B586" t="s">
        <v>30</v>
      </c>
    </row>
    <row r="587" spans="1:2" x14ac:dyDescent="0.35">
      <c r="A587">
        <v>32</v>
      </c>
      <c r="B587" s="2">
        <v>-9.9900000000000003E-2</v>
      </c>
    </row>
    <row r="588" spans="1:2" x14ac:dyDescent="0.35">
      <c r="A588">
        <v>32</v>
      </c>
      <c r="B588" t="s">
        <v>8</v>
      </c>
    </row>
    <row r="589" spans="1:2" x14ac:dyDescent="0.35">
      <c r="A589">
        <v>32</v>
      </c>
      <c r="B589" s="2">
        <v>0.13700000000000001</v>
      </c>
    </row>
    <row r="590" spans="1:2" x14ac:dyDescent="0.35">
      <c r="A590">
        <v>32</v>
      </c>
      <c r="B590" t="s">
        <v>31</v>
      </c>
    </row>
    <row r="591" spans="1:2" x14ac:dyDescent="0.35">
      <c r="A591">
        <v>32</v>
      </c>
      <c r="B591">
        <v>-0.3</v>
      </c>
    </row>
    <row r="592" spans="1:2" x14ac:dyDescent="0.35">
      <c r="A592">
        <v>32</v>
      </c>
      <c r="B592" t="s">
        <v>32</v>
      </c>
    </row>
    <row r="593" spans="1:2" x14ac:dyDescent="0.35">
      <c r="A593">
        <v>32</v>
      </c>
      <c r="B593" s="2">
        <v>-6.5509999999999999E-2</v>
      </c>
    </row>
    <row r="594" spans="1:2" x14ac:dyDescent="0.35">
      <c r="A594">
        <v>32</v>
      </c>
      <c r="B594" t="s">
        <v>33</v>
      </c>
    </row>
    <row r="595" spans="1:2" x14ac:dyDescent="0.35">
      <c r="A595">
        <v>32</v>
      </c>
      <c r="B595" s="3">
        <v>0.53</v>
      </c>
    </row>
    <row r="596" spans="1:2" x14ac:dyDescent="0.35">
      <c r="A596">
        <v>32</v>
      </c>
      <c r="B596" t="s">
        <v>34</v>
      </c>
    </row>
    <row r="597" spans="1:2" x14ac:dyDescent="0.35">
      <c r="A597">
        <v>32</v>
      </c>
      <c r="B597" s="3">
        <v>0.47</v>
      </c>
    </row>
    <row r="598" spans="1:2" x14ac:dyDescent="0.35">
      <c r="A598">
        <v>32</v>
      </c>
      <c r="B598" t="s">
        <v>27</v>
      </c>
    </row>
    <row r="599" spans="1:2" x14ac:dyDescent="0.35">
      <c r="A599">
        <v>32</v>
      </c>
      <c r="B599">
        <v>0.5</v>
      </c>
    </row>
    <row r="600" spans="1:2" x14ac:dyDescent="0.35">
      <c r="A600">
        <v>32</v>
      </c>
      <c r="B600" t="s">
        <v>23</v>
      </c>
    </row>
    <row r="601" spans="1:2" x14ac:dyDescent="0.35">
      <c r="A601">
        <v>32</v>
      </c>
      <c r="B601">
        <v>-9.0999999999999998E-2</v>
      </c>
    </row>
    <row r="602" spans="1:2" x14ac:dyDescent="0.35">
      <c r="A602">
        <v>32</v>
      </c>
      <c r="B602" t="s">
        <v>24</v>
      </c>
    </row>
    <row r="603" spans="1:2" x14ac:dyDescent="0.35">
      <c r="A603">
        <v>32</v>
      </c>
      <c r="B603">
        <v>0.38</v>
      </c>
    </row>
    <row r="604" spans="1:2" x14ac:dyDescent="0.35">
      <c r="A604">
        <v>32</v>
      </c>
      <c r="B604" t="s">
        <v>35</v>
      </c>
    </row>
    <row r="605" spans="1:2" x14ac:dyDescent="0.35">
      <c r="A605">
        <v>32</v>
      </c>
      <c r="B605">
        <v>9.5000000000000001E-2</v>
      </c>
    </row>
    <row r="606" spans="1:2" x14ac:dyDescent="0.35">
      <c r="A606">
        <v>32</v>
      </c>
      <c r="B606" t="s">
        <v>36</v>
      </c>
    </row>
    <row r="607" spans="1:2" x14ac:dyDescent="0.35">
      <c r="A607">
        <v>32</v>
      </c>
      <c r="B607">
        <v>8.9999999999999993E-3</v>
      </c>
    </row>
    <row r="608" spans="1:2" x14ac:dyDescent="0.35">
      <c r="A608">
        <v>32</v>
      </c>
      <c r="B608" t="s">
        <v>37</v>
      </c>
    </row>
    <row r="609" spans="1:2" x14ac:dyDescent="0.35">
      <c r="A609">
        <v>32</v>
      </c>
      <c r="B609">
        <v>-1.3009999999999999</v>
      </c>
    </row>
    <row r="610" spans="1:2" x14ac:dyDescent="0.35">
      <c r="A610">
        <v>32</v>
      </c>
      <c r="B610" t="s">
        <v>38</v>
      </c>
    </row>
    <row r="611" spans="1:2" x14ac:dyDescent="0.35">
      <c r="A611">
        <v>32</v>
      </c>
      <c r="B611">
        <v>0.1</v>
      </c>
    </row>
    <row r="612" spans="1:2" x14ac:dyDescent="0.35">
      <c r="A612">
        <v>32</v>
      </c>
      <c r="B612" t="s">
        <v>39</v>
      </c>
    </row>
    <row r="613" spans="1:2" x14ac:dyDescent="0.35">
      <c r="A613">
        <v>32</v>
      </c>
      <c r="B613">
        <v>-0.17399999999999999</v>
      </c>
    </row>
    <row r="614" spans="1:2" x14ac:dyDescent="0.35">
      <c r="A614">
        <v>32</v>
      </c>
      <c r="B614" t="s">
        <v>40</v>
      </c>
    </row>
    <row r="615" spans="1:2" x14ac:dyDescent="0.35">
      <c r="A615">
        <v>32</v>
      </c>
      <c r="B615" s="4">
        <v>0</v>
      </c>
    </row>
    <row r="616" spans="1:2" x14ac:dyDescent="0.35">
      <c r="A616">
        <v>32</v>
      </c>
      <c r="B616" t="s">
        <v>41</v>
      </c>
    </row>
    <row r="617" spans="1:2" x14ac:dyDescent="0.35">
      <c r="A617">
        <v>32</v>
      </c>
      <c r="B617" s="4">
        <v>120000000</v>
      </c>
    </row>
    <row r="618" spans="1:2" x14ac:dyDescent="0.35">
      <c r="A618">
        <v>32</v>
      </c>
      <c r="B618" t="s">
        <v>42</v>
      </c>
    </row>
    <row r="619" spans="1:2" x14ac:dyDescent="0.35">
      <c r="A619">
        <v>32</v>
      </c>
      <c r="B619" t="s">
        <v>44</v>
      </c>
    </row>
    <row r="620" spans="1:2" x14ac:dyDescent="0.35">
      <c r="A620">
        <v>33</v>
      </c>
      <c r="B620" t="s">
        <v>27</v>
      </c>
    </row>
    <row r="621" spans="1:2" x14ac:dyDescent="0.35">
      <c r="A621">
        <v>33</v>
      </c>
      <c r="B621" s="2">
        <v>9.3880000000000005E-2</v>
      </c>
    </row>
    <row r="622" spans="1:2" x14ac:dyDescent="0.35">
      <c r="A622">
        <v>33</v>
      </c>
      <c r="B622" t="s">
        <v>1</v>
      </c>
    </row>
    <row r="623" spans="1:2" x14ac:dyDescent="0.35">
      <c r="A623">
        <v>33</v>
      </c>
      <c r="B623">
        <v>-0.36699999999999999</v>
      </c>
    </row>
    <row r="624" spans="1:2" x14ac:dyDescent="0.35">
      <c r="A624">
        <v>33</v>
      </c>
      <c r="B624" t="s">
        <v>28</v>
      </c>
    </row>
    <row r="625" spans="1:2" x14ac:dyDescent="0.35">
      <c r="A625">
        <v>33</v>
      </c>
      <c r="B625">
        <v>459</v>
      </c>
    </row>
    <row r="626" spans="1:2" x14ac:dyDescent="0.35">
      <c r="A626">
        <v>33</v>
      </c>
      <c r="B626" t="s">
        <v>25</v>
      </c>
    </row>
    <row r="627" spans="1:2" x14ac:dyDescent="0.35">
      <c r="A627">
        <v>33</v>
      </c>
      <c r="B627" s="2">
        <v>4.1099999999999998E-2</v>
      </c>
    </row>
    <row r="628" spans="1:2" x14ac:dyDescent="0.35">
      <c r="A628">
        <v>33</v>
      </c>
      <c r="B628" t="s">
        <v>29</v>
      </c>
    </row>
    <row r="629" spans="1:2" x14ac:dyDescent="0.35">
      <c r="A629">
        <v>33</v>
      </c>
      <c r="B629" s="2">
        <v>-7.9299999999999995E-2</v>
      </c>
    </row>
    <row r="630" spans="1:2" x14ac:dyDescent="0.35">
      <c r="A630">
        <v>33</v>
      </c>
      <c r="B630" t="s">
        <v>30</v>
      </c>
    </row>
    <row r="631" spans="1:2" x14ac:dyDescent="0.35">
      <c r="A631">
        <v>33</v>
      </c>
      <c r="B631" s="2">
        <v>-0.46013999999999999</v>
      </c>
    </row>
    <row r="632" spans="1:2" x14ac:dyDescent="0.35">
      <c r="A632">
        <v>33</v>
      </c>
      <c r="B632" t="s">
        <v>8</v>
      </c>
    </row>
    <row r="633" spans="1:2" x14ac:dyDescent="0.35">
      <c r="A633">
        <v>33</v>
      </c>
      <c r="B633" s="2">
        <v>0.59299999999999997</v>
      </c>
    </row>
    <row r="634" spans="1:2" x14ac:dyDescent="0.35">
      <c r="A634">
        <v>33</v>
      </c>
      <c r="B634" t="s">
        <v>31</v>
      </c>
    </row>
    <row r="635" spans="1:2" x14ac:dyDescent="0.35">
      <c r="A635">
        <v>33</v>
      </c>
      <c r="B635">
        <v>-0.29099999999999998</v>
      </c>
    </row>
    <row r="636" spans="1:2" x14ac:dyDescent="0.35">
      <c r="A636">
        <v>33</v>
      </c>
      <c r="B636" t="s">
        <v>32</v>
      </c>
    </row>
    <row r="637" spans="1:2" x14ac:dyDescent="0.35">
      <c r="A637">
        <v>33</v>
      </c>
      <c r="B637" s="2">
        <v>-0.32754</v>
      </c>
    </row>
    <row r="638" spans="1:2" x14ac:dyDescent="0.35">
      <c r="A638">
        <v>33</v>
      </c>
      <c r="B638" t="s">
        <v>33</v>
      </c>
    </row>
    <row r="639" spans="1:2" x14ac:dyDescent="0.35">
      <c r="A639">
        <v>33</v>
      </c>
      <c r="B639" s="3">
        <v>0.53</v>
      </c>
    </row>
    <row r="640" spans="1:2" x14ac:dyDescent="0.35">
      <c r="A640">
        <v>33</v>
      </c>
      <c r="B640" t="s">
        <v>34</v>
      </c>
    </row>
    <row r="641" spans="1:2" x14ac:dyDescent="0.35">
      <c r="A641">
        <v>33</v>
      </c>
      <c r="B641" s="3">
        <v>0.47</v>
      </c>
    </row>
    <row r="642" spans="1:2" x14ac:dyDescent="0.35">
      <c r="A642">
        <v>33</v>
      </c>
      <c r="B642" t="s">
        <v>26</v>
      </c>
    </row>
    <row r="643" spans="1:2" x14ac:dyDescent="0.35">
      <c r="A643">
        <v>33</v>
      </c>
      <c r="B643">
        <v>0.52</v>
      </c>
    </row>
    <row r="644" spans="1:2" x14ac:dyDescent="0.35">
      <c r="A644">
        <v>33</v>
      </c>
      <c r="B644" t="s">
        <v>23</v>
      </c>
    </row>
    <row r="645" spans="1:2" x14ac:dyDescent="0.35">
      <c r="A645">
        <v>33</v>
      </c>
      <c r="B645">
        <v>-0.36</v>
      </c>
    </row>
    <row r="646" spans="1:2" x14ac:dyDescent="0.35">
      <c r="A646">
        <v>33</v>
      </c>
      <c r="B646" t="s">
        <v>24</v>
      </c>
    </row>
    <row r="647" spans="1:2" x14ac:dyDescent="0.35">
      <c r="A647">
        <v>33</v>
      </c>
      <c r="B647">
        <v>2.1549999999999998</v>
      </c>
    </row>
    <row r="648" spans="1:2" x14ac:dyDescent="0.35">
      <c r="A648">
        <v>33</v>
      </c>
      <c r="B648" t="s">
        <v>35</v>
      </c>
    </row>
    <row r="649" spans="1:2" x14ac:dyDescent="0.35">
      <c r="A649">
        <v>33</v>
      </c>
      <c r="B649">
        <v>0.60599999999999998</v>
      </c>
    </row>
    <row r="650" spans="1:2" x14ac:dyDescent="0.35">
      <c r="A650">
        <v>33</v>
      </c>
      <c r="B650" t="s">
        <v>36</v>
      </c>
    </row>
    <row r="651" spans="1:2" x14ac:dyDescent="0.35">
      <c r="A651">
        <v>33</v>
      </c>
      <c r="B651">
        <v>0.36699999999999999</v>
      </c>
    </row>
    <row r="652" spans="1:2" x14ac:dyDescent="0.35">
      <c r="A652">
        <v>33</v>
      </c>
      <c r="B652" t="s">
        <v>37</v>
      </c>
    </row>
    <row r="653" spans="1:2" x14ac:dyDescent="0.35">
      <c r="A653">
        <v>33</v>
      </c>
      <c r="B653">
        <v>-0.48199999999999998</v>
      </c>
    </row>
    <row r="654" spans="1:2" x14ac:dyDescent="0.35">
      <c r="A654">
        <v>33</v>
      </c>
      <c r="B654" t="s">
        <v>38</v>
      </c>
    </row>
    <row r="655" spans="1:2" x14ac:dyDescent="0.35">
      <c r="A655">
        <v>33</v>
      </c>
      <c r="B655">
        <v>0.59299999999999997</v>
      </c>
    </row>
    <row r="656" spans="1:2" x14ac:dyDescent="0.35">
      <c r="A656">
        <v>33</v>
      </c>
      <c r="B656" t="s">
        <v>39</v>
      </c>
    </row>
    <row r="657" spans="1:2" x14ac:dyDescent="0.35">
      <c r="A657">
        <v>33</v>
      </c>
      <c r="B657">
        <v>-0.10299999999999999</v>
      </c>
    </row>
    <row r="658" spans="1:2" x14ac:dyDescent="0.35">
      <c r="A658">
        <v>33</v>
      </c>
      <c r="B658" t="s">
        <v>40</v>
      </c>
    </row>
    <row r="659" spans="1:2" x14ac:dyDescent="0.35">
      <c r="A659">
        <v>33</v>
      </c>
      <c r="B659" s="4">
        <v>0</v>
      </c>
    </row>
    <row r="660" spans="1:2" x14ac:dyDescent="0.35">
      <c r="A660">
        <v>33</v>
      </c>
      <c r="B660" t="s">
        <v>41</v>
      </c>
    </row>
    <row r="661" spans="1:2" x14ac:dyDescent="0.35">
      <c r="A661">
        <v>33</v>
      </c>
      <c r="B661" s="4">
        <v>19000000</v>
      </c>
    </row>
    <row r="662" spans="1:2" x14ac:dyDescent="0.35">
      <c r="A662">
        <v>33</v>
      </c>
      <c r="B662" t="s">
        <v>42</v>
      </c>
    </row>
    <row r="663" spans="1:2" x14ac:dyDescent="0.35">
      <c r="A663">
        <v>33</v>
      </c>
      <c r="B663" t="s">
        <v>44</v>
      </c>
    </row>
    <row r="664" spans="1:2" x14ac:dyDescent="0.35">
      <c r="A664">
        <v>35</v>
      </c>
      <c r="B664" t="s">
        <v>27</v>
      </c>
    </row>
    <row r="665" spans="1:2" x14ac:dyDescent="0.35">
      <c r="A665">
        <v>35</v>
      </c>
      <c r="B665" s="2">
        <v>9.3880000000000005E-2</v>
      </c>
    </row>
    <row r="666" spans="1:2" x14ac:dyDescent="0.35">
      <c r="A666">
        <v>35</v>
      </c>
      <c r="B666" t="s">
        <v>1</v>
      </c>
    </row>
    <row r="667" spans="1:2" x14ac:dyDescent="0.35">
      <c r="A667">
        <v>35</v>
      </c>
      <c r="B667">
        <v>-0.36699999999999999</v>
      </c>
    </row>
    <row r="668" spans="1:2" x14ac:dyDescent="0.35">
      <c r="A668">
        <v>35</v>
      </c>
      <c r="B668" t="s">
        <v>28</v>
      </c>
    </row>
    <row r="669" spans="1:2" x14ac:dyDescent="0.35">
      <c r="A669">
        <v>35</v>
      </c>
      <c r="B669">
        <v>459</v>
      </c>
    </row>
    <row r="670" spans="1:2" x14ac:dyDescent="0.35">
      <c r="A670">
        <v>35</v>
      </c>
      <c r="B670" t="s">
        <v>25</v>
      </c>
    </row>
    <row r="671" spans="1:2" x14ac:dyDescent="0.35">
      <c r="A671">
        <v>35</v>
      </c>
      <c r="B671" s="2">
        <v>4.1099999999999998E-2</v>
      </c>
    </row>
    <row r="672" spans="1:2" x14ac:dyDescent="0.35">
      <c r="A672">
        <v>35</v>
      </c>
      <c r="B672" t="s">
        <v>29</v>
      </c>
    </row>
    <row r="673" spans="1:2" x14ac:dyDescent="0.35">
      <c r="A673">
        <v>35</v>
      </c>
      <c r="B673" s="2">
        <v>-7.9299999999999995E-2</v>
      </c>
    </row>
    <row r="674" spans="1:2" x14ac:dyDescent="0.35">
      <c r="A674">
        <v>35</v>
      </c>
      <c r="B674" t="s">
        <v>30</v>
      </c>
    </row>
    <row r="675" spans="1:2" x14ac:dyDescent="0.35">
      <c r="A675">
        <v>35</v>
      </c>
      <c r="B675" s="2">
        <v>-0.46013999999999999</v>
      </c>
    </row>
    <row r="676" spans="1:2" x14ac:dyDescent="0.35">
      <c r="A676">
        <v>35</v>
      </c>
      <c r="B676" t="s">
        <v>8</v>
      </c>
    </row>
    <row r="677" spans="1:2" x14ac:dyDescent="0.35">
      <c r="A677">
        <v>35</v>
      </c>
      <c r="B677" s="2">
        <v>0.59299999999999997</v>
      </c>
    </row>
    <row r="678" spans="1:2" x14ac:dyDescent="0.35">
      <c r="A678">
        <v>35</v>
      </c>
      <c r="B678" t="s">
        <v>31</v>
      </c>
    </row>
    <row r="679" spans="1:2" x14ac:dyDescent="0.35">
      <c r="A679">
        <v>35</v>
      </c>
      <c r="B679">
        <v>-0.29099999999999998</v>
      </c>
    </row>
    <row r="680" spans="1:2" x14ac:dyDescent="0.35">
      <c r="A680">
        <v>35</v>
      </c>
      <c r="B680" t="s">
        <v>32</v>
      </c>
    </row>
    <row r="681" spans="1:2" x14ac:dyDescent="0.35">
      <c r="A681">
        <v>35</v>
      </c>
      <c r="B681" s="2">
        <v>-0.32754</v>
      </c>
    </row>
    <row r="682" spans="1:2" x14ac:dyDescent="0.35">
      <c r="A682">
        <v>35</v>
      </c>
      <c r="B682" t="s">
        <v>33</v>
      </c>
    </row>
    <row r="683" spans="1:2" x14ac:dyDescent="0.35">
      <c r="A683">
        <v>35</v>
      </c>
      <c r="B683" s="3">
        <v>0.53</v>
      </c>
    </row>
    <row r="684" spans="1:2" x14ac:dyDescent="0.35">
      <c r="A684">
        <v>35</v>
      </c>
      <c r="B684" t="s">
        <v>34</v>
      </c>
    </row>
    <row r="685" spans="1:2" x14ac:dyDescent="0.35">
      <c r="A685">
        <v>35</v>
      </c>
      <c r="B685" s="3">
        <v>0.47</v>
      </c>
    </row>
    <row r="686" spans="1:2" x14ac:dyDescent="0.35">
      <c r="A686">
        <v>35</v>
      </c>
      <c r="B686" t="s">
        <v>26</v>
      </c>
    </row>
    <row r="687" spans="1:2" x14ac:dyDescent="0.35">
      <c r="A687">
        <v>35</v>
      </c>
      <c r="B687">
        <v>0.52</v>
      </c>
    </row>
    <row r="688" spans="1:2" x14ac:dyDescent="0.35">
      <c r="A688">
        <v>35</v>
      </c>
      <c r="B688" t="s">
        <v>23</v>
      </c>
    </row>
    <row r="689" spans="1:2" x14ac:dyDescent="0.35">
      <c r="A689">
        <v>35</v>
      </c>
      <c r="B689">
        <v>-0.36</v>
      </c>
    </row>
    <row r="690" spans="1:2" x14ac:dyDescent="0.35">
      <c r="A690">
        <v>35</v>
      </c>
      <c r="B690" t="s">
        <v>24</v>
      </c>
    </row>
    <row r="691" spans="1:2" x14ac:dyDescent="0.35">
      <c r="A691">
        <v>35</v>
      </c>
      <c r="B691">
        <v>2.1549999999999998</v>
      </c>
    </row>
    <row r="692" spans="1:2" x14ac:dyDescent="0.35">
      <c r="A692">
        <v>35</v>
      </c>
      <c r="B692" t="s">
        <v>35</v>
      </c>
    </row>
    <row r="693" spans="1:2" x14ac:dyDescent="0.35">
      <c r="A693">
        <v>35</v>
      </c>
      <c r="B693">
        <v>0.60599999999999998</v>
      </c>
    </row>
    <row r="694" spans="1:2" x14ac:dyDescent="0.35">
      <c r="A694">
        <v>35</v>
      </c>
      <c r="B694" t="s">
        <v>36</v>
      </c>
    </row>
    <row r="695" spans="1:2" x14ac:dyDescent="0.35">
      <c r="A695">
        <v>35</v>
      </c>
      <c r="B695">
        <v>0.36699999999999999</v>
      </c>
    </row>
    <row r="696" spans="1:2" x14ac:dyDescent="0.35">
      <c r="A696">
        <v>35</v>
      </c>
      <c r="B696" t="s">
        <v>37</v>
      </c>
    </row>
    <row r="697" spans="1:2" x14ac:dyDescent="0.35">
      <c r="A697">
        <v>35</v>
      </c>
      <c r="B697">
        <v>-0.48199999999999998</v>
      </c>
    </row>
    <row r="698" spans="1:2" x14ac:dyDescent="0.35">
      <c r="A698">
        <v>35</v>
      </c>
      <c r="B698" t="s">
        <v>38</v>
      </c>
    </row>
    <row r="699" spans="1:2" x14ac:dyDescent="0.35">
      <c r="A699">
        <v>35</v>
      </c>
      <c r="B699">
        <v>0.59299999999999997</v>
      </c>
    </row>
    <row r="700" spans="1:2" x14ac:dyDescent="0.35">
      <c r="A700">
        <v>35</v>
      </c>
      <c r="B700" t="s">
        <v>39</v>
      </c>
    </row>
    <row r="701" spans="1:2" x14ac:dyDescent="0.35">
      <c r="A701">
        <v>35</v>
      </c>
      <c r="B701">
        <v>-0.10299999999999999</v>
      </c>
    </row>
    <row r="702" spans="1:2" x14ac:dyDescent="0.35">
      <c r="A702">
        <v>35</v>
      </c>
      <c r="B702" t="s">
        <v>40</v>
      </c>
    </row>
    <row r="703" spans="1:2" x14ac:dyDescent="0.35">
      <c r="A703">
        <v>35</v>
      </c>
      <c r="B703" s="4">
        <v>0</v>
      </c>
    </row>
    <row r="704" spans="1:2" x14ac:dyDescent="0.35">
      <c r="A704">
        <v>35</v>
      </c>
      <c r="B704" t="s">
        <v>41</v>
      </c>
    </row>
    <row r="705" spans="1:2" x14ac:dyDescent="0.35">
      <c r="A705">
        <v>35</v>
      </c>
      <c r="B705" s="4">
        <v>19000000</v>
      </c>
    </row>
    <row r="706" spans="1:2" x14ac:dyDescent="0.35">
      <c r="A706">
        <v>35</v>
      </c>
      <c r="B706" t="s">
        <v>42</v>
      </c>
    </row>
    <row r="707" spans="1:2" x14ac:dyDescent="0.35">
      <c r="A707">
        <v>35</v>
      </c>
      <c r="B707" t="s">
        <v>44</v>
      </c>
    </row>
    <row r="708" spans="1:2" x14ac:dyDescent="0.35">
      <c r="A708">
        <v>36</v>
      </c>
      <c r="B708" t="s">
        <v>27</v>
      </c>
    </row>
    <row r="709" spans="1:2" x14ac:dyDescent="0.35">
      <c r="A709">
        <v>36</v>
      </c>
      <c r="B709" s="2">
        <v>9.3880000000000005E-2</v>
      </c>
    </row>
    <row r="710" spans="1:2" x14ac:dyDescent="0.35">
      <c r="A710">
        <v>36</v>
      </c>
      <c r="B710" t="s">
        <v>1</v>
      </c>
    </row>
    <row r="711" spans="1:2" x14ac:dyDescent="0.35">
      <c r="A711">
        <v>36</v>
      </c>
      <c r="B711">
        <v>-0.36699999999999999</v>
      </c>
    </row>
    <row r="712" spans="1:2" x14ac:dyDescent="0.35">
      <c r="A712">
        <v>36</v>
      </c>
      <c r="B712" t="s">
        <v>28</v>
      </c>
    </row>
    <row r="713" spans="1:2" x14ac:dyDescent="0.35">
      <c r="A713">
        <v>36</v>
      </c>
      <c r="B713">
        <v>459</v>
      </c>
    </row>
    <row r="714" spans="1:2" x14ac:dyDescent="0.35">
      <c r="A714">
        <v>36</v>
      </c>
      <c r="B714" t="s">
        <v>25</v>
      </c>
    </row>
    <row r="715" spans="1:2" x14ac:dyDescent="0.35">
      <c r="A715">
        <v>36</v>
      </c>
      <c r="B715" s="2">
        <v>4.1099999999999998E-2</v>
      </c>
    </row>
    <row r="716" spans="1:2" x14ac:dyDescent="0.35">
      <c r="A716">
        <v>36</v>
      </c>
      <c r="B716" t="s">
        <v>29</v>
      </c>
    </row>
    <row r="717" spans="1:2" x14ac:dyDescent="0.35">
      <c r="A717">
        <v>36</v>
      </c>
      <c r="B717" s="2">
        <v>-7.9299999999999995E-2</v>
      </c>
    </row>
    <row r="718" spans="1:2" x14ac:dyDescent="0.35">
      <c r="A718">
        <v>36</v>
      </c>
      <c r="B718" t="s">
        <v>30</v>
      </c>
    </row>
    <row r="719" spans="1:2" x14ac:dyDescent="0.35">
      <c r="A719">
        <v>36</v>
      </c>
      <c r="B719" s="2">
        <v>-0.46013999999999999</v>
      </c>
    </row>
    <row r="720" spans="1:2" x14ac:dyDescent="0.35">
      <c r="A720">
        <v>36</v>
      </c>
      <c r="B720" t="s">
        <v>8</v>
      </c>
    </row>
    <row r="721" spans="1:2" x14ac:dyDescent="0.35">
      <c r="A721">
        <v>36</v>
      </c>
      <c r="B721" s="2">
        <v>0.59299999999999997</v>
      </c>
    </row>
    <row r="722" spans="1:2" x14ac:dyDescent="0.35">
      <c r="A722">
        <v>36</v>
      </c>
      <c r="B722" t="s">
        <v>31</v>
      </c>
    </row>
    <row r="723" spans="1:2" x14ac:dyDescent="0.35">
      <c r="A723">
        <v>36</v>
      </c>
      <c r="B723">
        <v>-0.29099999999999998</v>
      </c>
    </row>
    <row r="724" spans="1:2" x14ac:dyDescent="0.35">
      <c r="A724">
        <v>36</v>
      </c>
      <c r="B724" t="s">
        <v>32</v>
      </c>
    </row>
    <row r="725" spans="1:2" x14ac:dyDescent="0.35">
      <c r="A725">
        <v>36</v>
      </c>
      <c r="B725" s="2">
        <v>-0.32754</v>
      </c>
    </row>
    <row r="726" spans="1:2" x14ac:dyDescent="0.35">
      <c r="A726">
        <v>36</v>
      </c>
      <c r="B726" t="s">
        <v>33</v>
      </c>
    </row>
    <row r="727" spans="1:2" x14ac:dyDescent="0.35">
      <c r="A727">
        <v>36</v>
      </c>
      <c r="B727" s="3">
        <v>0.53</v>
      </c>
    </row>
    <row r="728" spans="1:2" x14ac:dyDescent="0.35">
      <c r="A728">
        <v>36</v>
      </c>
      <c r="B728" t="s">
        <v>34</v>
      </c>
    </row>
    <row r="729" spans="1:2" x14ac:dyDescent="0.35">
      <c r="A729">
        <v>36</v>
      </c>
      <c r="B729" s="3">
        <v>0.47</v>
      </c>
    </row>
    <row r="730" spans="1:2" x14ac:dyDescent="0.35">
      <c r="A730">
        <v>36</v>
      </c>
      <c r="B730" t="s">
        <v>26</v>
      </c>
    </row>
    <row r="731" spans="1:2" x14ac:dyDescent="0.35">
      <c r="A731">
        <v>36</v>
      </c>
      <c r="B731">
        <v>0.52</v>
      </c>
    </row>
    <row r="732" spans="1:2" x14ac:dyDescent="0.35">
      <c r="A732">
        <v>36</v>
      </c>
      <c r="B732" t="s">
        <v>23</v>
      </c>
    </row>
    <row r="733" spans="1:2" x14ac:dyDescent="0.35">
      <c r="A733">
        <v>36</v>
      </c>
      <c r="B733">
        <v>-0.36</v>
      </c>
    </row>
    <row r="734" spans="1:2" x14ac:dyDescent="0.35">
      <c r="A734">
        <v>36</v>
      </c>
      <c r="B734" t="s">
        <v>24</v>
      </c>
    </row>
    <row r="735" spans="1:2" x14ac:dyDescent="0.35">
      <c r="A735">
        <v>36</v>
      </c>
      <c r="B735">
        <v>2.1549999999999998</v>
      </c>
    </row>
    <row r="736" spans="1:2" x14ac:dyDescent="0.35">
      <c r="A736">
        <v>36</v>
      </c>
      <c r="B736" t="s">
        <v>35</v>
      </c>
    </row>
    <row r="737" spans="1:2" x14ac:dyDescent="0.35">
      <c r="A737">
        <v>36</v>
      </c>
      <c r="B737">
        <v>0.60599999999999998</v>
      </c>
    </row>
    <row r="738" spans="1:2" x14ac:dyDescent="0.35">
      <c r="A738">
        <v>36</v>
      </c>
      <c r="B738" t="s">
        <v>36</v>
      </c>
    </row>
    <row r="739" spans="1:2" x14ac:dyDescent="0.35">
      <c r="A739">
        <v>36</v>
      </c>
      <c r="B739">
        <v>0.36699999999999999</v>
      </c>
    </row>
    <row r="740" spans="1:2" x14ac:dyDescent="0.35">
      <c r="A740">
        <v>36</v>
      </c>
      <c r="B740" t="s">
        <v>37</v>
      </c>
    </row>
    <row r="741" spans="1:2" x14ac:dyDescent="0.35">
      <c r="A741">
        <v>36</v>
      </c>
      <c r="B741">
        <v>-0.48199999999999998</v>
      </c>
    </row>
    <row r="742" spans="1:2" x14ac:dyDescent="0.35">
      <c r="A742">
        <v>36</v>
      </c>
      <c r="B742" t="s">
        <v>38</v>
      </c>
    </row>
    <row r="743" spans="1:2" x14ac:dyDescent="0.35">
      <c r="A743">
        <v>36</v>
      </c>
      <c r="B743">
        <v>0.59299999999999997</v>
      </c>
    </row>
    <row r="744" spans="1:2" x14ac:dyDescent="0.35">
      <c r="A744">
        <v>36</v>
      </c>
      <c r="B744" t="s">
        <v>39</v>
      </c>
    </row>
    <row r="745" spans="1:2" x14ac:dyDescent="0.35">
      <c r="A745">
        <v>36</v>
      </c>
      <c r="B745">
        <v>-0.10299999999999999</v>
      </c>
    </row>
    <row r="746" spans="1:2" x14ac:dyDescent="0.35">
      <c r="A746">
        <v>36</v>
      </c>
      <c r="B746" t="s">
        <v>40</v>
      </c>
    </row>
    <row r="747" spans="1:2" x14ac:dyDescent="0.35">
      <c r="A747">
        <v>36</v>
      </c>
      <c r="B747" s="4">
        <v>0</v>
      </c>
    </row>
    <row r="748" spans="1:2" x14ac:dyDescent="0.35">
      <c r="A748">
        <v>36</v>
      </c>
      <c r="B748" t="s">
        <v>41</v>
      </c>
    </row>
    <row r="749" spans="1:2" x14ac:dyDescent="0.35">
      <c r="A749">
        <v>36</v>
      </c>
      <c r="B749" s="4">
        <v>19000000</v>
      </c>
    </row>
    <row r="750" spans="1:2" x14ac:dyDescent="0.35">
      <c r="A750">
        <v>36</v>
      </c>
      <c r="B750" t="s">
        <v>42</v>
      </c>
    </row>
    <row r="751" spans="1:2" x14ac:dyDescent="0.35">
      <c r="A751">
        <v>36</v>
      </c>
      <c r="B751" t="s">
        <v>44</v>
      </c>
    </row>
    <row r="752" spans="1:2" x14ac:dyDescent="0.35">
      <c r="A752">
        <v>55</v>
      </c>
      <c r="B752" t="s">
        <v>27</v>
      </c>
    </row>
    <row r="753" spans="1:2" x14ac:dyDescent="0.35">
      <c r="A753">
        <v>55</v>
      </c>
      <c r="B753" s="2">
        <v>9.3880000000000005E-2</v>
      </c>
    </row>
    <row r="754" spans="1:2" x14ac:dyDescent="0.35">
      <c r="A754">
        <v>55</v>
      </c>
      <c r="B754" t="s">
        <v>1</v>
      </c>
    </row>
    <row r="755" spans="1:2" x14ac:dyDescent="0.35">
      <c r="A755">
        <v>55</v>
      </c>
      <c r="B755">
        <v>-0.36699999999999999</v>
      </c>
    </row>
    <row r="756" spans="1:2" x14ac:dyDescent="0.35">
      <c r="A756">
        <v>55</v>
      </c>
      <c r="B756" t="s">
        <v>28</v>
      </c>
    </row>
    <row r="757" spans="1:2" x14ac:dyDescent="0.35">
      <c r="A757">
        <v>55</v>
      </c>
      <c r="B757">
        <v>459</v>
      </c>
    </row>
    <row r="758" spans="1:2" x14ac:dyDescent="0.35">
      <c r="A758">
        <v>55</v>
      </c>
      <c r="B758" t="s">
        <v>25</v>
      </c>
    </row>
    <row r="759" spans="1:2" x14ac:dyDescent="0.35">
      <c r="A759">
        <v>55</v>
      </c>
      <c r="B759" s="2">
        <v>4.1099999999999998E-2</v>
      </c>
    </row>
    <row r="760" spans="1:2" x14ac:dyDescent="0.35">
      <c r="A760">
        <v>55</v>
      </c>
      <c r="B760" t="s">
        <v>29</v>
      </c>
    </row>
    <row r="761" spans="1:2" x14ac:dyDescent="0.35">
      <c r="A761">
        <v>55</v>
      </c>
      <c r="B761" s="2">
        <v>-7.9299999999999995E-2</v>
      </c>
    </row>
    <row r="762" spans="1:2" x14ac:dyDescent="0.35">
      <c r="A762">
        <v>55</v>
      </c>
      <c r="B762" t="s">
        <v>30</v>
      </c>
    </row>
    <row r="763" spans="1:2" x14ac:dyDescent="0.35">
      <c r="A763">
        <v>55</v>
      </c>
      <c r="B763" s="2">
        <v>-0.46013999999999999</v>
      </c>
    </row>
    <row r="764" spans="1:2" x14ac:dyDescent="0.35">
      <c r="A764">
        <v>55</v>
      </c>
      <c r="B764" t="s">
        <v>8</v>
      </c>
    </row>
    <row r="765" spans="1:2" x14ac:dyDescent="0.35">
      <c r="A765">
        <v>55</v>
      </c>
      <c r="B765" s="2">
        <v>0.59299999999999997</v>
      </c>
    </row>
    <row r="766" spans="1:2" x14ac:dyDescent="0.35">
      <c r="A766">
        <v>55</v>
      </c>
      <c r="B766" t="s">
        <v>31</v>
      </c>
    </row>
    <row r="767" spans="1:2" x14ac:dyDescent="0.35">
      <c r="A767">
        <v>55</v>
      </c>
      <c r="B767">
        <v>-0.29099999999999998</v>
      </c>
    </row>
    <row r="768" spans="1:2" x14ac:dyDescent="0.35">
      <c r="A768">
        <v>55</v>
      </c>
      <c r="B768" t="s">
        <v>32</v>
      </c>
    </row>
    <row r="769" spans="1:2" x14ac:dyDescent="0.35">
      <c r="A769">
        <v>55</v>
      </c>
      <c r="B769" s="2">
        <v>-0.32754</v>
      </c>
    </row>
    <row r="770" spans="1:2" x14ac:dyDescent="0.35">
      <c r="A770">
        <v>55</v>
      </c>
      <c r="B770" t="s">
        <v>33</v>
      </c>
    </row>
    <row r="771" spans="1:2" x14ac:dyDescent="0.35">
      <c r="A771">
        <v>55</v>
      </c>
      <c r="B771" s="3">
        <v>0.53</v>
      </c>
    </row>
    <row r="772" spans="1:2" x14ac:dyDescent="0.35">
      <c r="A772">
        <v>55</v>
      </c>
      <c r="B772" t="s">
        <v>34</v>
      </c>
    </row>
    <row r="773" spans="1:2" x14ac:dyDescent="0.35">
      <c r="A773">
        <v>55</v>
      </c>
      <c r="B773" s="3">
        <v>0.47</v>
      </c>
    </row>
    <row r="774" spans="1:2" x14ac:dyDescent="0.35">
      <c r="A774">
        <v>55</v>
      </c>
      <c r="B774" t="s">
        <v>26</v>
      </c>
    </row>
    <row r="775" spans="1:2" x14ac:dyDescent="0.35">
      <c r="A775">
        <v>55</v>
      </c>
      <c r="B775">
        <v>0.52</v>
      </c>
    </row>
    <row r="776" spans="1:2" x14ac:dyDescent="0.35">
      <c r="A776">
        <v>55</v>
      </c>
      <c r="B776" t="s">
        <v>23</v>
      </c>
    </row>
    <row r="777" spans="1:2" x14ac:dyDescent="0.35">
      <c r="A777">
        <v>55</v>
      </c>
      <c r="B777">
        <v>-0.36</v>
      </c>
    </row>
    <row r="778" spans="1:2" x14ac:dyDescent="0.35">
      <c r="A778">
        <v>55</v>
      </c>
      <c r="B778" t="s">
        <v>24</v>
      </c>
    </row>
    <row r="779" spans="1:2" x14ac:dyDescent="0.35">
      <c r="A779">
        <v>55</v>
      </c>
      <c r="B779">
        <v>2.1549999999999998</v>
      </c>
    </row>
    <row r="780" spans="1:2" x14ac:dyDescent="0.35">
      <c r="A780">
        <v>55</v>
      </c>
      <c r="B780" t="s">
        <v>35</v>
      </c>
    </row>
    <row r="781" spans="1:2" x14ac:dyDescent="0.35">
      <c r="A781">
        <v>55</v>
      </c>
      <c r="B781">
        <v>0.60599999999999998</v>
      </c>
    </row>
    <row r="782" spans="1:2" x14ac:dyDescent="0.35">
      <c r="A782">
        <v>55</v>
      </c>
      <c r="B782" t="s">
        <v>36</v>
      </c>
    </row>
    <row r="783" spans="1:2" x14ac:dyDescent="0.35">
      <c r="A783">
        <v>55</v>
      </c>
      <c r="B783">
        <v>0.36699999999999999</v>
      </c>
    </row>
    <row r="784" spans="1:2" x14ac:dyDescent="0.35">
      <c r="A784">
        <v>55</v>
      </c>
      <c r="B784" t="s">
        <v>37</v>
      </c>
    </row>
    <row r="785" spans="1:2" x14ac:dyDescent="0.35">
      <c r="A785">
        <v>55</v>
      </c>
      <c r="B785">
        <v>-0.48199999999999998</v>
      </c>
    </row>
    <row r="786" spans="1:2" x14ac:dyDescent="0.35">
      <c r="A786">
        <v>55</v>
      </c>
      <c r="B786" t="s">
        <v>38</v>
      </c>
    </row>
    <row r="787" spans="1:2" x14ac:dyDescent="0.35">
      <c r="A787">
        <v>55</v>
      </c>
      <c r="B787">
        <v>0.59299999999999997</v>
      </c>
    </row>
    <row r="788" spans="1:2" x14ac:dyDescent="0.35">
      <c r="A788">
        <v>55</v>
      </c>
      <c r="B788" t="s">
        <v>39</v>
      </c>
    </row>
    <row r="789" spans="1:2" x14ac:dyDescent="0.35">
      <c r="A789">
        <v>55</v>
      </c>
      <c r="B789">
        <v>-0.10299999999999999</v>
      </c>
    </row>
    <row r="790" spans="1:2" x14ac:dyDescent="0.35">
      <c r="A790">
        <v>55</v>
      </c>
      <c r="B790" t="s">
        <v>40</v>
      </c>
    </row>
    <row r="791" spans="1:2" x14ac:dyDescent="0.35">
      <c r="A791">
        <v>55</v>
      </c>
      <c r="B791" s="4">
        <v>0</v>
      </c>
    </row>
    <row r="792" spans="1:2" x14ac:dyDescent="0.35">
      <c r="A792">
        <v>55</v>
      </c>
      <c r="B792" t="s">
        <v>41</v>
      </c>
    </row>
    <row r="793" spans="1:2" x14ac:dyDescent="0.35">
      <c r="A793">
        <v>55</v>
      </c>
      <c r="B793" s="4">
        <v>19000000</v>
      </c>
    </row>
    <row r="794" spans="1:2" x14ac:dyDescent="0.35">
      <c r="A794">
        <v>55</v>
      </c>
      <c r="B794" t="s">
        <v>42</v>
      </c>
    </row>
    <row r="795" spans="1:2" x14ac:dyDescent="0.35">
      <c r="A795">
        <v>55</v>
      </c>
      <c r="B795" t="s">
        <v>44</v>
      </c>
    </row>
    <row r="796" spans="1:2" x14ac:dyDescent="0.35">
      <c r="A796">
        <v>56</v>
      </c>
      <c r="B796" t="s">
        <v>27</v>
      </c>
    </row>
    <row r="797" spans="1:2" x14ac:dyDescent="0.35">
      <c r="A797">
        <v>56</v>
      </c>
      <c r="B797" s="2">
        <v>9.3880000000000005E-2</v>
      </c>
    </row>
    <row r="798" spans="1:2" x14ac:dyDescent="0.35">
      <c r="A798">
        <v>56</v>
      </c>
      <c r="B798" t="s">
        <v>1</v>
      </c>
    </row>
    <row r="799" spans="1:2" x14ac:dyDescent="0.35">
      <c r="A799">
        <v>56</v>
      </c>
      <c r="B799">
        <v>-0.36699999999999999</v>
      </c>
    </row>
    <row r="800" spans="1:2" x14ac:dyDescent="0.35">
      <c r="A800">
        <v>56</v>
      </c>
      <c r="B800" t="s">
        <v>28</v>
      </c>
    </row>
    <row r="801" spans="1:2" x14ac:dyDescent="0.35">
      <c r="A801">
        <v>56</v>
      </c>
      <c r="B801">
        <v>459</v>
      </c>
    </row>
    <row r="802" spans="1:2" x14ac:dyDescent="0.35">
      <c r="A802">
        <v>56</v>
      </c>
      <c r="B802" t="s">
        <v>25</v>
      </c>
    </row>
    <row r="803" spans="1:2" x14ac:dyDescent="0.35">
      <c r="A803">
        <v>56</v>
      </c>
      <c r="B803" s="2">
        <v>4.1099999999999998E-2</v>
      </c>
    </row>
    <row r="804" spans="1:2" x14ac:dyDescent="0.35">
      <c r="A804">
        <v>56</v>
      </c>
      <c r="B804" t="s">
        <v>29</v>
      </c>
    </row>
    <row r="805" spans="1:2" x14ac:dyDescent="0.35">
      <c r="A805">
        <v>56</v>
      </c>
      <c r="B805" s="2">
        <v>-7.9299999999999995E-2</v>
      </c>
    </row>
    <row r="806" spans="1:2" x14ac:dyDescent="0.35">
      <c r="A806">
        <v>56</v>
      </c>
      <c r="B806" t="s">
        <v>30</v>
      </c>
    </row>
    <row r="807" spans="1:2" x14ac:dyDescent="0.35">
      <c r="A807">
        <v>56</v>
      </c>
      <c r="B807" s="2">
        <v>-0.46013999999999999</v>
      </c>
    </row>
    <row r="808" spans="1:2" x14ac:dyDescent="0.35">
      <c r="A808">
        <v>56</v>
      </c>
      <c r="B808" t="s">
        <v>8</v>
      </c>
    </row>
    <row r="809" spans="1:2" x14ac:dyDescent="0.35">
      <c r="A809">
        <v>56</v>
      </c>
      <c r="B809" s="2">
        <v>0.59299999999999997</v>
      </c>
    </row>
    <row r="810" spans="1:2" x14ac:dyDescent="0.35">
      <c r="A810">
        <v>56</v>
      </c>
      <c r="B810" t="s">
        <v>31</v>
      </c>
    </row>
    <row r="811" spans="1:2" x14ac:dyDescent="0.35">
      <c r="A811">
        <v>56</v>
      </c>
      <c r="B811">
        <v>-0.29099999999999998</v>
      </c>
    </row>
    <row r="812" spans="1:2" x14ac:dyDescent="0.35">
      <c r="A812">
        <v>56</v>
      </c>
      <c r="B812" t="s">
        <v>32</v>
      </c>
    </row>
    <row r="813" spans="1:2" x14ac:dyDescent="0.35">
      <c r="A813">
        <v>56</v>
      </c>
      <c r="B813" s="2">
        <v>-0.32754</v>
      </c>
    </row>
    <row r="814" spans="1:2" x14ac:dyDescent="0.35">
      <c r="A814">
        <v>56</v>
      </c>
      <c r="B814" t="s">
        <v>33</v>
      </c>
    </row>
    <row r="815" spans="1:2" x14ac:dyDescent="0.35">
      <c r="A815">
        <v>56</v>
      </c>
      <c r="B815" s="3">
        <v>0.53</v>
      </c>
    </row>
    <row r="816" spans="1:2" x14ac:dyDescent="0.35">
      <c r="A816">
        <v>56</v>
      </c>
      <c r="B816" t="s">
        <v>34</v>
      </c>
    </row>
    <row r="817" spans="1:2" x14ac:dyDescent="0.35">
      <c r="A817">
        <v>56</v>
      </c>
      <c r="B817" s="3">
        <v>0.47</v>
      </c>
    </row>
    <row r="818" spans="1:2" x14ac:dyDescent="0.35">
      <c r="A818">
        <v>56</v>
      </c>
      <c r="B818" t="s">
        <v>26</v>
      </c>
    </row>
    <row r="819" spans="1:2" x14ac:dyDescent="0.35">
      <c r="A819">
        <v>56</v>
      </c>
      <c r="B819">
        <v>0.52</v>
      </c>
    </row>
    <row r="820" spans="1:2" x14ac:dyDescent="0.35">
      <c r="A820">
        <v>56</v>
      </c>
      <c r="B820" t="s">
        <v>23</v>
      </c>
    </row>
    <row r="821" spans="1:2" x14ac:dyDescent="0.35">
      <c r="A821">
        <v>56</v>
      </c>
      <c r="B821">
        <v>-0.36</v>
      </c>
    </row>
    <row r="822" spans="1:2" x14ac:dyDescent="0.35">
      <c r="A822">
        <v>56</v>
      </c>
      <c r="B822" t="s">
        <v>24</v>
      </c>
    </row>
    <row r="823" spans="1:2" x14ac:dyDescent="0.35">
      <c r="A823">
        <v>56</v>
      </c>
      <c r="B823">
        <v>2.1549999999999998</v>
      </c>
    </row>
    <row r="824" spans="1:2" x14ac:dyDescent="0.35">
      <c r="A824">
        <v>56</v>
      </c>
      <c r="B824" t="s">
        <v>35</v>
      </c>
    </row>
    <row r="825" spans="1:2" x14ac:dyDescent="0.35">
      <c r="A825">
        <v>56</v>
      </c>
      <c r="B825">
        <v>0.60599999999999998</v>
      </c>
    </row>
    <row r="826" spans="1:2" x14ac:dyDescent="0.35">
      <c r="A826">
        <v>56</v>
      </c>
      <c r="B826" t="s">
        <v>36</v>
      </c>
    </row>
    <row r="827" spans="1:2" x14ac:dyDescent="0.35">
      <c r="A827">
        <v>56</v>
      </c>
      <c r="B827">
        <v>0.36699999999999999</v>
      </c>
    </row>
    <row r="828" spans="1:2" x14ac:dyDescent="0.35">
      <c r="A828">
        <v>56</v>
      </c>
      <c r="B828" t="s">
        <v>37</v>
      </c>
    </row>
    <row r="829" spans="1:2" x14ac:dyDescent="0.35">
      <c r="A829">
        <v>56</v>
      </c>
      <c r="B829">
        <v>-0.48199999999999998</v>
      </c>
    </row>
    <row r="830" spans="1:2" x14ac:dyDescent="0.35">
      <c r="A830">
        <v>56</v>
      </c>
      <c r="B830" t="s">
        <v>38</v>
      </c>
    </row>
    <row r="831" spans="1:2" x14ac:dyDescent="0.35">
      <c r="A831">
        <v>56</v>
      </c>
      <c r="B831">
        <v>0.59299999999999997</v>
      </c>
    </row>
    <row r="832" spans="1:2" x14ac:dyDescent="0.35">
      <c r="A832">
        <v>56</v>
      </c>
      <c r="B832" t="s">
        <v>39</v>
      </c>
    </row>
    <row r="833" spans="1:2" x14ac:dyDescent="0.35">
      <c r="A833">
        <v>56</v>
      </c>
      <c r="B833">
        <v>-0.10299999999999999</v>
      </c>
    </row>
    <row r="834" spans="1:2" x14ac:dyDescent="0.35">
      <c r="A834">
        <v>56</v>
      </c>
      <c r="B834" t="s">
        <v>40</v>
      </c>
    </row>
    <row r="835" spans="1:2" x14ac:dyDescent="0.35">
      <c r="A835">
        <v>56</v>
      </c>
      <c r="B835" s="4">
        <v>0</v>
      </c>
    </row>
    <row r="836" spans="1:2" x14ac:dyDescent="0.35">
      <c r="A836">
        <v>56</v>
      </c>
      <c r="B836" t="s">
        <v>41</v>
      </c>
    </row>
    <row r="837" spans="1:2" x14ac:dyDescent="0.35">
      <c r="A837">
        <v>56</v>
      </c>
      <c r="B837" s="4">
        <v>19000000</v>
      </c>
    </row>
    <row r="838" spans="1:2" x14ac:dyDescent="0.35">
      <c r="A838">
        <v>56</v>
      </c>
      <c r="B838" t="s">
        <v>42</v>
      </c>
    </row>
    <row r="839" spans="1:2" x14ac:dyDescent="0.35">
      <c r="A839">
        <v>56</v>
      </c>
      <c r="B839" t="s">
        <v>44</v>
      </c>
    </row>
    <row r="840" spans="1:2" x14ac:dyDescent="0.35">
      <c r="A840">
        <v>57</v>
      </c>
      <c r="B840" t="s">
        <v>27</v>
      </c>
    </row>
    <row r="841" spans="1:2" x14ac:dyDescent="0.35">
      <c r="A841">
        <v>57</v>
      </c>
      <c r="B841" s="2">
        <v>9.3880000000000005E-2</v>
      </c>
    </row>
    <row r="842" spans="1:2" x14ac:dyDescent="0.35">
      <c r="A842">
        <v>57</v>
      </c>
      <c r="B842" t="s">
        <v>1</v>
      </c>
    </row>
    <row r="843" spans="1:2" x14ac:dyDescent="0.35">
      <c r="A843">
        <v>57</v>
      </c>
      <c r="B843">
        <v>-0.36699999999999999</v>
      </c>
    </row>
    <row r="844" spans="1:2" x14ac:dyDescent="0.35">
      <c r="A844">
        <v>57</v>
      </c>
      <c r="B844" t="s">
        <v>28</v>
      </c>
    </row>
    <row r="845" spans="1:2" x14ac:dyDescent="0.35">
      <c r="A845">
        <v>57</v>
      </c>
      <c r="B845">
        <v>459</v>
      </c>
    </row>
    <row r="846" spans="1:2" x14ac:dyDescent="0.35">
      <c r="A846">
        <v>57</v>
      </c>
      <c r="B846" t="s">
        <v>25</v>
      </c>
    </row>
    <row r="847" spans="1:2" x14ac:dyDescent="0.35">
      <c r="A847">
        <v>57</v>
      </c>
      <c r="B847" s="2">
        <v>4.1099999999999998E-2</v>
      </c>
    </row>
    <row r="848" spans="1:2" x14ac:dyDescent="0.35">
      <c r="A848">
        <v>57</v>
      </c>
      <c r="B848" t="s">
        <v>29</v>
      </c>
    </row>
    <row r="849" spans="1:2" x14ac:dyDescent="0.35">
      <c r="A849">
        <v>57</v>
      </c>
      <c r="B849" s="2">
        <v>-7.9299999999999995E-2</v>
      </c>
    </row>
    <row r="850" spans="1:2" x14ac:dyDescent="0.35">
      <c r="A850">
        <v>57</v>
      </c>
      <c r="B850" t="s">
        <v>30</v>
      </c>
    </row>
    <row r="851" spans="1:2" x14ac:dyDescent="0.35">
      <c r="A851">
        <v>57</v>
      </c>
      <c r="B851" s="2">
        <v>-0.46013999999999999</v>
      </c>
    </row>
    <row r="852" spans="1:2" x14ac:dyDescent="0.35">
      <c r="A852">
        <v>57</v>
      </c>
      <c r="B852" t="s">
        <v>8</v>
      </c>
    </row>
    <row r="853" spans="1:2" x14ac:dyDescent="0.35">
      <c r="A853">
        <v>57</v>
      </c>
      <c r="B853" s="2">
        <v>0.59299999999999997</v>
      </c>
    </row>
    <row r="854" spans="1:2" x14ac:dyDescent="0.35">
      <c r="A854">
        <v>57</v>
      </c>
      <c r="B854" t="s">
        <v>31</v>
      </c>
    </row>
    <row r="855" spans="1:2" x14ac:dyDescent="0.35">
      <c r="A855">
        <v>57</v>
      </c>
      <c r="B855">
        <v>-0.29099999999999998</v>
      </c>
    </row>
    <row r="856" spans="1:2" x14ac:dyDescent="0.35">
      <c r="A856">
        <v>57</v>
      </c>
      <c r="B856" t="s">
        <v>32</v>
      </c>
    </row>
    <row r="857" spans="1:2" x14ac:dyDescent="0.35">
      <c r="A857">
        <v>57</v>
      </c>
      <c r="B857" s="2">
        <v>-0.32754</v>
      </c>
    </row>
    <row r="858" spans="1:2" x14ac:dyDescent="0.35">
      <c r="A858">
        <v>57</v>
      </c>
      <c r="B858" t="s">
        <v>33</v>
      </c>
    </row>
    <row r="859" spans="1:2" x14ac:dyDescent="0.35">
      <c r="A859">
        <v>57</v>
      </c>
      <c r="B859" s="3">
        <v>0.53</v>
      </c>
    </row>
    <row r="860" spans="1:2" x14ac:dyDescent="0.35">
      <c r="A860">
        <v>57</v>
      </c>
      <c r="B860" t="s">
        <v>34</v>
      </c>
    </row>
    <row r="861" spans="1:2" x14ac:dyDescent="0.35">
      <c r="A861">
        <v>57</v>
      </c>
      <c r="B861" s="3">
        <v>0.47</v>
      </c>
    </row>
    <row r="862" spans="1:2" x14ac:dyDescent="0.35">
      <c r="A862">
        <v>57</v>
      </c>
      <c r="B862" t="s">
        <v>26</v>
      </c>
    </row>
    <row r="863" spans="1:2" x14ac:dyDescent="0.35">
      <c r="A863">
        <v>57</v>
      </c>
      <c r="B863">
        <v>0.52</v>
      </c>
    </row>
    <row r="864" spans="1:2" x14ac:dyDescent="0.35">
      <c r="A864">
        <v>57</v>
      </c>
      <c r="B864" t="s">
        <v>23</v>
      </c>
    </row>
    <row r="865" spans="1:2" x14ac:dyDescent="0.35">
      <c r="A865">
        <v>57</v>
      </c>
      <c r="B865">
        <v>-0.36</v>
      </c>
    </row>
    <row r="866" spans="1:2" x14ac:dyDescent="0.35">
      <c r="A866">
        <v>57</v>
      </c>
      <c r="B866" t="s">
        <v>24</v>
      </c>
    </row>
    <row r="867" spans="1:2" x14ac:dyDescent="0.35">
      <c r="A867">
        <v>57</v>
      </c>
      <c r="B867">
        <v>2.1549999999999998</v>
      </c>
    </row>
    <row r="868" spans="1:2" x14ac:dyDescent="0.35">
      <c r="A868">
        <v>57</v>
      </c>
      <c r="B868" t="s">
        <v>35</v>
      </c>
    </row>
    <row r="869" spans="1:2" x14ac:dyDescent="0.35">
      <c r="A869">
        <v>57</v>
      </c>
      <c r="B869">
        <v>0.60599999999999998</v>
      </c>
    </row>
    <row r="870" spans="1:2" x14ac:dyDescent="0.35">
      <c r="A870">
        <v>57</v>
      </c>
      <c r="B870" t="s">
        <v>36</v>
      </c>
    </row>
    <row r="871" spans="1:2" x14ac:dyDescent="0.35">
      <c r="A871">
        <v>57</v>
      </c>
      <c r="B871">
        <v>0.36699999999999999</v>
      </c>
    </row>
    <row r="872" spans="1:2" x14ac:dyDescent="0.35">
      <c r="A872">
        <v>57</v>
      </c>
      <c r="B872" t="s">
        <v>37</v>
      </c>
    </row>
    <row r="873" spans="1:2" x14ac:dyDescent="0.35">
      <c r="A873">
        <v>57</v>
      </c>
      <c r="B873">
        <v>-0.48199999999999998</v>
      </c>
    </row>
    <row r="874" spans="1:2" x14ac:dyDescent="0.35">
      <c r="A874">
        <v>57</v>
      </c>
      <c r="B874" t="s">
        <v>38</v>
      </c>
    </row>
    <row r="875" spans="1:2" x14ac:dyDescent="0.35">
      <c r="A875">
        <v>57</v>
      </c>
      <c r="B875">
        <v>0.59299999999999997</v>
      </c>
    </row>
    <row r="876" spans="1:2" x14ac:dyDescent="0.35">
      <c r="A876">
        <v>57</v>
      </c>
      <c r="B876" t="s">
        <v>39</v>
      </c>
    </row>
    <row r="877" spans="1:2" x14ac:dyDescent="0.35">
      <c r="A877">
        <v>57</v>
      </c>
      <c r="B877">
        <v>-0.10299999999999999</v>
      </c>
    </row>
    <row r="878" spans="1:2" x14ac:dyDescent="0.35">
      <c r="A878">
        <v>57</v>
      </c>
      <c r="B878" t="s">
        <v>40</v>
      </c>
    </row>
    <row r="879" spans="1:2" x14ac:dyDescent="0.35">
      <c r="A879">
        <v>57</v>
      </c>
      <c r="B879" s="4">
        <v>0</v>
      </c>
    </row>
    <row r="880" spans="1:2" x14ac:dyDescent="0.35">
      <c r="A880">
        <v>57</v>
      </c>
      <c r="B880" t="s">
        <v>41</v>
      </c>
    </row>
    <row r="881" spans="1:2" x14ac:dyDescent="0.35">
      <c r="A881">
        <v>57</v>
      </c>
      <c r="B881" s="4">
        <v>19000000</v>
      </c>
    </row>
    <row r="882" spans="1:2" x14ac:dyDescent="0.35">
      <c r="A882">
        <v>57</v>
      </c>
      <c r="B882" t="s">
        <v>42</v>
      </c>
    </row>
    <row r="883" spans="1:2" x14ac:dyDescent="0.35">
      <c r="A883">
        <v>57</v>
      </c>
      <c r="B883" t="s">
        <v>44</v>
      </c>
    </row>
    <row r="884" spans="1:2" x14ac:dyDescent="0.35">
      <c r="A884">
        <v>58</v>
      </c>
      <c r="B884" t="s">
        <v>27</v>
      </c>
    </row>
    <row r="885" spans="1:2" x14ac:dyDescent="0.35">
      <c r="A885">
        <v>58</v>
      </c>
      <c r="B885" s="2">
        <v>9.3880000000000005E-2</v>
      </c>
    </row>
    <row r="886" spans="1:2" x14ac:dyDescent="0.35">
      <c r="A886">
        <v>58</v>
      </c>
      <c r="B886" t="s">
        <v>1</v>
      </c>
    </row>
    <row r="887" spans="1:2" x14ac:dyDescent="0.35">
      <c r="A887">
        <v>58</v>
      </c>
      <c r="B887">
        <v>-0.36699999999999999</v>
      </c>
    </row>
    <row r="888" spans="1:2" x14ac:dyDescent="0.35">
      <c r="A888">
        <v>58</v>
      </c>
      <c r="B888" t="s">
        <v>28</v>
      </c>
    </row>
    <row r="889" spans="1:2" x14ac:dyDescent="0.35">
      <c r="A889">
        <v>58</v>
      </c>
      <c r="B889">
        <v>459</v>
      </c>
    </row>
    <row r="890" spans="1:2" x14ac:dyDescent="0.35">
      <c r="A890">
        <v>58</v>
      </c>
      <c r="B890" t="s">
        <v>25</v>
      </c>
    </row>
    <row r="891" spans="1:2" x14ac:dyDescent="0.35">
      <c r="A891">
        <v>58</v>
      </c>
      <c r="B891" s="2">
        <v>4.1099999999999998E-2</v>
      </c>
    </row>
    <row r="892" spans="1:2" x14ac:dyDescent="0.35">
      <c r="A892">
        <v>58</v>
      </c>
      <c r="B892" t="s">
        <v>29</v>
      </c>
    </row>
    <row r="893" spans="1:2" x14ac:dyDescent="0.35">
      <c r="A893">
        <v>58</v>
      </c>
      <c r="B893" s="2">
        <v>-7.9299999999999995E-2</v>
      </c>
    </row>
    <row r="894" spans="1:2" x14ac:dyDescent="0.35">
      <c r="A894">
        <v>58</v>
      </c>
      <c r="B894" t="s">
        <v>30</v>
      </c>
    </row>
    <row r="895" spans="1:2" x14ac:dyDescent="0.35">
      <c r="A895">
        <v>58</v>
      </c>
      <c r="B895" s="2">
        <v>-0.46013999999999999</v>
      </c>
    </row>
    <row r="896" spans="1:2" x14ac:dyDescent="0.35">
      <c r="A896">
        <v>58</v>
      </c>
      <c r="B896" t="s">
        <v>8</v>
      </c>
    </row>
    <row r="897" spans="1:2" x14ac:dyDescent="0.35">
      <c r="A897">
        <v>58</v>
      </c>
      <c r="B897" s="2">
        <v>0.59299999999999997</v>
      </c>
    </row>
    <row r="898" spans="1:2" x14ac:dyDescent="0.35">
      <c r="A898">
        <v>58</v>
      </c>
      <c r="B898" t="s">
        <v>31</v>
      </c>
    </row>
    <row r="899" spans="1:2" x14ac:dyDescent="0.35">
      <c r="A899">
        <v>58</v>
      </c>
      <c r="B899">
        <v>-0.29099999999999998</v>
      </c>
    </row>
    <row r="900" spans="1:2" x14ac:dyDescent="0.35">
      <c r="A900">
        <v>58</v>
      </c>
      <c r="B900" t="s">
        <v>32</v>
      </c>
    </row>
    <row r="901" spans="1:2" x14ac:dyDescent="0.35">
      <c r="A901">
        <v>58</v>
      </c>
      <c r="B901" s="2">
        <v>-0.32754</v>
      </c>
    </row>
    <row r="902" spans="1:2" x14ac:dyDescent="0.35">
      <c r="A902">
        <v>58</v>
      </c>
      <c r="B902" t="s">
        <v>33</v>
      </c>
    </row>
    <row r="903" spans="1:2" x14ac:dyDescent="0.35">
      <c r="A903">
        <v>58</v>
      </c>
      <c r="B903" s="3">
        <v>0.53</v>
      </c>
    </row>
    <row r="904" spans="1:2" x14ac:dyDescent="0.35">
      <c r="A904">
        <v>58</v>
      </c>
      <c r="B904" t="s">
        <v>34</v>
      </c>
    </row>
    <row r="905" spans="1:2" x14ac:dyDescent="0.35">
      <c r="A905">
        <v>58</v>
      </c>
      <c r="B905" s="3">
        <v>0.47</v>
      </c>
    </row>
    <row r="906" spans="1:2" x14ac:dyDescent="0.35">
      <c r="A906">
        <v>58</v>
      </c>
      <c r="B906" t="s">
        <v>26</v>
      </c>
    </row>
    <row r="907" spans="1:2" x14ac:dyDescent="0.35">
      <c r="A907">
        <v>58</v>
      </c>
      <c r="B907">
        <v>0.52</v>
      </c>
    </row>
    <row r="908" spans="1:2" x14ac:dyDescent="0.35">
      <c r="A908">
        <v>58</v>
      </c>
      <c r="B908" t="s">
        <v>23</v>
      </c>
    </row>
    <row r="909" spans="1:2" x14ac:dyDescent="0.35">
      <c r="A909">
        <v>58</v>
      </c>
      <c r="B909">
        <v>-0.36</v>
      </c>
    </row>
    <row r="910" spans="1:2" x14ac:dyDescent="0.35">
      <c r="A910">
        <v>58</v>
      </c>
      <c r="B910" t="s">
        <v>24</v>
      </c>
    </row>
    <row r="911" spans="1:2" x14ac:dyDescent="0.35">
      <c r="A911">
        <v>58</v>
      </c>
      <c r="B911">
        <v>2.1549999999999998</v>
      </c>
    </row>
    <row r="912" spans="1:2" x14ac:dyDescent="0.35">
      <c r="A912">
        <v>58</v>
      </c>
      <c r="B912" t="s">
        <v>35</v>
      </c>
    </row>
    <row r="913" spans="1:2" x14ac:dyDescent="0.35">
      <c r="A913">
        <v>58</v>
      </c>
      <c r="B913">
        <v>0.60599999999999998</v>
      </c>
    </row>
    <row r="914" spans="1:2" x14ac:dyDescent="0.35">
      <c r="A914">
        <v>58</v>
      </c>
      <c r="B914" t="s">
        <v>36</v>
      </c>
    </row>
    <row r="915" spans="1:2" x14ac:dyDescent="0.35">
      <c r="A915">
        <v>58</v>
      </c>
      <c r="B915">
        <v>0.36699999999999999</v>
      </c>
    </row>
    <row r="916" spans="1:2" x14ac:dyDescent="0.35">
      <c r="A916">
        <v>58</v>
      </c>
      <c r="B916" t="s">
        <v>37</v>
      </c>
    </row>
    <row r="917" spans="1:2" x14ac:dyDescent="0.35">
      <c r="A917">
        <v>58</v>
      </c>
      <c r="B917">
        <v>-0.48199999999999998</v>
      </c>
    </row>
    <row r="918" spans="1:2" x14ac:dyDescent="0.35">
      <c r="A918">
        <v>58</v>
      </c>
      <c r="B918" t="s">
        <v>38</v>
      </c>
    </row>
    <row r="919" spans="1:2" x14ac:dyDescent="0.35">
      <c r="A919">
        <v>58</v>
      </c>
      <c r="B919">
        <v>0.59299999999999997</v>
      </c>
    </row>
    <row r="920" spans="1:2" x14ac:dyDescent="0.35">
      <c r="A920">
        <v>58</v>
      </c>
      <c r="B920" t="s">
        <v>39</v>
      </c>
    </row>
    <row r="921" spans="1:2" x14ac:dyDescent="0.35">
      <c r="A921">
        <v>58</v>
      </c>
      <c r="B921">
        <v>-0.10299999999999999</v>
      </c>
    </row>
    <row r="922" spans="1:2" x14ac:dyDescent="0.35">
      <c r="A922">
        <v>58</v>
      </c>
      <c r="B922" t="s">
        <v>40</v>
      </c>
    </row>
    <row r="923" spans="1:2" x14ac:dyDescent="0.35">
      <c r="A923">
        <v>58</v>
      </c>
      <c r="B923" s="4">
        <v>0</v>
      </c>
    </row>
    <row r="924" spans="1:2" x14ac:dyDescent="0.35">
      <c r="A924">
        <v>58</v>
      </c>
      <c r="B924" t="s">
        <v>41</v>
      </c>
    </row>
    <row r="925" spans="1:2" x14ac:dyDescent="0.35">
      <c r="A925">
        <v>58</v>
      </c>
      <c r="B925" s="4">
        <v>19000000</v>
      </c>
    </row>
    <row r="926" spans="1:2" x14ac:dyDescent="0.35">
      <c r="A926">
        <v>58</v>
      </c>
      <c r="B926" t="s">
        <v>42</v>
      </c>
    </row>
    <row r="927" spans="1:2" x14ac:dyDescent="0.35">
      <c r="A927">
        <v>58</v>
      </c>
      <c r="B927" t="s">
        <v>44</v>
      </c>
    </row>
    <row r="928" spans="1:2" x14ac:dyDescent="0.35">
      <c r="A928">
        <v>59</v>
      </c>
      <c r="B928" t="s">
        <v>27</v>
      </c>
    </row>
    <row r="929" spans="1:2" x14ac:dyDescent="0.35">
      <c r="A929">
        <v>59</v>
      </c>
      <c r="B929" s="2">
        <v>9.3880000000000005E-2</v>
      </c>
    </row>
    <row r="930" spans="1:2" x14ac:dyDescent="0.35">
      <c r="A930">
        <v>59</v>
      </c>
      <c r="B930" t="s">
        <v>1</v>
      </c>
    </row>
    <row r="931" spans="1:2" x14ac:dyDescent="0.35">
      <c r="A931">
        <v>59</v>
      </c>
      <c r="B931">
        <v>-0.36699999999999999</v>
      </c>
    </row>
    <row r="932" spans="1:2" x14ac:dyDescent="0.35">
      <c r="A932">
        <v>59</v>
      </c>
      <c r="B932" t="s">
        <v>28</v>
      </c>
    </row>
    <row r="933" spans="1:2" x14ac:dyDescent="0.35">
      <c r="A933">
        <v>59</v>
      </c>
      <c r="B933">
        <v>459</v>
      </c>
    </row>
    <row r="934" spans="1:2" x14ac:dyDescent="0.35">
      <c r="A934">
        <v>59</v>
      </c>
      <c r="B934" t="s">
        <v>25</v>
      </c>
    </row>
    <row r="935" spans="1:2" x14ac:dyDescent="0.35">
      <c r="A935">
        <v>59</v>
      </c>
      <c r="B935" s="2">
        <v>4.1099999999999998E-2</v>
      </c>
    </row>
    <row r="936" spans="1:2" x14ac:dyDescent="0.35">
      <c r="A936">
        <v>59</v>
      </c>
      <c r="B936" t="s">
        <v>29</v>
      </c>
    </row>
    <row r="937" spans="1:2" x14ac:dyDescent="0.35">
      <c r="A937">
        <v>59</v>
      </c>
      <c r="B937" s="2">
        <v>-7.9299999999999995E-2</v>
      </c>
    </row>
    <row r="938" spans="1:2" x14ac:dyDescent="0.35">
      <c r="A938">
        <v>59</v>
      </c>
      <c r="B938" t="s">
        <v>30</v>
      </c>
    </row>
    <row r="939" spans="1:2" x14ac:dyDescent="0.35">
      <c r="A939">
        <v>59</v>
      </c>
      <c r="B939" s="2">
        <v>-0.46013999999999999</v>
      </c>
    </row>
    <row r="940" spans="1:2" x14ac:dyDescent="0.35">
      <c r="A940">
        <v>59</v>
      </c>
      <c r="B940" t="s">
        <v>8</v>
      </c>
    </row>
    <row r="941" spans="1:2" x14ac:dyDescent="0.35">
      <c r="A941">
        <v>59</v>
      </c>
      <c r="B941" s="2">
        <v>0.59299999999999997</v>
      </c>
    </row>
    <row r="942" spans="1:2" x14ac:dyDescent="0.35">
      <c r="A942">
        <v>59</v>
      </c>
      <c r="B942" t="s">
        <v>31</v>
      </c>
    </row>
    <row r="943" spans="1:2" x14ac:dyDescent="0.35">
      <c r="A943">
        <v>59</v>
      </c>
      <c r="B943">
        <v>-0.29099999999999998</v>
      </c>
    </row>
    <row r="944" spans="1:2" x14ac:dyDescent="0.35">
      <c r="A944">
        <v>59</v>
      </c>
      <c r="B944" t="s">
        <v>32</v>
      </c>
    </row>
    <row r="945" spans="1:2" x14ac:dyDescent="0.35">
      <c r="A945">
        <v>59</v>
      </c>
      <c r="B945" s="2">
        <v>-0.32754</v>
      </c>
    </row>
    <row r="946" spans="1:2" x14ac:dyDescent="0.35">
      <c r="A946">
        <v>59</v>
      </c>
      <c r="B946" t="s">
        <v>33</v>
      </c>
    </row>
    <row r="947" spans="1:2" x14ac:dyDescent="0.35">
      <c r="A947">
        <v>59</v>
      </c>
      <c r="B947" s="3">
        <v>0.53</v>
      </c>
    </row>
    <row r="948" spans="1:2" x14ac:dyDescent="0.35">
      <c r="A948">
        <v>59</v>
      </c>
      <c r="B948" t="s">
        <v>34</v>
      </c>
    </row>
    <row r="949" spans="1:2" x14ac:dyDescent="0.35">
      <c r="A949">
        <v>59</v>
      </c>
      <c r="B949" s="3">
        <v>0.47</v>
      </c>
    </row>
    <row r="950" spans="1:2" x14ac:dyDescent="0.35">
      <c r="A950">
        <v>59</v>
      </c>
      <c r="B950" t="s">
        <v>26</v>
      </c>
    </row>
    <row r="951" spans="1:2" x14ac:dyDescent="0.35">
      <c r="A951">
        <v>59</v>
      </c>
      <c r="B951">
        <v>0.52</v>
      </c>
    </row>
    <row r="952" spans="1:2" x14ac:dyDescent="0.35">
      <c r="A952">
        <v>59</v>
      </c>
      <c r="B952" t="s">
        <v>23</v>
      </c>
    </row>
    <row r="953" spans="1:2" x14ac:dyDescent="0.35">
      <c r="A953">
        <v>59</v>
      </c>
      <c r="B953">
        <v>-0.36</v>
      </c>
    </row>
    <row r="954" spans="1:2" x14ac:dyDescent="0.35">
      <c r="A954">
        <v>59</v>
      </c>
      <c r="B954" t="s">
        <v>24</v>
      </c>
    </row>
    <row r="955" spans="1:2" x14ac:dyDescent="0.35">
      <c r="A955">
        <v>59</v>
      </c>
      <c r="B955">
        <v>2.1549999999999998</v>
      </c>
    </row>
    <row r="956" spans="1:2" x14ac:dyDescent="0.35">
      <c r="A956">
        <v>59</v>
      </c>
      <c r="B956" t="s">
        <v>35</v>
      </c>
    </row>
    <row r="957" spans="1:2" x14ac:dyDescent="0.35">
      <c r="A957">
        <v>59</v>
      </c>
      <c r="B957">
        <v>0.60599999999999998</v>
      </c>
    </row>
    <row r="958" spans="1:2" x14ac:dyDescent="0.35">
      <c r="A958">
        <v>59</v>
      </c>
      <c r="B958" t="s">
        <v>36</v>
      </c>
    </row>
    <row r="959" spans="1:2" x14ac:dyDescent="0.35">
      <c r="A959">
        <v>59</v>
      </c>
      <c r="B959">
        <v>0.36699999999999999</v>
      </c>
    </row>
    <row r="960" spans="1:2" x14ac:dyDescent="0.35">
      <c r="A960">
        <v>59</v>
      </c>
      <c r="B960" t="s">
        <v>37</v>
      </c>
    </row>
    <row r="961" spans="1:2" x14ac:dyDescent="0.35">
      <c r="A961">
        <v>59</v>
      </c>
      <c r="B961">
        <v>-0.48199999999999998</v>
      </c>
    </row>
    <row r="962" spans="1:2" x14ac:dyDescent="0.35">
      <c r="A962">
        <v>59</v>
      </c>
      <c r="B962" t="s">
        <v>38</v>
      </c>
    </row>
    <row r="963" spans="1:2" x14ac:dyDescent="0.35">
      <c r="A963">
        <v>59</v>
      </c>
      <c r="B963">
        <v>0.59299999999999997</v>
      </c>
    </row>
    <row r="964" spans="1:2" x14ac:dyDescent="0.35">
      <c r="A964">
        <v>59</v>
      </c>
      <c r="B964" t="s">
        <v>39</v>
      </c>
    </row>
    <row r="965" spans="1:2" x14ac:dyDescent="0.35">
      <c r="A965">
        <v>59</v>
      </c>
      <c r="B965">
        <v>-0.10299999999999999</v>
      </c>
    </row>
    <row r="966" spans="1:2" x14ac:dyDescent="0.35">
      <c r="A966">
        <v>59</v>
      </c>
      <c r="B966" t="s">
        <v>40</v>
      </c>
    </row>
    <row r="967" spans="1:2" x14ac:dyDescent="0.35">
      <c r="A967">
        <v>59</v>
      </c>
      <c r="B967" s="4">
        <v>0</v>
      </c>
    </row>
    <row r="968" spans="1:2" x14ac:dyDescent="0.35">
      <c r="A968">
        <v>59</v>
      </c>
      <c r="B968" t="s">
        <v>41</v>
      </c>
    </row>
    <row r="969" spans="1:2" x14ac:dyDescent="0.35">
      <c r="A969">
        <v>59</v>
      </c>
      <c r="B969" s="4">
        <v>19000000</v>
      </c>
    </row>
    <row r="970" spans="1:2" x14ac:dyDescent="0.35">
      <c r="A970">
        <v>59</v>
      </c>
      <c r="B970" t="s">
        <v>42</v>
      </c>
    </row>
    <row r="971" spans="1:2" x14ac:dyDescent="0.35">
      <c r="A971">
        <v>59</v>
      </c>
      <c r="B971" t="s">
        <v>44</v>
      </c>
    </row>
    <row r="972" spans="1:2" x14ac:dyDescent="0.35">
      <c r="A972">
        <v>60</v>
      </c>
      <c r="B972" t="s">
        <v>27</v>
      </c>
    </row>
    <row r="973" spans="1:2" x14ac:dyDescent="0.35">
      <c r="A973">
        <v>60</v>
      </c>
      <c r="B973" s="2">
        <v>9.3880000000000005E-2</v>
      </c>
    </row>
    <row r="974" spans="1:2" x14ac:dyDescent="0.35">
      <c r="A974">
        <v>60</v>
      </c>
      <c r="B974" t="s">
        <v>1</v>
      </c>
    </row>
    <row r="975" spans="1:2" x14ac:dyDescent="0.35">
      <c r="A975">
        <v>60</v>
      </c>
      <c r="B975">
        <v>-0.36699999999999999</v>
      </c>
    </row>
    <row r="976" spans="1:2" x14ac:dyDescent="0.35">
      <c r="A976">
        <v>60</v>
      </c>
      <c r="B976" t="s">
        <v>28</v>
      </c>
    </row>
    <row r="977" spans="1:2" x14ac:dyDescent="0.35">
      <c r="A977">
        <v>60</v>
      </c>
      <c r="B977">
        <v>459</v>
      </c>
    </row>
    <row r="978" spans="1:2" x14ac:dyDescent="0.35">
      <c r="A978">
        <v>60</v>
      </c>
      <c r="B978" t="s">
        <v>25</v>
      </c>
    </row>
    <row r="979" spans="1:2" x14ac:dyDescent="0.35">
      <c r="A979">
        <v>60</v>
      </c>
      <c r="B979" s="2">
        <v>4.1099999999999998E-2</v>
      </c>
    </row>
    <row r="980" spans="1:2" x14ac:dyDescent="0.35">
      <c r="A980">
        <v>60</v>
      </c>
      <c r="B980" t="s">
        <v>29</v>
      </c>
    </row>
    <row r="981" spans="1:2" x14ac:dyDescent="0.35">
      <c r="A981">
        <v>60</v>
      </c>
      <c r="B981" s="2">
        <v>-7.9299999999999995E-2</v>
      </c>
    </row>
    <row r="982" spans="1:2" x14ac:dyDescent="0.35">
      <c r="A982">
        <v>60</v>
      </c>
      <c r="B982" t="s">
        <v>30</v>
      </c>
    </row>
    <row r="983" spans="1:2" x14ac:dyDescent="0.35">
      <c r="A983">
        <v>60</v>
      </c>
      <c r="B983" s="2">
        <v>-0.46013999999999999</v>
      </c>
    </row>
    <row r="984" spans="1:2" x14ac:dyDescent="0.35">
      <c r="A984">
        <v>60</v>
      </c>
      <c r="B984" t="s">
        <v>8</v>
      </c>
    </row>
    <row r="985" spans="1:2" x14ac:dyDescent="0.35">
      <c r="A985">
        <v>60</v>
      </c>
      <c r="B985" s="2">
        <v>0.59299999999999997</v>
      </c>
    </row>
    <row r="986" spans="1:2" x14ac:dyDescent="0.35">
      <c r="A986">
        <v>60</v>
      </c>
      <c r="B986" t="s">
        <v>31</v>
      </c>
    </row>
    <row r="987" spans="1:2" x14ac:dyDescent="0.35">
      <c r="A987">
        <v>60</v>
      </c>
      <c r="B987">
        <v>-0.29099999999999998</v>
      </c>
    </row>
    <row r="988" spans="1:2" x14ac:dyDescent="0.35">
      <c r="A988">
        <v>60</v>
      </c>
      <c r="B988" t="s">
        <v>32</v>
      </c>
    </row>
    <row r="989" spans="1:2" x14ac:dyDescent="0.35">
      <c r="A989">
        <v>60</v>
      </c>
      <c r="B989" s="2">
        <v>-0.32754</v>
      </c>
    </row>
    <row r="990" spans="1:2" x14ac:dyDescent="0.35">
      <c r="A990">
        <v>60</v>
      </c>
      <c r="B990" t="s">
        <v>33</v>
      </c>
    </row>
    <row r="991" spans="1:2" x14ac:dyDescent="0.35">
      <c r="A991">
        <v>60</v>
      </c>
      <c r="B991" s="3">
        <v>0.53</v>
      </c>
    </row>
    <row r="992" spans="1:2" x14ac:dyDescent="0.35">
      <c r="A992">
        <v>60</v>
      </c>
      <c r="B992" t="s">
        <v>34</v>
      </c>
    </row>
    <row r="993" spans="1:2" x14ac:dyDescent="0.35">
      <c r="A993">
        <v>60</v>
      </c>
      <c r="B993" s="3">
        <v>0.47</v>
      </c>
    </row>
    <row r="994" spans="1:2" x14ac:dyDescent="0.35">
      <c r="A994">
        <v>60</v>
      </c>
      <c r="B994" t="s">
        <v>26</v>
      </c>
    </row>
    <row r="995" spans="1:2" x14ac:dyDescent="0.35">
      <c r="A995">
        <v>60</v>
      </c>
      <c r="B995">
        <v>0.52</v>
      </c>
    </row>
    <row r="996" spans="1:2" x14ac:dyDescent="0.35">
      <c r="A996">
        <v>60</v>
      </c>
      <c r="B996" t="s">
        <v>23</v>
      </c>
    </row>
    <row r="997" spans="1:2" x14ac:dyDescent="0.35">
      <c r="A997">
        <v>60</v>
      </c>
      <c r="B997">
        <v>-0.36</v>
      </c>
    </row>
    <row r="998" spans="1:2" x14ac:dyDescent="0.35">
      <c r="A998">
        <v>60</v>
      </c>
      <c r="B998" t="s">
        <v>24</v>
      </c>
    </row>
    <row r="999" spans="1:2" x14ac:dyDescent="0.35">
      <c r="A999">
        <v>60</v>
      </c>
      <c r="B999">
        <v>2.1549999999999998</v>
      </c>
    </row>
    <row r="1000" spans="1:2" x14ac:dyDescent="0.35">
      <c r="A1000">
        <v>60</v>
      </c>
      <c r="B1000" t="s">
        <v>35</v>
      </c>
    </row>
    <row r="1001" spans="1:2" x14ac:dyDescent="0.35">
      <c r="A1001">
        <v>60</v>
      </c>
      <c r="B1001">
        <v>0.60599999999999998</v>
      </c>
    </row>
    <row r="1002" spans="1:2" x14ac:dyDescent="0.35">
      <c r="A1002">
        <v>60</v>
      </c>
      <c r="B1002" t="s">
        <v>36</v>
      </c>
    </row>
    <row r="1003" spans="1:2" x14ac:dyDescent="0.35">
      <c r="A1003">
        <v>60</v>
      </c>
      <c r="B1003">
        <v>0.36699999999999999</v>
      </c>
    </row>
    <row r="1004" spans="1:2" x14ac:dyDescent="0.35">
      <c r="A1004">
        <v>60</v>
      </c>
      <c r="B1004" t="s">
        <v>37</v>
      </c>
    </row>
    <row r="1005" spans="1:2" x14ac:dyDescent="0.35">
      <c r="A1005">
        <v>60</v>
      </c>
      <c r="B1005">
        <v>-0.48199999999999998</v>
      </c>
    </row>
    <row r="1006" spans="1:2" x14ac:dyDescent="0.35">
      <c r="A1006">
        <v>60</v>
      </c>
      <c r="B1006" t="s">
        <v>38</v>
      </c>
    </row>
    <row r="1007" spans="1:2" x14ac:dyDescent="0.35">
      <c r="A1007">
        <v>60</v>
      </c>
      <c r="B1007">
        <v>0.59299999999999997</v>
      </c>
    </row>
    <row r="1008" spans="1:2" x14ac:dyDescent="0.35">
      <c r="A1008">
        <v>60</v>
      </c>
      <c r="B1008" t="s">
        <v>39</v>
      </c>
    </row>
    <row r="1009" spans="1:2" x14ac:dyDescent="0.35">
      <c r="A1009">
        <v>60</v>
      </c>
      <c r="B1009">
        <v>-0.10299999999999999</v>
      </c>
    </row>
    <row r="1010" spans="1:2" x14ac:dyDescent="0.35">
      <c r="A1010">
        <v>60</v>
      </c>
      <c r="B1010" t="s">
        <v>40</v>
      </c>
    </row>
    <row r="1011" spans="1:2" x14ac:dyDescent="0.35">
      <c r="A1011">
        <v>60</v>
      </c>
      <c r="B1011" s="4">
        <v>0</v>
      </c>
    </row>
    <row r="1012" spans="1:2" x14ac:dyDescent="0.35">
      <c r="A1012">
        <v>60</v>
      </c>
      <c r="B1012" t="s">
        <v>41</v>
      </c>
    </row>
    <row r="1013" spans="1:2" x14ac:dyDescent="0.35">
      <c r="A1013">
        <v>60</v>
      </c>
      <c r="B1013" s="4">
        <v>19000000</v>
      </c>
    </row>
    <row r="1014" spans="1:2" x14ac:dyDescent="0.35">
      <c r="A1014">
        <v>60</v>
      </c>
      <c r="B1014" t="s">
        <v>42</v>
      </c>
    </row>
    <row r="1015" spans="1:2" x14ac:dyDescent="0.35">
      <c r="A1015">
        <v>60</v>
      </c>
      <c r="B1015" t="s">
        <v>44</v>
      </c>
    </row>
    <row r="1016" spans="1:2" x14ac:dyDescent="0.35">
      <c r="A1016">
        <v>61</v>
      </c>
      <c r="B1016" t="s">
        <v>27</v>
      </c>
    </row>
    <row r="1017" spans="1:2" x14ac:dyDescent="0.35">
      <c r="A1017">
        <v>61</v>
      </c>
      <c r="B1017" s="2">
        <v>9.3880000000000005E-2</v>
      </c>
    </row>
    <row r="1018" spans="1:2" x14ac:dyDescent="0.35">
      <c r="A1018">
        <v>61</v>
      </c>
      <c r="B1018" t="s">
        <v>1</v>
      </c>
    </row>
    <row r="1019" spans="1:2" x14ac:dyDescent="0.35">
      <c r="A1019">
        <v>61</v>
      </c>
      <c r="B1019">
        <v>-0.36699999999999999</v>
      </c>
    </row>
    <row r="1020" spans="1:2" x14ac:dyDescent="0.35">
      <c r="A1020">
        <v>61</v>
      </c>
      <c r="B1020" t="s">
        <v>28</v>
      </c>
    </row>
    <row r="1021" spans="1:2" x14ac:dyDescent="0.35">
      <c r="A1021">
        <v>61</v>
      </c>
      <c r="B1021">
        <v>459</v>
      </c>
    </row>
    <row r="1022" spans="1:2" x14ac:dyDescent="0.35">
      <c r="A1022">
        <v>61</v>
      </c>
      <c r="B1022" t="s">
        <v>25</v>
      </c>
    </row>
    <row r="1023" spans="1:2" x14ac:dyDescent="0.35">
      <c r="A1023">
        <v>61</v>
      </c>
      <c r="B1023" s="2">
        <v>4.1099999999999998E-2</v>
      </c>
    </row>
    <row r="1024" spans="1:2" x14ac:dyDescent="0.35">
      <c r="A1024">
        <v>61</v>
      </c>
      <c r="B1024" t="s">
        <v>29</v>
      </c>
    </row>
    <row r="1025" spans="1:2" x14ac:dyDescent="0.35">
      <c r="A1025">
        <v>61</v>
      </c>
      <c r="B1025" s="2">
        <v>-7.9299999999999995E-2</v>
      </c>
    </row>
    <row r="1026" spans="1:2" x14ac:dyDescent="0.35">
      <c r="A1026">
        <v>61</v>
      </c>
      <c r="B1026" t="s">
        <v>30</v>
      </c>
    </row>
    <row r="1027" spans="1:2" x14ac:dyDescent="0.35">
      <c r="A1027">
        <v>61</v>
      </c>
      <c r="B1027" s="2">
        <v>-0.46013999999999999</v>
      </c>
    </row>
    <row r="1028" spans="1:2" x14ac:dyDescent="0.35">
      <c r="A1028">
        <v>61</v>
      </c>
      <c r="B1028" t="s">
        <v>8</v>
      </c>
    </row>
    <row r="1029" spans="1:2" x14ac:dyDescent="0.35">
      <c r="A1029">
        <v>61</v>
      </c>
      <c r="B1029" s="2">
        <v>0.59299999999999997</v>
      </c>
    </row>
    <row r="1030" spans="1:2" x14ac:dyDescent="0.35">
      <c r="A1030">
        <v>61</v>
      </c>
      <c r="B1030" t="s">
        <v>31</v>
      </c>
    </row>
    <row r="1031" spans="1:2" x14ac:dyDescent="0.35">
      <c r="A1031">
        <v>61</v>
      </c>
      <c r="B1031">
        <v>-0.29099999999999998</v>
      </c>
    </row>
    <row r="1032" spans="1:2" x14ac:dyDescent="0.35">
      <c r="A1032">
        <v>61</v>
      </c>
      <c r="B1032" t="s">
        <v>32</v>
      </c>
    </row>
    <row r="1033" spans="1:2" x14ac:dyDescent="0.35">
      <c r="A1033">
        <v>61</v>
      </c>
      <c r="B1033" s="2">
        <v>-0.32754</v>
      </c>
    </row>
    <row r="1034" spans="1:2" x14ac:dyDescent="0.35">
      <c r="A1034">
        <v>61</v>
      </c>
      <c r="B1034" t="s">
        <v>33</v>
      </c>
    </row>
    <row r="1035" spans="1:2" x14ac:dyDescent="0.35">
      <c r="A1035">
        <v>61</v>
      </c>
      <c r="B1035" s="3">
        <v>0.53</v>
      </c>
    </row>
    <row r="1036" spans="1:2" x14ac:dyDescent="0.35">
      <c r="A1036">
        <v>61</v>
      </c>
      <c r="B1036" t="s">
        <v>34</v>
      </c>
    </row>
    <row r="1037" spans="1:2" x14ac:dyDescent="0.35">
      <c r="A1037">
        <v>61</v>
      </c>
      <c r="B1037" s="3">
        <v>0.47</v>
      </c>
    </row>
    <row r="1038" spans="1:2" x14ac:dyDescent="0.35">
      <c r="A1038">
        <v>61</v>
      </c>
      <c r="B1038" t="s">
        <v>26</v>
      </c>
    </row>
    <row r="1039" spans="1:2" x14ac:dyDescent="0.35">
      <c r="A1039">
        <v>61</v>
      </c>
      <c r="B1039">
        <v>0.52</v>
      </c>
    </row>
    <row r="1040" spans="1:2" x14ac:dyDescent="0.35">
      <c r="A1040">
        <v>61</v>
      </c>
      <c r="B1040" t="s">
        <v>23</v>
      </c>
    </row>
    <row r="1041" spans="1:2" x14ac:dyDescent="0.35">
      <c r="A1041">
        <v>61</v>
      </c>
      <c r="B1041">
        <v>-0.36</v>
      </c>
    </row>
    <row r="1042" spans="1:2" x14ac:dyDescent="0.35">
      <c r="A1042">
        <v>61</v>
      </c>
      <c r="B1042" t="s">
        <v>24</v>
      </c>
    </row>
    <row r="1043" spans="1:2" x14ac:dyDescent="0.35">
      <c r="A1043">
        <v>61</v>
      </c>
      <c r="B1043">
        <v>2.1549999999999998</v>
      </c>
    </row>
    <row r="1044" spans="1:2" x14ac:dyDescent="0.35">
      <c r="A1044">
        <v>61</v>
      </c>
      <c r="B1044" t="s">
        <v>35</v>
      </c>
    </row>
    <row r="1045" spans="1:2" x14ac:dyDescent="0.35">
      <c r="A1045">
        <v>61</v>
      </c>
      <c r="B1045">
        <v>0.60599999999999998</v>
      </c>
    </row>
    <row r="1046" spans="1:2" x14ac:dyDescent="0.35">
      <c r="A1046">
        <v>61</v>
      </c>
      <c r="B1046" t="s">
        <v>36</v>
      </c>
    </row>
    <row r="1047" spans="1:2" x14ac:dyDescent="0.35">
      <c r="A1047">
        <v>61</v>
      </c>
      <c r="B1047">
        <v>0.36699999999999999</v>
      </c>
    </row>
    <row r="1048" spans="1:2" x14ac:dyDescent="0.35">
      <c r="A1048">
        <v>61</v>
      </c>
      <c r="B1048" t="s">
        <v>37</v>
      </c>
    </row>
    <row r="1049" spans="1:2" x14ac:dyDescent="0.35">
      <c r="A1049">
        <v>61</v>
      </c>
      <c r="B1049">
        <v>-0.48199999999999998</v>
      </c>
    </row>
    <row r="1050" spans="1:2" x14ac:dyDescent="0.35">
      <c r="A1050">
        <v>61</v>
      </c>
      <c r="B1050" t="s">
        <v>38</v>
      </c>
    </row>
    <row r="1051" spans="1:2" x14ac:dyDescent="0.35">
      <c r="A1051">
        <v>61</v>
      </c>
      <c r="B1051">
        <v>0.59299999999999997</v>
      </c>
    </row>
    <row r="1052" spans="1:2" x14ac:dyDescent="0.35">
      <c r="A1052">
        <v>61</v>
      </c>
      <c r="B1052" t="s">
        <v>39</v>
      </c>
    </row>
    <row r="1053" spans="1:2" x14ac:dyDescent="0.35">
      <c r="A1053">
        <v>61</v>
      </c>
      <c r="B1053">
        <v>-0.10299999999999999</v>
      </c>
    </row>
    <row r="1054" spans="1:2" x14ac:dyDescent="0.35">
      <c r="A1054">
        <v>61</v>
      </c>
      <c r="B1054" t="s">
        <v>40</v>
      </c>
    </row>
    <row r="1055" spans="1:2" x14ac:dyDescent="0.35">
      <c r="A1055">
        <v>61</v>
      </c>
      <c r="B1055" s="4">
        <v>0</v>
      </c>
    </row>
    <row r="1056" spans="1:2" x14ac:dyDescent="0.35">
      <c r="A1056">
        <v>61</v>
      </c>
      <c r="B1056" t="s">
        <v>41</v>
      </c>
    </row>
    <row r="1057" spans="1:2" x14ac:dyDescent="0.35">
      <c r="A1057">
        <v>61</v>
      </c>
      <c r="B1057" s="4">
        <v>19000000</v>
      </c>
    </row>
    <row r="1058" spans="1:2" x14ac:dyDescent="0.35">
      <c r="A1058">
        <v>61</v>
      </c>
      <c r="B1058" t="s">
        <v>42</v>
      </c>
    </row>
    <row r="1059" spans="1:2" x14ac:dyDescent="0.35">
      <c r="A1059">
        <v>61</v>
      </c>
      <c r="B1059" t="s">
        <v>44</v>
      </c>
    </row>
    <row r="1060" spans="1:2" x14ac:dyDescent="0.35">
      <c r="A1060">
        <v>62</v>
      </c>
      <c r="B1060" t="s">
        <v>27</v>
      </c>
    </row>
    <row r="1061" spans="1:2" x14ac:dyDescent="0.35">
      <c r="A1061">
        <v>62</v>
      </c>
      <c r="B1061" s="2">
        <v>9.3880000000000005E-2</v>
      </c>
    </row>
    <row r="1062" spans="1:2" x14ac:dyDescent="0.35">
      <c r="A1062">
        <v>62</v>
      </c>
      <c r="B1062" t="s">
        <v>1</v>
      </c>
    </row>
    <row r="1063" spans="1:2" x14ac:dyDescent="0.35">
      <c r="A1063">
        <v>62</v>
      </c>
      <c r="B1063">
        <v>-0.36699999999999999</v>
      </c>
    </row>
    <row r="1064" spans="1:2" x14ac:dyDescent="0.35">
      <c r="A1064">
        <v>62</v>
      </c>
      <c r="B1064" t="s">
        <v>28</v>
      </c>
    </row>
    <row r="1065" spans="1:2" x14ac:dyDescent="0.35">
      <c r="A1065">
        <v>62</v>
      </c>
      <c r="B1065">
        <v>459</v>
      </c>
    </row>
    <row r="1066" spans="1:2" x14ac:dyDescent="0.35">
      <c r="A1066">
        <v>62</v>
      </c>
      <c r="B1066" t="s">
        <v>25</v>
      </c>
    </row>
    <row r="1067" spans="1:2" x14ac:dyDescent="0.35">
      <c r="A1067">
        <v>62</v>
      </c>
      <c r="B1067" s="2">
        <v>4.1099999999999998E-2</v>
      </c>
    </row>
    <row r="1068" spans="1:2" x14ac:dyDescent="0.35">
      <c r="A1068">
        <v>62</v>
      </c>
      <c r="B1068" t="s">
        <v>29</v>
      </c>
    </row>
    <row r="1069" spans="1:2" x14ac:dyDescent="0.35">
      <c r="A1069">
        <v>62</v>
      </c>
      <c r="B1069" s="2">
        <v>-7.9299999999999995E-2</v>
      </c>
    </row>
    <row r="1070" spans="1:2" x14ac:dyDescent="0.35">
      <c r="A1070">
        <v>62</v>
      </c>
      <c r="B1070" t="s">
        <v>30</v>
      </c>
    </row>
    <row r="1071" spans="1:2" x14ac:dyDescent="0.35">
      <c r="A1071">
        <v>62</v>
      </c>
      <c r="B1071" s="2">
        <v>-0.46013999999999999</v>
      </c>
    </row>
    <row r="1072" spans="1:2" x14ac:dyDescent="0.35">
      <c r="A1072">
        <v>62</v>
      </c>
      <c r="B1072" t="s">
        <v>8</v>
      </c>
    </row>
    <row r="1073" spans="1:2" x14ac:dyDescent="0.35">
      <c r="A1073">
        <v>62</v>
      </c>
      <c r="B1073" s="2">
        <v>0.59299999999999997</v>
      </c>
    </row>
    <row r="1074" spans="1:2" x14ac:dyDescent="0.35">
      <c r="A1074">
        <v>62</v>
      </c>
      <c r="B1074" t="s">
        <v>31</v>
      </c>
    </row>
    <row r="1075" spans="1:2" x14ac:dyDescent="0.35">
      <c r="A1075">
        <v>62</v>
      </c>
      <c r="B1075">
        <v>-0.29099999999999998</v>
      </c>
    </row>
    <row r="1076" spans="1:2" x14ac:dyDescent="0.35">
      <c r="A1076">
        <v>62</v>
      </c>
      <c r="B1076" t="s">
        <v>32</v>
      </c>
    </row>
    <row r="1077" spans="1:2" x14ac:dyDescent="0.35">
      <c r="A1077">
        <v>62</v>
      </c>
      <c r="B1077" s="2">
        <v>-0.32754</v>
      </c>
    </row>
    <row r="1078" spans="1:2" x14ac:dyDescent="0.35">
      <c r="A1078">
        <v>62</v>
      </c>
      <c r="B1078" t="s">
        <v>33</v>
      </c>
    </row>
    <row r="1079" spans="1:2" x14ac:dyDescent="0.35">
      <c r="A1079">
        <v>62</v>
      </c>
      <c r="B1079" s="3">
        <v>0.53</v>
      </c>
    </row>
    <row r="1080" spans="1:2" x14ac:dyDescent="0.35">
      <c r="A1080">
        <v>62</v>
      </c>
      <c r="B1080" t="s">
        <v>34</v>
      </c>
    </row>
    <row r="1081" spans="1:2" x14ac:dyDescent="0.35">
      <c r="A1081">
        <v>62</v>
      </c>
      <c r="B1081" s="3">
        <v>0.47</v>
      </c>
    </row>
    <row r="1082" spans="1:2" x14ac:dyDescent="0.35">
      <c r="A1082">
        <v>62</v>
      </c>
      <c r="B1082" t="s">
        <v>26</v>
      </c>
    </row>
    <row r="1083" spans="1:2" x14ac:dyDescent="0.35">
      <c r="A1083">
        <v>62</v>
      </c>
      <c r="B1083">
        <v>0.52</v>
      </c>
    </row>
    <row r="1084" spans="1:2" x14ac:dyDescent="0.35">
      <c r="A1084">
        <v>62</v>
      </c>
      <c r="B1084" t="s">
        <v>23</v>
      </c>
    </row>
    <row r="1085" spans="1:2" x14ac:dyDescent="0.35">
      <c r="A1085">
        <v>62</v>
      </c>
      <c r="B1085">
        <v>-0.36</v>
      </c>
    </row>
    <row r="1086" spans="1:2" x14ac:dyDescent="0.35">
      <c r="A1086">
        <v>62</v>
      </c>
      <c r="B1086" t="s">
        <v>24</v>
      </c>
    </row>
    <row r="1087" spans="1:2" x14ac:dyDescent="0.35">
      <c r="A1087">
        <v>62</v>
      </c>
      <c r="B1087">
        <v>2.1549999999999998</v>
      </c>
    </row>
    <row r="1088" spans="1:2" x14ac:dyDescent="0.35">
      <c r="A1088">
        <v>62</v>
      </c>
      <c r="B1088" t="s">
        <v>35</v>
      </c>
    </row>
    <row r="1089" spans="1:2" x14ac:dyDescent="0.35">
      <c r="A1089">
        <v>62</v>
      </c>
      <c r="B1089">
        <v>0.60599999999999998</v>
      </c>
    </row>
    <row r="1090" spans="1:2" x14ac:dyDescent="0.35">
      <c r="A1090">
        <v>62</v>
      </c>
      <c r="B1090" t="s">
        <v>36</v>
      </c>
    </row>
    <row r="1091" spans="1:2" x14ac:dyDescent="0.35">
      <c r="A1091">
        <v>62</v>
      </c>
      <c r="B1091">
        <v>0.36699999999999999</v>
      </c>
    </row>
    <row r="1092" spans="1:2" x14ac:dyDescent="0.35">
      <c r="A1092">
        <v>62</v>
      </c>
      <c r="B1092" t="s">
        <v>37</v>
      </c>
    </row>
    <row r="1093" spans="1:2" x14ac:dyDescent="0.35">
      <c r="A1093">
        <v>62</v>
      </c>
      <c r="B1093">
        <v>-0.48199999999999998</v>
      </c>
    </row>
    <row r="1094" spans="1:2" x14ac:dyDescent="0.35">
      <c r="A1094">
        <v>62</v>
      </c>
      <c r="B1094" t="s">
        <v>38</v>
      </c>
    </row>
    <row r="1095" spans="1:2" x14ac:dyDescent="0.35">
      <c r="A1095">
        <v>62</v>
      </c>
      <c r="B1095">
        <v>0.59299999999999997</v>
      </c>
    </row>
    <row r="1096" spans="1:2" x14ac:dyDescent="0.35">
      <c r="A1096">
        <v>62</v>
      </c>
      <c r="B1096" t="s">
        <v>39</v>
      </c>
    </row>
    <row r="1097" spans="1:2" x14ac:dyDescent="0.35">
      <c r="A1097">
        <v>62</v>
      </c>
      <c r="B1097">
        <v>-0.10299999999999999</v>
      </c>
    </row>
    <row r="1098" spans="1:2" x14ac:dyDescent="0.35">
      <c r="A1098">
        <v>62</v>
      </c>
      <c r="B1098" t="s">
        <v>40</v>
      </c>
    </row>
    <row r="1099" spans="1:2" x14ac:dyDescent="0.35">
      <c r="A1099">
        <v>62</v>
      </c>
      <c r="B1099" s="4">
        <v>0</v>
      </c>
    </row>
    <row r="1100" spans="1:2" x14ac:dyDescent="0.35">
      <c r="A1100">
        <v>62</v>
      </c>
      <c r="B1100" t="s">
        <v>41</v>
      </c>
    </row>
    <row r="1101" spans="1:2" x14ac:dyDescent="0.35">
      <c r="A1101">
        <v>62</v>
      </c>
      <c r="B1101" s="4">
        <v>19000000</v>
      </c>
    </row>
    <row r="1102" spans="1:2" x14ac:dyDescent="0.35">
      <c r="A1102">
        <v>62</v>
      </c>
      <c r="B1102" t="s">
        <v>42</v>
      </c>
    </row>
    <row r="1103" spans="1:2" x14ac:dyDescent="0.35">
      <c r="A1103">
        <v>62</v>
      </c>
      <c r="B1103" t="s">
        <v>44</v>
      </c>
    </row>
    <row r="1104" spans="1:2" x14ac:dyDescent="0.35">
      <c r="A1104">
        <v>63</v>
      </c>
      <c r="B1104" t="s">
        <v>27</v>
      </c>
    </row>
    <row r="1105" spans="1:2" x14ac:dyDescent="0.35">
      <c r="A1105">
        <v>63</v>
      </c>
      <c r="B1105" s="2">
        <v>9.3880000000000005E-2</v>
      </c>
    </row>
    <row r="1106" spans="1:2" x14ac:dyDescent="0.35">
      <c r="A1106">
        <v>63</v>
      </c>
      <c r="B1106" t="s">
        <v>1</v>
      </c>
    </row>
    <row r="1107" spans="1:2" x14ac:dyDescent="0.35">
      <c r="A1107">
        <v>63</v>
      </c>
      <c r="B1107">
        <v>-0.36699999999999999</v>
      </c>
    </row>
    <row r="1108" spans="1:2" x14ac:dyDescent="0.35">
      <c r="A1108">
        <v>63</v>
      </c>
      <c r="B1108" t="s">
        <v>28</v>
      </c>
    </row>
    <row r="1109" spans="1:2" x14ac:dyDescent="0.35">
      <c r="A1109">
        <v>63</v>
      </c>
      <c r="B1109">
        <v>459</v>
      </c>
    </row>
    <row r="1110" spans="1:2" x14ac:dyDescent="0.35">
      <c r="A1110">
        <v>63</v>
      </c>
      <c r="B1110" t="s">
        <v>25</v>
      </c>
    </row>
    <row r="1111" spans="1:2" x14ac:dyDescent="0.35">
      <c r="A1111">
        <v>63</v>
      </c>
      <c r="B1111" s="2">
        <v>4.1099999999999998E-2</v>
      </c>
    </row>
    <row r="1112" spans="1:2" x14ac:dyDescent="0.35">
      <c r="A1112">
        <v>63</v>
      </c>
      <c r="B1112" t="s">
        <v>29</v>
      </c>
    </row>
    <row r="1113" spans="1:2" x14ac:dyDescent="0.35">
      <c r="A1113">
        <v>63</v>
      </c>
      <c r="B1113" s="2">
        <v>-7.9299999999999995E-2</v>
      </c>
    </row>
    <row r="1114" spans="1:2" x14ac:dyDescent="0.35">
      <c r="A1114">
        <v>63</v>
      </c>
      <c r="B1114" t="s">
        <v>30</v>
      </c>
    </row>
    <row r="1115" spans="1:2" x14ac:dyDescent="0.35">
      <c r="A1115">
        <v>63</v>
      </c>
      <c r="B1115" s="2">
        <v>-0.46013999999999999</v>
      </c>
    </row>
    <row r="1116" spans="1:2" x14ac:dyDescent="0.35">
      <c r="A1116">
        <v>63</v>
      </c>
      <c r="B1116" t="s">
        <v>8</v>
      </c>
    </row>
    <row r="1117" spans="1:2" x14ac:dyDescent="0.35">
      <c r="A1117">
        <v>63</v>
      </c>
      <c r="B1117" s="2">
        <v>0.59299999999999997</v>
      </c>
    </row>
    <row r="1118" spans="1:2" x14ac:dyDescent="0.35">
      <c r="A1118">
        <v>63</v>
      </c>
      <c r="B1118" t="s">
        <v>31</v>
      </c>
    </row>
    <row r="1119" spans="1:2" x14ac:dyDescent="0.35">
      <c r="A1119">
        <v>63</v>
      </c>
      <c r="B1119">
        <v>-0.29099999999999998</v>
      </c>
    </row>
    <row r="1120" spans="1:2" x14ac:dyDescent="0.35">
      <c r="A1120">
        <v>63</v>
      </c>
      <c r="B1120" t="s">
        <v>32</v>
      </c>
    </row>
    <row r="1121" spans="1:2" x14ac:dyDescent="0.35">
      <c r="A1121">
        <v>63</v>
      </c>
      <c r="B1121" s="2">
        <v>-0.32754</v>
      </c>
    </row>
    <row r="1122" spans="1:2" x14ac:dyDescent="0.35">
      <c r="A1122">
        <v>63</v>
      </c>
      <c r="B1122" t="s">
        <v>33</v>
      </c>
    </row>
    <row r="1123" spans="1:2" x14ac:dyDescent="0.35">
      <c r="A1123">
        <v>63</v>
      </c>
      <c r="B1123" s="3">
        <v>0.53</v>
      </c>
    </row>
    <row r="1124" spans="1:2" x14ac:dyDescent="0.35">
      <c r="A1124">
        <v>63</v>
      </c>
      <c r="B1124" t="s">
        <v>34</v>
      </c>
    </row>
    <row r="1125" spans="1:2" x14ac:dyDescent="0.35">
      <c r="A1125">
        <v>63</v>
      </c>
      <c r="B1125" s="3">
        <v>0.47</v>
      </c>
    </row>
    <row r="1126" spans="1:2" x14ac:dyDescent="0.35">
      <c r="A1126">
        <v>63</v>
      </c>
      <c r="B1126" t="s">
        <v>26</v>
      </c>
    </row>
    <row r="1127" spans="1:2" x14ac:dyDescent="0.35">
      <c r="A1127">
        <v>63</v>
      </c>
      <c r="B1127">
        <v>0.52</v>
      </c>
    </row>
    <row r="1128" spans="1:2" x14ac:dyDescent="0.35">
      <c r="A1128">
        <v>63</v>
      </c>
      <c r="B1128" t="s">
        <v>23</v>
      </c>
    </row>
    <row r="1129" spans="1:2" x14ac:dyDescent="0.35">
      <c r="A1129">
        <v>63</v>
      </c>
      <c r="B1129">
        <v>-0.36</v>
      </c>
    </row>
    <row r="1130" spans="1:2" x14ac:dyDescent="0.35">
      <c r="A1130">
        <v>63</v>
      </c>
      <c r="B1130" t="s">
        <v>24</v>
      </c>
    </row>
    <row r="1131" spans="1:2" x14ac:dyDescent="0.35">
      <c r="A1131">
        <v>63</v>
      </c>
      <c r="B1131">
        <v>2.1549999999999998</v>
      </c>
    </row>
    <row r="1132" spans="1:2" x14ac:dyDescent="0.35">
      <c r="A1132">
        <v>63</v>
      </c>
      <c r="B1132" t="s">
        <v>35</v>
      </c>
    </row>
    <row r="1133" spans="1:2" x14ac:dyDescent="0.35">
      <c r="A1133">
        <v>63</v>
      </c>
      <c r="B1133">
        <v>0.60599999999999998</v>
      </c>
    </row>
    <row r="1134" spans="1:2" x14ac:dyDescent="0.35">
      <c r="A1134">
        <v>63</v>
      </c>
      <c r="B1134" t="s">
        <v>36</v>
      </c>
    </row>
    <row r="1135" spans="1:2" x14ac:dyDescent="0.35">
      <c r="A1135">
        <v>63</v>
      </c>
      <c r="B1135">
        <v>0.36699999999999999</v>
      </c>
    </row>
    <row r="1136" spans="1:2" x14ac:dyDescent="0.35">
      <c r="A1136">
        <v>63</v>
      </c>
      <c r="B1136" t="s">
        <v>37</v>
      </c>
    </row>
    <row r="1137" spans="1:2" x14ac:dyDescent="0.35">
      <c r="A1137">
        <v>63</v>
      </c>
      <c r="B1137">
        <v>-0.48199999999999998</v>
      </c>
    </row>
    <row r="1138" spans="1:2" x14ac:dyDescent="0.35">
      <c r="A1138">
        <v>63</v>
      </c>
      <c r="B1138" t="s">
        <v>38</v>
      </c>
    </row>
    <row r="1139" spans="1:2" x14ac:dyDescent="0.35">
      <c r="A1139">
        <v>63</v>
      </c>
      <c r="B1139">
        <v>0.59299999999999997</v>
      </c>
    </row>
    <row r="1140" spans="1:2" x14ac:dyDescent="0.35">
      <c r="A1140">
        <v>63</v>
      </c>
      <c r="B1140" t="s">
        <v>39</v>
      </c>
    </row>
    <row r="1141" spans="1:2" x14ac:dyDescent="0.35">
      <c r="A1141">
        <v>63</v>
      </c>
      <c r="B1141">
        <v>-0.10299999999999999</v>
      </c>
    </row>
    <row r="1142" spans="1:2" x14ac:dyDescent="0.35">
      <c r="A1142">
        <v>63</v>
      </c>
      <c r="B1142" t="s">
        <v>40</v>
      </c>
    </row>
    <row r="1143" spans="1:2" x14ac:dyDescent="0.35">
      <c r="A1143">
        <v>63</v>
      </c>
      <c r="B1143" s="4">
        <v>0</v>
      </c>
    </row>
    <row r="1144" spans="1:2" x14ac:dyDescent="0.35">
      <c r="A1144">
        <v>63</v>
      </c>
      <c r="B1144" t="s">
        <v>41</v>
      </c>
    </row>
    <row r="1145" spans="1:2" x14ac:dyDescent="0.35">
      <c r="A1145">
        <v>63</v>
      </c>
      <c r="B1145" s="4">
        <v>19000000</v>
      </c>
    </row>
    <row r="1146" spans="1:2" x14ac:dyDescent="0.35">
      <c r="A1146">
        <v>63</v>
      </c>
      <c r="B1146" t="s">
        <v>42</v>
      </c>
    </row>
    <row r="1147" spans="1:2" x14ac:dyDescent="0.35">
      <c r="A1147">
        <v>63</v>
      </c>
      <c r="B1147" t="s">
        <v>44</v>
      </c>
    </row>
    <row r="1148" spans="1:2" x14ac:dyDescent="0.35">
      <c r="A1148">
        <v>82</v>
      </c>
      <c r="B1148" t="s">
        <v>27</v>
      </c>
    </row>
    <row r="1149" spans="1:2" x14ac:dyDescent="0.35">
      <c r="A1149">
        <v>82</v>
      </c>
      <c r="B1149" s="2">
        <v>9.3880000000000005E-2</v>
      </c>
    </row>
    <row r="1150" spans="1:2" x14ac:dyDescent="0.35">
      <c r="A1150">
        <v>82</v>
      </c>
      <c r="B1150" t="s">
        <v>1</v>
      </c>
    </row>
    <row r="1151" spans="1:2" x14ac:dyDescent="0.35">
      <c r="A1151">
        <v>82</v>
      </c>
      <c r="B1151">
        <v>-0.36699999999999999</v>
      </c>
    </row>
    <row r="1152" spans="1:2" x14ac:dyDescent="0.35">
      <c r="A1152">
        <v>82</v>
      </c>
      <c r="B1152" t="s">
        <v>28</v>
      </c>
    </row>
    <row r="1153" spans="1:2" x14ac:dyDescent="0.35">
      <c r="A1153">
        <v>82</v>
      </c>
      <c r="B1153">
        <v>459</v>
      </c>
    </row>
    <row r="1154" spans="1:2" x14ac:dyDescent="0.35">
      <c r="A1154">
        <v>82</v>
      </c>
      <c r="B1154" t="s">
        <v>25</v>
      </c>
    </row>
    <row r="1155" spans="1:2" x14ac:dyDescent="0.35">
      <c r="A1155">
        <v>82</v>
      </c>
      <c r="B1155" s="2">
        <v>4.1099999999999998E-2</v>
      </c>
    </row>
    <row r="1156" spans="1:2" x14ac:dyDescent="0.35">
      <c r="A1156">
        <v>82</v>
      </c>
      <c r="B1156" t="s">
        <v>29</v>
      </c>
    </row>
    <row r="1157" spans="1:2" x14ac:dyDescent="0.35">
      <c r="A1157">
        <v>82</v>
      </c>
      <c r="B1157" s="2">
        <v>-7.9299999999999995E-2</v>
      </c>
    </row>
    <row r="1158" spans="1:2" x14ac:dyDescent="0.35">
      <c r="A1158">
        <v>82</v>
      </c>
      <c r="B1158" t="s">
        <v>30</v>
      </c>
    </row>
    <row r="1159" spans="1:2" x14ac:dyDescent="0.35">
      <c r="A1159">
        <v>82</v>
      </c>
      <c r="B1159" s="2">
        <v>-0.46013999999999999</v>
      </c>
    </row>
    <row r="1160" spans="1:2" x14ac:dyDescent="0.35">
      <c r="A1160">
        <v>82</v>
      </c>
      <c r="B1160" t="s">
        <v>8</v>
      </c>
    </row>
    <row r="1161" spans="1:2" x14ac:dyDescent="0.35">
      <c r="A1161">
        <v>82</v>
      </c>
      <c r="B1161" s="2">
        <v>0.59299999999999997</v>
      </c>
    </row>
    <row r="1162" spans="1:2" x14ac:dyDescent="0.35">
      <c r="A1162">
        <v>82</v>
      </c>
      <c r="B1162" t="s">
        <v>31</v>
      </c>
    </row>
    <row r="1163" spans="1:2" x14ac:dyDescent="0.35">
      <c r="A1163">
        <v>82</v>
      </c>
      <c r="B1163">
        <v>-0.29099999999999998</v>
      </c>
    </row>
    <row r="1164" spans="1:2" x14ac:dyDescent="0.35">
      <c r="A1164">
        <v>82</v>
      </c>
      <c r="B1164" t="s">
        <v>32</v>
      </c>
    </row>
    <row r="1165" spans="1:2" x14ac:dyDescent="0.35">
      <c r="A1165">
        <v>82</v>
      </c>
      <c r="B1165" s="2">
        <v>-0.32754</v>
      </c>
    </row>
    <row r="1166" spans="1:2" x14ac:dyDescent="0.35">
      <c r="A1166">
        <v>82</v>
      </c>
      <c r="B1166" t="s">
        <v>33</v>
      </c>
    </row>
    <row r="1167" spans="1:2" x14ac:dyDescent="0.35">
      <c r="A1167">
        <v>82</v>
      </c>
      <c r="B1167" s="3">
        <v>0.53</v>
      </c>
    </row>
    <row r="1168" spans="1:2" x14ac:dyDescent="0.35">
      <c r="A1168">
        <v>82</v>
      </c>
      <c r="B1168" t="s">
        <v>34</v>
      </c>
    </row>
    <row r="1169" spans="1:2" x14ac:dyDescent="0.35">
      <c r="A1169">
        <v>82</v>
      </c>
      <c r="B1169" s="3">
        <v>0.47</v>
      </c>
    </row>
    <row r="1170" spans="1:2" x14ac:dyDescent="0.35">
      <c r="A1170">
        <v>82</v>
      </c>
      <c r="B1170" t="s">
        <v>26</v>
      </c>
    </row>
    <row r="1171" spans="1:2" x14ac:dyDescent="0.35">
      <c r="A1171">
        <v>82</v>
      </c>
      <c r="B1171">
        <v>0.52</v>
      </c>
    </row>
    <row r="1172" spans="1:2" x14ac:dyDescent="0.35">
      <c r="A1172">
        <v>82</v>
      </c>
      <c r="B1172" t="s">
        <v>23</v>
      </c>
    </row>
    <row r="1173" spans="1:2" x14ac:dyDescent="0.35">
      <c r="A1173">
        <v>82</v>
      </c>
      <c r="B1173">
        <v>-0.36</v>
      </c>
    </row>
    <row r="1174" spans="1:2" x14ac:dyDescent="0.35">
      <c r="A1174">
        <v>82</v>
      </c>
      <c r="B1174" t="s">
        <v>24</v>
      </c>
    </row>
    <row r="1175" spans="1:2" x14ac:dyDescent="0.35">
      <c r="A1175">
        <v>82</v>
      </c>
      <c r="B1175">
        <v>2.1549999999999998</v>
      </c>
    </row>
    <row r="1176" spans="1:2" x14ac:dyDescent="0.35">
      <c r="A1176">
        <v>82</v>
      </c>
      <c r="B1176" t="s">
        <v>35</v>
      </c>
    </row>
    <row r="1177" spans="1:2" x14ac:dyDescent="0.35">
      <c r="A1177">
        <v>82</v>
      </c>
      <c r="B1177">
        <v>0.60599999999999998</v>
      </c>
    </row>
    <row r="1178" spans="1:2" x14ac:dyDescent="0.35">
      <c r="A1178">
        <v>82</v>
      </c>
      <c r="B1178" t="s">
        <v>36</v>
      </c>
    </row>
    <row r="1179" spans="1:2" x14ac:dyDescent="0.35">
      <c r="A1179">
        <v>82</v>
      </c>
      <c r="B1179">
        <v>0.36699999999999999</v>
      </c>
    </row>
    <row r="1180" spans="1:2" x14ac:dyDescent="0.35">
      <c r="A1180">
        <v>82</v>
      </c>
      <c r="B1180" t="s">
        <v>37</v>
      </c>
    </row>
    <row r="1181" spans="1:2" x14ac:dyDescent="0.35">
      <c r="A1181">
        <v>82</v>
      </c>
      <c r="B1181">
        <v>-0.48199999999999998</v>
      </c>
    </row>
    <row r="1182" spans="1:2" x14ac:dyDescent="0.35">
      <c r="A1182">
        <v>82</v>
      </c>
      <c r="B1182" t="s">
        <v>38</v>
      </c>
    </row>
    <row r="1183" spans="1:2" x14ac:dyDescent="0.35">
      <c r="A1183">
        <v>82</v>
      </c>
      <c r="B1183">
        <v>0.59299999999999997</v>
      </c>
    </row>
    <row r="1184" spans="1:2" x14ac:dyDescent="0.35">
      <c r="A1184">
        <v>82</v>
      </c>
      <c r="B1184" t="s">
        <v>39</v>
      </c>
    </row>
    <row r="1185" spans="1:2" x14ac:dyDescent="0.35">
      <c r="A1185">
        <v>82</v>
      </c>
      <c r="B1185">
        <v>-0.10299999999999999</v>
      </c>
    </row>
    <row r="1186" spans="1:2" x14ac:dyDescent="0.35">
      <c r="A1186">
        <v>82</v>
      </c>
      <c r="B1186" t="s">
        <v>40</v>
      </c>
    </row>
    <row r="1187" spans="1:2" x14ac:dyDescent="0.35">
      <c r="A1187">
        <v>82</v>
      </c>
      <c r="B1187" s="4">
        <v>0</v>
      </c>
    </row>
    <row r="1188" spans="1:2" x14ac:dyDescent="0.35">
      <c r="A1188">
        <v>82</v>
      </c>
      <c r="B1188" t="s">
        <v>41</v>
      </c>
    </row>
    <row r="1189" spans="1:2" x14ac:dyDescent="0.35">
      <c r="A1189">
        <v>82</v>
      </c>
      <c r="B1189" s="4">
        <v>19000000</v>
      </c>
    </row>
    <row r="1190" spans="1:2" x14ac:dyDescent="0.35">
      <c r="A1190">
        <v>82</v>
      </c>
      <c r="B1190" t="s">
        <v>42</v>
      </c>
    </row>
    <row r="1191" spans="1:2" x14ac:dyDescent="0.35">
      <c r="A1191">
        <v>82</v>
      </c>
      <c r="B1191" t="s">
        <v>44</v>
      </c>
    </row>
    <row r="1192" spans="1:2" x14ac:dyDescent="0.35">
      <c r="A1192">
        <v>83</v>
      </c>
      <c r="B1192" t="s">
        <v>27</v>
      </c>
    </row>
    <row r="1193" spans="1:2" x14ac:dyDescent="0.35">
      <c r="A1193">
        <v>83</v>
      </c>
      <c r="B1193" s="2">
        <v>9.3880000000000005E-2</v>
      </c>
    </row>
    <row r="1194" spans="1:2" x14ac:dyDescent="0.35">
      <c r="A1194">
        <v>83</v>
      </c>
      <c r="B1194" t="s">
        <v>1</v>
      </c>
    </row>
    <row r="1195" spans="1:2" x14ac:dyDescent="0.35">
      <c r="A1195">
        <v>83</v>
      </c>
      <c r="B1195">
        <v>-0.36699999999999999</v>
      </c>
    </row>
    <row r="1196" spans="1:2" x14ac:dyDescent="0.35">
      <c r="A1196">
        <v>83</v>
      </c>
      <c r="B1196" t="s">
        <v>28</v>
      </c>
    </row>
    <row r="1197" spans="1:2" x14ac:dyDescent="0.35">
      <c r="A1197">
        <v>83</v>
      </c>
      <c r="B1197">
        <v>459</v>
      </c>
    </row>
    <row r="1198" spans="1:2" x14ac:dyDescent="0.35">
      <c r="A1198">
        <v>83</v>
      </c>
      <c r="B1198" t="s">
        <v>25</v>
      </c>
    </row>
    <row r="1199" spans="1:2" x14ac:dyDescent="0.35">
      <c r="A1199">
        <v>83</v>
      </c>
      <c r="B1199" s="2">
        <v>4.1099999999999998E-2</v>
      </c>
    </row>
    <row r="1200" spans="1:2" x14ac:dyDescent="0.35">
      <c r="A1200">
        <v>83</v>
      </c>
      <c r="B1200" t="s">
        <v>29</v>
      </c>
    </row>
    <row r="1201" spans="1:2" x14ac:dyDescent="0.35">
      <c r="A1201">
        <v>83</v>
      </c>
      <c r="B1201" s="2">
        <v>-7.9299999999999995E-2</v>
      </c>
    </row>
    <row r="1202" spans="1:2" x14ac:dyDescent="0.35">
      <c r="A1202">
        <v>83</v>
      </c>
      <c r="B1202" t="s">
        <v>30</v>
      </c>
    </row>
    <row r="1203" spans="1:2" x14ac:dyDescent="0.35">
      <c r="A1203">
        <v>83</v>
      </c>
      <c r="B1203" s="2">
        <v>-0.46013999999999999</v>
      </c>
    </row>
    <row r="1204" spans="1:2" x14ac:dyDescent="0.35">
      <c r="A1204">
        <v>83</v>
      </c>
      <c r="B1204" t="s">
        <v>8</v>
      </c>
    </row>
    <row r="1205" spans="1:2" x14ac:dyDescent="0.35">
      <c r="A1205">
        <v>83</v>
      </c>
      <c r="B1205" s="2">
        <v>0.59299999999999997</v>
      </c>
    </row>
    <row r="1206" spans="1:2" x14ac:dyDescent="0.35">
      <c r="A1206">
        <v>83</v>
      </c>
      <c r="B1206" t="s">
        <v>31</v>
      </c>
    </row>
    <row r="1207" spans="1:2" x14ac:dyDescent="0.35">
      <c r="A1207">
        <v>83</v>
      </c>
      <c r="B1207">
        <v>-0.29099999999999998</v>
      </c>
    </row>
    <row r="1208" spans="1:2" x14ac:dyDescent="0.35">
      <c r="A1208">
        <v>83</v>
      </c>
      <c r="B1208" t="s">
        <v>32</v>
      </c>
    </row>
    <row r="1209" spans="1:2" x14ac:dyDescent="0.35">
      <c r="A1209">
        <v>83</v>
      </c>
      <c r="B1209" s="2">
        <v>-0.32754</v>
      </c>
    </row>
    <row r="1210" spans="1:2" x14ac:dyDescent="0.35">
      <c r="A1210">
        <v>83</v>
      </c>
      <c r="B1210" t="s">
        <v>33</v>
      </c>
    </row>
    <row r="1211" spans="1:2" x14ac:dyDescent="0.35">
      <c r="A1211">
        <v>83</v>
      </c>
      <c r="B1211" s="3">
        <v>0.53</v>
      </c>
    </row>
    <row r="1212" spans="1:2" x14ac:dyDescent="0.35">
      <c r="A1212">
        <v>83</v>
      </c>
      <c r="B1212" t="s">
        <v>34</v>
      </c>
    </row>
    <row r="1213" spans="1:2" x14ac:dyDescent="0.35">
      <c r="A1213">
        <v>83</v>
      </c>
      <c r="B1213" s="3">
        <v>0.47</v>
      </c>
    </row>
    <row r="1214" spans="1:2" x14ac:dyDescent="0.35">
      <c r="A1214">
        <v>83</v>
      </c>
      <c r="B1214" t="s">
        <v>26</v>
      </c>
    </row>
    <row r="1215" spans="1:2" x14ac:dyDescent="0.35">
      <c r="A1215">
        <v>83</v>
      </c>
      <c r="B1215">
        <v>0.52</v>
      </c>
    </row>
    <row r="1216" spans="1:2" x14ac:dyDescent="0.35">
      <c r="A1216">
        <v>83</v>
      </c>
      <c r="B1216" t="s">
        <v>23</v>
      </c>
    </row>
    <row r="1217" spans="1:2" x14ac:dyDescent="0.35">
      <c r="A1217">
        <v>83</v>
      </c>
      <c r="B1217">
        <v>-0.36</v>
      </c>
    </row>
    <row r="1218" spans="1:2" x14ac:dyDescent="0.35">
      <c r="A1218">
        <v>83</v>
      </c>
      <c r="B1218" t="s">
        <v>24</v>
      </c>
    </row>
    <row r="1219" spans="1:2" x14ac:dyDescent="0.35">
      <c r="A1219">
        <v>83</v>
      </c>
      <c r="B1219">
        <v>2.1549999999999998</v>
      </c>
    </row>
    <row r="1220" spans="1:2" x14ac:dyDescent="0.35">
      <c r="A1220">
        <v>83</v>
      </c>
      <c r="B1220" t="s">
        <v>35</v>
      </c>
    </row>
    <row r="1221" spans="1:2" x14ac:dyDescent="0.35">
      <c r="A1221">
        <v>83</v>
      </c>
      <c r="B1221">
        <v>0.60599999999999998</v>
      </c>
    </row>
    <row r="1222" spans="1:2" x14ac:dyDescent="0.35">
      <c r="A1222">
        <v>83</v>
      </c>
      <c r="B1222" t="s">
        <v>36</v>
      </c>
    </row>
    <row r="1223" spans="1:2" x14ac:dyDescent="0.35">
      <c r="A1223">
        <v>83</v>
      </c>
      <c r="B1223">
        <v>0.36699999999999999</v>
      </c>
    </row>
    <row r="1224" spans="1:2" x14ac:dyDescent="0.35">
      <c r="A1224">
        <v>83</v>
      </c>
      <c r="B1224" t="s">
        <v>37</v>
      </c>
    </row>
    <row r="1225" spans="1:2" x14ac:dyDescent="0.35">
      <c r="A1225">
        <v>83</v>
      </c>
      <c r="B1225">
        <v>-0.48199999999999998</v>
      </c>
    </row>
    <row r="1226" spans="1:2" x14ac:dyDescent="0.35">
      <c r="A1226">
        <v>83</v>
      </c>
      <c r="B1226" t="s">
        <v>38</v>
      </c>
    </row>
    <row r="1227" spans="1:2" x14ac:dyDescent="0.35">
      <c r="A1227">
        <v>83</v>
      </c>
      <c r="B1227">
        <v>0.59299999999999997</v>
      </c>
    </row>
    <row r="1228" spans="1:2" x14ac:dyDescent="0.35">
      <c r="A1228">
        <v>83</v>
      </c>
      <c r="B1228" t="s">
        <v>39</v>
      </c>
    </row>
    <row r="1229" spans="1:2" x14ac:dyDescent="0.35">
      <c r="A1229">
        <v>83</v>
      </c>
      <c r="B1229">
        <v>-0.10299999999999999</v>
      </c>
    </row>
    <row r="1230" spans="1:2" x14ac:dyDescent="0.35">
      <c r="A1230">
        <v>83</v>
      </c>
      <c r="B1230" t="s">
        <v>40</v>
      </c>
    </row>
    <row r="1231" spans="1:2" x14ac:dyDescent="0.35">
      <c r="A1231">
        <v>83</v>
      </c>
      <c r="B1231" s="4">
        <v>0</v>
      </c>
    </row>
    <row r="1232" spans="1:2" x14ac:dyDescent="0.35">
      <c r="A1232">
        <v>83</v>
      </c>
      <c r="B1232" t="s">
        <v>41</v>
      </c>
    </row>
    <row r="1233" spans="1:2" x14ac:dyDescent="0.35">
      <c r="A1233">
        <v>83</v>
      </c>
      <c r="B1233" s="4">
        <v>19000000</v>
      </c>
    </row>
    <row r="1234" spans="1:2" x14ac:dyDescent="0.35">
      <c r="A1234">
        <v>83</v>
      </c>
      <c r="B1234" t="s">
        <v>42</v>
      </c>
    </row>
    <row r="1235" spans="1:2" x14ac:dyDescent="0.35">
      <c r="A1235">
        <v>83</v>
      </c>
      <c r="B1235" t="s">
        <v>44</v>
      </c>
    </row>
    <row r="1236" spans="1:2" x14ac:dyDescent="0.35">
      <c r="A1236">
        <v>84</v>
      </c>
      <c r="B1236" t="s">
        <v>27</v>
      </c>
    </row>
    <row r="1237" spans="1:2" x14ac:dyDescent="0.35">
      <c r="A1237">
        <v>84</v>
      </c>
      <c r="B1237" s="2">
        <v>9.3880000000000005E-2</v>
      </c>
    </row>
    <row r="1238" spans="1:2" x14ac:dyDescent="0.35">
      <c r="A1238">
        <v>84</v>
      </c>
      <c r="B1238" t="s">
        <v>1</v>
      </c>
    </row>
    <row r="1239" spans="1:2" x14ac:dyDescent="0.35">
      <c r="A1239">
        <v>84</v>
      </c>
      <c r="B1239">
        <v>-0.36699999999999999</v>
      </c>
    </row>
    <row r="1240" spans="1:2" x14ac:dyDescent="0.35">
      <c r="A1240">
        <v>84</v>
      </c>
      <c r="B1240" t="s">
        <v>28</v>
      </c>
    </row>
    <row r="1241" spans="1:2" x14ac:dyDescent="0.35">
      <c r="A1241">
        <v>84</v>
      </c>
      <c r="B1241">
        <v>459</v>
      </c>
    </row>
    <row r="1242" spans="1:2" x14ac:dyDescent="0.35">
      <c r="A1242">
        <v>84</v>
      </c>
      <c r="B1242" t="s">
        <v>25</v>
      </c>
    </row>
    <row r="1243" spans="1:2" x14ac:dyDescent="0.35">
      <c r="A1243">
        <v>84</v>
      </c>
      <c r="B1243" s="2">
        <v>4.1099999999999998E-2</v>
      </c>
    </row>
    <row r="1244" spans="1:2" x14ac:dyDescent="0.35">
      <c r="A1244">
        <v>84</v>
      </c>
      <c r="B1244" t="s">
        <v>29</v>
      </c>
    </row>
    <row r="1245" spans="1:2" x14ac:dyDescent="0.35">
      <c r="A1245">
        <v>84</v>
      </c>
      <c r="B1245" s="2">
        <v>-7.9299999999999995E-2</v>
      </c>
    </row>
    <row r="1246" spans="1:2" x14ac:dyDescent="0.35">
      <c r="A1246">
        <v>84</v>
      </c>
      <c r="B1246" t="s">
        <v>30</v>
      </c>
    </row>
    <row r="1247" spans="1:2" x14ac:dyDescent="0.35">
      <c r="A1247">
        <v>84</v>
      </c>
      <c r="B1247" s="2">
        <v>-0.46013999999999999</v>
      </c>
    </row>
    <row r="1248" spans="1:2" x14ac:dyDescent="0.35">
      <c r="A1248">
        <v>84</v>
      </c>
      <c r="B1248" t="s">
        <v>8</v>
      </c>
    </row>
    <row r="1249" spans="1:2" x14ac:dyDescent="0.35">
      <c r="A1249">
        <v>84</v>
      </c>
      <c r="B1249" s="2">
        <v>0.59299999999999997</v>
      </c>
    </row>
    <row r="1250" spans="1:2" x14ac:dyDescent="0.35">
      <c r="A1250">
        <v>84</v>
      </c>
      <c r="B1250" t="s">
        <v>31</v>
      </c>
    </row>
    <row r="1251" spans="1:2" x14ac:dyDescent="0.35">
      <c r="A1251">
        <v>84</v>
      </c>
      <c r="B1251">
        <v>-0.29099999999999998</v>
      </c>
    </row>
    <row r="1252" spans="1:2" x14ac:dyDescent="0.35">
      <c r="A1252">
        <v>84</v>
      </c>
      <c r="B1252" t="s">
        <v>32</v>
      </c>
    </row>
    <row r="1253" spans="1:2" x14ac:dyDescent="0.35">
      <c r="A1253">
        <v>84</v>
      </c>
      <c r="B1253" s="2">
        <v>-0.32754</v>
      </c>
    </row>
    <row r="1254" spans="1:2" x14ac:dyDescent="0.35">
      <c r="A1254">
        <v>84</v>
      </c>
      <c r="B1254" t="s">
        <v>33</v>
      </c>
    </row>
    <row r="1255" spans="1:2" x14ac:dyDescent="0.35">
      <c r="A1255">
        <v>84</v>
      </c>
      <c r="B1255" s="3">
        <v>0.53</v>
      </c>
    </row>
    <row r="1256" spans="1:2" x14ac:dyDescent="0.35">
      <c r="A1256">
        <v>84</v>
      </c>
      <c r="B1256" t="s">
        <v>34</v>
      </c>
    </row>
    <row r="1257" spans="1:2" x14ac:dyDescent="0.35">
      <c r="A1257">
        <v>84</v>
      </c>
      <c r="B1257" s="3">
        <v>0.47</v>
      </c>
    </row>
    <row r="1258" spans="1:2" x14ac:dyDescent="0.35">
      <c r="A1258">
        <v>84</v>
      </c>
      <c r="B1258" t="s">
        <v>26</v>
      </c>
    </row>
    <row r="1259" spans="1:2" x14ac:dyDescent="0.35">
      <c r="A1259">
        <v>84</v>
      </c>
      <c r="B1259">
        <v>0.52</v>
      </c>
    </row>
    <row r="1260" spans="1:2" x14ac:dyDescent="0.35">
      <c r="A1260">
        <v>84</v>
      </c>
      <c r="B1260" t="s">
        <v>23</v>
      </c>
    </row>
    <row r="1261" spans="1:2" x14ac:dyDescent="0.35">
      <c r="A1261">
        <v>84</v>
      </c>
      <c r="B1261">
        <v>-0.36</v>
      </c>
    </row>
    <row r="1262" spans="1:2" x14ac:dyDescent="0.35">
      <c r="A1262">
        <v>84</v>
      </c>
      <c r="B1262" t="s">
        <v>24</v>
      </c>
    </row>
    <row r="1263" spans="1:2" x14ac:dyDescent="0.35">
      <c r="A1263">
        <v>84</v>
      </c>
      <c r="B1263">
        <v>2.1549999999999998</v>
      </c>
    </row>
    <row r="1264" spans="1:2" x14ac:dyDescent="0.35">
      <c r="A1264">
        <v>84</v>
      </c>
      <c r="B1264" t="s">
        <v>35</v>
      </c>
    </row>
    <row r="1265" spans="1:2" x14ac:dyDescent="0.35">
      <c r="A1265">
        <v>84</v>
      </c>
      <c r="B1265">
        <v>0.60599999999999998</v>
      </c>
    </row>
    <row r="1266" spans="1:2" x14ac:dyDescent="0.35">
      <c r="A1266">
        <v>84</v>
      </c>
      <c r="B1266" t="s">
        <v>36</v>
      </c>
    </row>
    <row r="1267" spans="1:2" x14ac:dyDescent="0.35">
      <c r="A1267">
        <v>84</v>
      </c>
      <c r="B1267">
        <v>0.36699999999999999</v>
      </c>
    </row>
    <row r="1268" spans="1:2" x14ac:dyDescent="0.35">
      <c r="A1268">
        <v>84</v>
      </c>
      <c r="B1268" t="s">
        <v>37</v>
      </c>
    </row>
    <row r="1269" spans="1:2" x14ac:dyDescent="0.35">
      <c r="A1269">
        <v>84</v>
      </c>
      <c r="B1269">
        <v>-0.48199999999999998</v>
      </c>
    </row>
    <row r="1270" spans="1:2" x14ac:dyDescent="0.35">
      <c r="A1270">
        <v>84</v>
      </c>
      <c r="B1270" t="s">
        <v>38</v>
      </c>
    </row>
    <row r="1271" spans="1:2" x14ac:dyDescent="0.35">
      <c r="A1271">
        <v>84</v>
      </c>
      <c r="B1271">
        <v>0.59299999999999997</v>
      </c>
    </row>
    <row r="1272" spans="1:2" x14ac:dyDescent="0.35">
      <c r="A1272">
        <v>84</v>
      </c>
      <c r="B1272" t="s">
        <v>39</v>
      </c>
    </row>
    <row r="1273" spans="1:2" x14ac:dyDescent="0.35">
      <c r="A1273">
        <v>84</v>
      </c>
      <c r="B1273">
        <v>-0.10299999999999999</v>
      </c>
    </row>
    <row r="1274" spans="1:2" x14ac:dyDescent="0.35">
      <c r="A1274">
        <v>84</v>
      </c>
      <c r="B1274" t="s">
        <v>40</v>
      </c>
    </row>
    <row r="1275" spans="1:2" x14ac:dyDescent="0.35">
      <c r="A1275">
        <v>84</v>
      </c>
      <c r="B1275" s="4">
        <v>0</v>
      </c>
    </row>
    <row r="1276" spans="1:2" x14ac:dyDescent="0.35">
      <c r="A1276">
        <v>84</v>
      </c>
      <c r="B1276" t="s">
        <v>41</v>
      </c>
    </row>
    <row r="1277" spans="1:2" x14ac:dyDescent="0.35">
      <c r="A1277">
        <v>84</v>
      </c>
      <c r="B1277" s="4">
        <v>19000000</v>
      </c>
    </row>
    <row r="1278" spans="1:2" x14ac:dyDescent="0.35">
      <c r="A1278">
        <v>84</v>
      </c>
      <c r="B1278" t="s">
        <v>42</v>
      </c>
    </row>
    <row r="1279" spans="1:2" x14ac:dyDescent="0.35">
      <c r="A1279">
        <v>84</v>
      </c>
      <c r="B1279" t="s">
        <v>44</v>
      </c>
    </row>
    <row r="1280" spans="1:2" x14ac:dyDescent="0.35">
      <c r="A1280">
        <v>85</v>
      </c>
      <c r="B1280" t="s">
        <v>27</v>
      </c>
    </row>
    <row r="1281" spans="1:2" x14ac:dyDescent="0.35">
      <c r="A1281">
        <v>85</v>
      </c>
      <c r="B1281" s="2">
        <v>9.3880000000000005E-2</v>
      </c>
    </row>
    <row r="1282" spans="1:2" x14ac:dyDescent="0.35">
      <c r="A1282">
        <v>85</v>
      </c>
      <c r="B1282" t="s">
        <v>1</v>
      </c>
    </row>
    <row r="1283" spans="1:2" x14ac:dyDescent="0.35">
      <c r="A1283">
        <v>85</v>
      </c>
      <c r="B1283">
        <v>-0.36699999999999999</v>
      </c>
    </row>
    <row r="1284" spans="1:2" x14ac:dyDescent="0.35">
      <c r="A1284">
        <v>85</v>
      </c>
      <c r="B1284" t="s">
        <v>28</v>
      </c>
    </row>
    <row r="1285" spans="1:2" x14ac:dyDescent="0.35">
      <c r="A1285">
        <v>85</v>
      </c>
      <c r="B1285">
        <v>459</v>
      </c>
    </row>
    <row r="1286" spans="1:2" x14ac:dyDescent="0.35">
      <c r="A1286">
        <v>85</v>
      </c>
      <c r="B1286" t="s">
        <v>25</v>
      </c>
    </row>
    <row r="1287" spans="1:2" x14ac:dyDescent="0.35">
      <c r="A1287">
        <v>85</v>
      </c>
      <c r="B1287" s="2">
        <v>4.1099999999999998E-2</v>
      </c>
    </row>
    <row r="1288" spans="1:2" x14ac:dyDescent="0.35">
      <c r="A1288">
        <v>85</v>
      </c>
      <c r="B1288" t="s">
        <v>29</v>
      </c>
    </row>
    <row r="1289" spans="1:2" x14ac:dyDescent="0.35">
      <c r="A1289">
        <v>85</v>
      </c>
      <c r="B1289" s="2">
        <v>-7.9299999999999995E-2</v>
      </c>
    </row>
    <row r="1290" spans="1:2" x14ac:dyDescent="0.35">
      <c r="A1290">
        <v>85</v>
      </c>
      <c r="B1290" t="s">
        <v>30</v>
      </c>
    </row>
    <row r="1291" spans="1:2" x14ac:dyDescent="0.35">
      <c r="A1291">
        <v>85</v>
      </c>
      <c r="B1291" s="2">
        <v>-0.46013999999999999</v>
      </c>
    </row>
    <row r="1292" spans="1:2" x14ac:dyDescent="0.35">
      <c r="A1292">
        <v>85</v>
      </c>
      <c r="B1292" t="s">
        <v>8</v>
      </c>
    </row>
    <row r="1293" spans="1:2" x14ac:dyDescent="0.35">
      <c r="A1293">
        <v>85</v>
      </c>
      <c r="B1293" s="2">
        <v>0.59299999999999997</v>
      </c>
    </row>
    <row r="1294" spans="1:2" x14ac:dyDescent="0.35">
      <c r="A1294">
        <v>85</v>
      </c>
      <c r="B1294" t="s">
        <v>31</v>
      </c>
    </row>
    <row r="1295" spans="1:2" x14ac:dyDescent="0.35">
      <c r="A1295">
        <v>85</v>
      </c>
      <c r="B1295">
        <v>-0.29099999999999998</v>
      </c>
    </row>
    <row r="1296" spans="1:2" x14ac:dyDescent="0.35">
      <c r="A1296">
        <v>85</v>
      </c>
      <c r="B1296" t="s">
        <v>32</v>
      </c>
    </row>
    <row r="1297" spans="1:2" x14ac:dyDescent="0.35">
      <c r="A1297">
        <v>85</v>
      </c>
      <c r="B1297" s="2">
        <v>-0.32754</v>
      </c>
    </row>
    <row r="1298" spans="1:2" x14ac:dyDescent="0.35">
      <c r="A1298">
        <v>85</v>
      </c>
      <c r="B1298" t="s">
        <v>33</v>
      </c>
    </row>
    <row r="1299" spans="1:2" x14ac:dyDescent="0.35">
      <c r="A1299">
        <v>85</v>
      </c>
      <c r="B1299" s="3">
        <v>0.53</v>
      </c>
    </row>
    <row r="1300" spans="1:2" x14ac:dyDescent="0.35">
      <c r="A1300">
        <v>85</v>
      </c>
      <c r="B1300" t="s">
        <v>34</v>
      </c>
    </row>
    <row r="1301" spans="1:2" x14ac:dyDescent="0.35">
      <c r="A1301">
        <v>85</v>
      </c>
      <c r="B1301" s="3">
        <v>0.47</v>
      </c>
    </row>
    <row r="1302" spans="1:2" x14ac:dyDescent="0.35">
      <c r="A1302">
        <v>85</v>
      </c>
      <c r="B1302" t="s">
        <v>26</v>
      </c>
    </row>
    <row r="1303" spans="1:2" x14ac:dyDescent="0.35">
      <c r="A1303">
        <v>85</v>
      </c>
      <c r="B1303">
        <v>0.52</v>
      </c>
    </row>
    <row r="1304" spans="1:2" x14ac:dyDescent="0.35">
      <c r="A1304">
        <v>85</v>
      </c>
      <c r="B1304" t="s">
        <v>23</v>
      </c>
    </row>
    <row r="1305" spans="1:2" x14ac:dyDescent="0.35">
      <c r="A1305">
        <v>85</v>
      </c>
      <c r="B1305">
        <v>-0.36</v>
      </c>
    </row>
    <row r="1306" spans="1:2" x14ac:dyDescent="0.35">
      <c r="A1306">
        <v>85</v>
      </c>
      <c r="B1306" t="s">
        <v>24</v>
      </c>
    </row>
    <row r="1307" spans="1:2" x14ac:dyDescent="0.35">
      <c r="A1307">
        <v>85</v>
      </c>
      <c r="B1307">
        <v>2.1549999999999998</v>
      </c>
    </row>
    <row r="1308" spans="1:2" x14ac:dyDescent="0.35">
      <c r="A1308">
        <v>85</v>
      </c>
      <c r="B1308" t="s">
        <v>35</v>
      </c>
    </row>
    <row r="1309" spans="1:2" x14ac:dyDescent="0.35">
      <c r="A1309">
        <v>85</v>
      </c>
      <c r="B1309">
        <v>0.60599999999999998</v>
      </c>
    </row>
    <row r="1310" spans="1:2" x14ac:dyDescent="0.35">
      <c r="A1310">
        <v>85</v>
      </c>
      <c r="B1310" t="s">
        <v>36</v>
      </c>
    </row>
    <row r="1311" spans="1:2" x14ac:dyDescent="0.35">
      <c r="A1311">
        <v>85</v>
      </c>
      <c r="B1311">
        <v>0.36699999999999999</v>
      </c>
    </row>
    <row r="1312" spans="1:2" x14ac:dyDescent="0.35">
      <c r="A1312">
        <v>85</v>
      </c>
      <c r="B1312" t="s">
        <v>37</v>
      </c>
    </row>
    <row r="1313" spans="1:2" x14ac:dyDescent="0.35">
      <c r="A1313">
        <v>85</v>
      </c>
      <c r="B1313">
        <v>-0.48199999999999998</v>
      </c>
    </row>
    <row r="1314" spans="1:2" x14ac:dyDescent="0.35">
      <c r="A1314">
        <v>85</v>
      </c>
      <c r="B1314" t="s">
        <v>38</v>
      </c>
    </row>
    <row r="1315" spans="1:2" x14ac:dyDescent="0.35">
      <c r="A1315">
        <v>85</v>
      </c>
      <c r="B1315">
        <v>0.59299999999999997</v>
      </c>
    </row>
    <row r="1316" spans="1:2" x14ac:dyDescent="0.35">
      <c r="A1316">
        <v>85</v>
      </c>
      <c r="B1316" t="s">
        <v>39</v>
      </c>
    </row>
    <row r="1317" spans="1:2" x14ac:dyDescent="0.35">
      <c r="A1317">
        <v>85</v>
      </c>
      <c r="B1317">
        <v>-0.10299999999999999</v>
      </c>
    </row>
    <row r="1318" spans="1:2" x14ac:dyDescent="0.35">
      <c r="A1318">
        <v>85</v>
      </c>
      <c r="B1318" t="s">
        <v>40</v>
      </c>
    </row>
    <row r="1319" spans="1:2" x14ac:dyDescent="0.35">
      <c r="A1319">
        <v>85</v>
      </c>
      <c r="B1319" s="4">
        <v>0</v>
      </c>
    </row>
    <row r="1320" spans="1:2" x14ac:dyDescent="0.35">
      <c r="A1320">
        <v>85</v>
      </c>
      <c r="B1320" t="s">
        <v>41</v>
      </c>
    </row>
    <row r="1321" spans="1:2" x14ac:dyDescent="0.35">
      <c r="A1321">
        <v>85</v>
      </c>
      <c r="B1321" s="4">
        <v>19000000</v>
      </c>
    </row>
    <row r="1322" spans="1:2" x14ac:dyDescent="0.35">
      <c r="A1322">
        <v>85</v>
      </c>
      <c r="B1322" t="s">
        <v>42</v>
      </c>
    </row>
    <row r="1323" spans="1:2" x14ac:dyDescent="0.35">
      <c r="A1323">
        <v>85</v>
      </c>
      <c r="B1323" t="s">
        <v>44</v>
      </c>
    </row>
    <row r="1324" spans="1:2" x14ac:dyDescent="0.35">
      <c r="A1324">
        <v>86</v>
      </c>
      <c r="B1324" t="s">
        <v>27</v>
      </c>
    </row>
    <row r="1325" spans="1:2" x14ac:dyDescent="0.35">
      <c r="A1325">
        <v>86</v>
      </c>
      <c r="B1325" s="2">
        <v>9.3880000000000005E-2</v>
      </c>
    </row>
    <row r="1326" spans="1:2" x14ac:dyDescent="0.35">
      <c r="A1326">
        <v>86</v>
      </c>
      <c r="B1326" t="s">
        <v>1</v>
      </c>
    </row>
    <row r="1327" spans="1:2" x14ac:dyDescent="0.35">
      <c r="A1327">
        <v>86</v>
      </c>
      <c r="B1327">
        <v>-0.36699999999999999</v>
      </c>
    </row>
    <row r="1328" spans="1:2" x14ac:dyDescent="0.35">
      <c r="A1328">
        <v>86</v>
      </c>
      <c r="B1328" t="s">
        <v>28</v>
      </c>
    </row>
    <row r="1329" spans="1:2" x14ac:dyDescent="0.35">
      <c r="A1329">
        <v>86</v>
      </c>
      <c r="B1329">
        <v>459</v>
      </c>
    </row>
    <row r="1330" spans="1:2" x14ac:dyDescent="0.35">
      <c r="A1330">
        <v>86</v>
      </c>
      <c r="B1330" t="s">
        <v>25</v>
      </c>
    </row>
    <row r="1331" spans="1:2" x14ac:dyDescent="0.35">
      <c r="A1331">
        <v>86</v>
      </c>
      <c r="B1331" s="2">
        <v>4.1099999999999998E-2</v>
      </c>
    </row>
    <row r="1332" spans="1:2" x14ac:dyDescent="0.35">
      <c r="A1332">
        <v>86</v>
      </c>
      <c r="B1332" t="s">
        <v>29</v>
      </c>
    </row>
    <row r="1333" spans="1:2" x14ac:dyDescent="0.35">
      <c r="A1333">
        <v>86</v>
      </c>
      <c r="B1333" s="2">
        <v>-7.9299999999999995E-2</v>
      </c>
    </row>
    <row r="1334" spans="1:2" x14ac:dyDescent="0.35">
      <c r="A1334">
        <v>86</v>
      </c>
      <c r="B1334" t="s">
        <v>30</v>
      </c>
    </row>
    <row r="1335" spans="1:2" x14ac:dyDescent="0.35">
      <c r="A1335">
        <v>86</v>
      </c>
      <c r="B1335" s="2">
        <v>-0.46013999999999999</v>
      </c>
    </row>
    <row r="1336" spans="1:2" x14ac:dyDescent="0.35">
      <c r="A1336">
        <v>86</v>
      </c>
      <c r="B1336" t="s">
        <v>8</v>
      </c>
    </row>
    <row r="1337" spans="1:2" x14ac:dyDescent="0.35">
      <c r="A1337">
        <v>86</v>
      </c>
      <c r="B1337" s="2">
        <v>0.59299999999999997</v>
      </c>
    </row>
    <row r="1338" spans="1:2" x14ac:dyDescent="0.35">
      <c r="A1338">
        <v>86</v>
      </c>
      <c r="B1338" t="s">
        <v>31</v>
      </c>
    </row>
    <row r="1339" spans="1:2" x14ac:dyDescent="0.35">
      <c r="A1339">
        <v>86</v>
      </c>
      <c r="B1339">
        <v>-0.29099999999999998</v>
      </c>
    </row>
    <row r="1340" spans="1:2" x14ac:dyDescent="0.35">
      <c r="A1340">
        <v>86</v>
      </c>
      <c r="B1340" t="s">
        <v>32</v>
      </c>
    </row>
    <row r="1341" spans="1:2" x14ac:dyDescent="0.35">
      <c r="A1341">
        <v>86</v>
      </c>
      <c r="B1341" s="2">
        <v>-0.32754</v>
      </c>
    </row>
    <row r="1342" spans="1:2" x14ac:dyDescent="0.35">
      <c r="A1342">
        <v>86</v>
      </c>
      <c r="B1342" t="s">
        <v>33</v>
      </c>
    </row>
    <row r="1343" spans="1:2" x14ac:dyDescent="0.35">
      <c r="A1343">
        <v>86</v>
      </c>
      <c r="B1343" s="3">
        <v>0.53</v>
      </c>
    </row>
    <row r="1344" spans="1:2" x14ac:dyDescent="0.35">
      <c r="A1344">
        <v>86</v>
      </c>
      <c r="B1344" t="s">
        <v>34</v>
      </c>
    </row>
    <row r="1345" spans="1:2" x14ac:dyDescent="0.35">
      <c r="A1345">
        <v>86</v>
      </c>
      <c r="B1345" s="3">
        <v>0.47</v>
      </c>
    </row>
    <row r="1346" spans="1:2" x14ac:dyDescent="0.35">
      <c r="A1346">
        <v>86</v>
      </c>
      <c r="B1346" t="s">
        <v>26</v>
      </c>
    </row>
    <row r="1347" spans="1:2" x14ac:dyDescent="0.35">
      <c r="A1347">
        <v>86</v>
      </c>
      <c r="B1347">
        <v>0.52</v>
      </c>
    </row>
    <row r="1348" spans="1:2" x14ac:dyDescent="0.35">
      <c r="A1348">
        <v>86</v>
      </c>
      <c r="B1348" t="s">
        <v>23</v>
      </c>
    </row>
    <row r="1349" spans="1:2" x14ac:dyDescent="0.35">
      <c r="A1349">
        <v>86</v>
      </c>
      <c r="B1349">
        <v>-0.36</v>
      </c>
    </row>
    <row r="1350" spans="1:2" x14ac:dyDescent="0.35">
      <c r="A1350">
        <v>86</v>
      </c>
      <c r="B1350" t="s">
        <v>24</v>
      </c>
    </row>
    <row r="1351" spans="1:2" x14ac:dyDescent="0.35">
      <c r="A1351">
        <v>86</v>
      </c>
      <c r="B1351">
        <v>2.1549999999999998</v>
      </c>
    </row>
    <row r="1352" spans="1:2" x14ac:dyDescent="0.35">
      <c r="A1352">
        <v>86</v>
      </c>
      <c r="B1352" t="s">
        <v>35</v>
      </c>
    </row>
    <row r="1353" spans="1:2" x14ac:dyDescent="0.35">
      <c r="A1353">
        <v>86</v>
      </c>
      <c r="B1353">
        <v>0.60599999999999998</v>
      </c>
    </row>
    <row r="1354" spans="1:2" x14ac:dyDescent="0.35">
      <c r="A1354">
        <v>86</v>
      </c>
      <c r="B1354" t="s">
        <v>36</v>
      </c>
    </row>
    <row r="1355" spans="1:2" x14ac:dyDescent="0.35">
      <c r="A1355">
        <v>86</v>
      </c>
      <c r="B1355">
        <v>0.36699999999999999</v>
      </c>
    </row>
    <row r="1356" spans="1:2" x14ac:dyDescent="0.35">
      <c r="A1356">
        <v>86</v>
      </c>
      <c r="B1356" t="s">
        <v>37</v>
      </c>
    </row>
    <row r="1357" spans="1:2" x14ac:dyDescent="0.35">
      <c r="A1357">
        <v>86</v>
      </c>
      <c r="B1357">
        <v>-0.48199999999999998</v>
      </c>
    </row>
    <row r="1358" spans="1:2" x14ac:dyDescent="0.35">
      <c r="A1358">
        <v>86</v>
      </c>
      <c r="B1358" t="s">
        <v>38</v>
      </c>
    </row>
    <row r="1359" spans="1:2" x14ac:dyDescent="0.35">
      <c r="A1359">
        <v>86</v>
      </c>
      <c r="B1359">
        <v>0.59299999999999997</v>
      </c>
    </row>
    <row r="1360" spans="1:2" x14ac:dyDescent="0.35">
      <c r="A1360">
        <v>86</v>
      </c>
      <c r="B1360" t="s">
        <v>39</v>
      </c>
    </row>
    <row r="1361" spans="1:2" x14ac:dyDescent="0.35">
      <c r="A1361">
        <v>86</v>
      </c>
      <c r="B1361">
        <v>-0.10299999999999999</v>
      </c>
    </row>
    <row r="1362" spans="1:2" x14ac:dyDescent="0.35">
      <c r="A1362">
        <v>86</v>
      </c>
      <c r="B1362" t="s">
        <v>40</v>
      </c>
    </row>
    <row r="1363" spans="1:2" x14ac:dyDescent="0.35">
      <c r="A1363">
        <v>86</v>
      </c>
      <c r="B1363" s="4">
        <v>0</v>
      </c>
    </row>
    <row r="1364" spans="1:2" x14ac:dyDescent="0.35">
      <c r="A1364">
        <v>86</v>
      </c>
      <c r="B1364" t="s">
        <v>41</v>
      </c>
    </row>
    <row r="1365" spans="1:2" x14ac:dyDescent="0.35">
      <c r="A1365">
        <v>86</v>
      </c>
      <c r="B1365" s="4">
        <v>19000000</v>
      </c>
    </row>
    <row r="1366" spans="1:2" x14ac:dyDescent="0.35">
      <c r="A1366">
        <v>86</v>
      </c>
      <c r="B1366" t="s">
        <v>42</v>
      </c>
    </row>
    <row r="1367" spans="1:2" x14ac:dyDescent="0.35">
      <c r="A1367">
        <v>86</v>
      </c>
      <c r="B1367" t="s">
        <v>44</v>
      </c>
    </row>
    <row r="1368" spans="1:2" x14ac:dyDescent="0.35">
      <c r="A1368">
        <v>87</v>
      </c>
      <c r="B1368" t="s">
        <v>27</v>
      </c>
    </row>
    <row r="1369" spans="1:2" x14ac:dyDescent="0.35">
      <c r="A1369">
        <v>87</v>
      </c>
      <c r="B1369" s="2">
        <v>9.3880000000000005E-2</v>
      </c>
    </row>
    <row r="1370" spans="1:2" x14ac:dyDescent="0.35">
      <c r="A1370">
        <v>87</v>
      </c>
      <c r="B1370" t="s">
        <v>1</v>
      </c>
    </row>
    <row r="1371" spans="1:2" x14ac:dyDescent="0.35">
      <c r="A1371">
        <v>87</v>
      </c>
      <c r="B1371">
        <v>-0.36699999999999999</v>
      </c>
    </row>
    <row r="1372" spans="1:2" x14ac:dyDescent="0.35">
      <c r="A1372">
        <v>87</v>
      </c>
      <c r="B1372" t="s">
        <v>28</v>
      </c>
    </row>
    <row r="1373" spans="1:2" x14ac:dyDescent="0.35">
      <c r="A1373">
        <v>87</v>
      </c>
      <c r="B1373">
        <v>459</v>
      </c>
    </row>
    <row r="1374" spans="1:2" x14ac:dyDescent="0.35">
      <c r="A1374">
        <v>87</v>
      </c>
      <c r="B1374" t="s">
        <v>25</v>
      </c>
    </row>
    <row r="1375" spans="1:2" x14ac:dyDescent="0.35">
      <c r="A1375">
        <v>87</v>
      </c>
      <c r="B1375" s="2">
        <v>4.1099999999999998E-2</v>
      </c>
    </row>
    <row r="1376" spans="1:2" x14ac:dyDescent="0.35">
      <c r="A1376">
        <v>87</v>
      </c>
      <c r="B1376" t="s">
        <v>29</v>
      </c>
    </row>
    <row r="1377" spans="1:2" x14ac:dyDescent="0.35">
      <c r="A1377">
        <v>87</v>
      </c>
      <c r="B1377" s="2">
        <v>-7.9299999999999995E-2</v>
      </c>
    </row>
    <row r="1378" spans="1:2" x14ac:dyDescent="0.35">
      <c r="A1378">
        <v>87</v>
      </c>
      <c r="B1378" t="s">
        <v>30</v>
      </c>
    </row>
    <row r="1379" spans="1:2" x14ac:dyDescent="0.35">
      <c r="A1379">
        <v>87</v>
      </c>
      <c r="B1379" s="2">
        <v>-0.46013999999999999</v>
      </c>
    </row>
    <row r="1380" spans="1:2" x14ac:dyDescent="0.35">
      <c r="A1380">
        <v>87</v>
      </c>
      <c r="B1380" t="s">
        <v>8</v>
      </c>
    </row>
    <row r="1381" spans="1:2" x14ac:dyDescent="0.35">
      <c r="A1381">
        <v>87</v>
      </c>
      <c r="B1381" s="2">
        <v>0.59299999999999997</v>
      </c>
    </row>
    <row r="1382" spans="1:2" x14ac:dyDescent="0.35">
      <c r="A1382">
        <v>87</v>
      </c>
      <c r="B1382" t="s">
        <v>31</v>
      </c>
    </row>
    <row r="1383" spans="1:2" x14ac:dyDescent="0.35">
      <c r="A1383">
        <v>87</v>
      </c>
      <c r="B1383">
        <v>-0.29099999999999998</v>
      </c>
    </row>
    <row r="1384" spans="1:2" x14ac:dyDescent="0.35">
      <c r="A1384">
        <v>87</v>
      </c>
      <c r="B1384" t="s">
        <v>32</v>
      </c>
    </row>
    <row r="1385" spans="1:2" x14ac:dyDescent="0.35">
      <c r="A1385">
        <v>87</v>
      </c>
      <c r="B1385" s="2">
        <v>-0.32754</v>
      </c>
    </row>
    <row r="1386" spans="1:2" x14ac:dyDescent="0.35">
      <c r="A1386">
        <v>87</v>
      </c>
      <c r="B1386" t="s">
        <v>33</v>
      </c>
    </row>
    <row r="1387" spans="1:2" x14ac:dyDescent="0.35">
      <c r="A1387">
        <v>87</v>
      </c>
      <c r="B1387" s="3">
        <v>0.53</v>
      </c>
    </row>
    <row r="1388" spans="1:2" x14ac:dyDescent="0.35">
      <c r="A1388">
        <v>87</v>
      </c>
      <c r="B1388" t="s">
        <v>34</v>
      </c>
    </row>
    <row r="1389" spans="1:2" x14ac:dyDescent="0.35">
      <c r="A1389">
        <v>87</v>
      </c>
      <c r="B1389" s="3">
        <v>0.47</v>
      </c>
    </row>
    <row r="1390" spans="1:2" x14ac:dyDescent="0.35">
      <c r="A1390">
        <v>87</v>
      </c>
      <c r="B1390" t="s">
        <v>26</v>
      </c>
    </row>
    <row r="1391" spans="1:2" x14ac:dyDescent="0.35">
      <c r="A1391">
        <v>87</v>
      </c>
      <c r="B1391">
        <v>0.52</v>
      </c>
    </row>
    <row r="1392" spans="1:2" x14ac:dyDescent="0.35">
      <c r="A1392">
        <v>87</v>
      </c>
      <c r="B1392" t="s">
        <v>23</v>
      </c>
    </row>
    <row r="1393" spans="1:2" x14ac:dyDescent="0.35">
      <c r="A1393">
        <v>87</v>
      </c>
      <c r="B1393">
        <v>-0.36</v>
      </c>
    </row>
    <row r="1394" spans="1:2" x14ac:dyDescent="0.35">
      <c r="A1394">
        <v>87</v>
      </c>
      <c r="B1394" t="s">
        <v>24</v>
      </c>
    </row>
    <row r="1395" spans="1:2" x14ac:dyDescent="0.35">
      <c r="A1395">
        <v>87</v>
      </c>
      <c r="B1395">
        <v>2.1549999999999998</v>
      </c>
    </row>
    <row r="1396" spans="1:2" x14ac:dyDescent="0.35">
      <c r="A1396">
        <v>87</v>
      </c>
      <c r="B1396" t="s">
        <v>35</v>
      </c>
    </row>
    <row r="1397" spans="1:2" x14ac:dyDescent="0.35">
      <c r="A1397">
        <v>87</v>
      </c>
      <c r="B1397">
        <v>0.60599999999999998</v>
      </c>
    </row>
    <row r="1398" spans="1:2" x14ac:dyDescent="0.35">
      <c r="A1398">
        <v>87</v>
      </c>
      <c r="B1398" t="s">
        <v>36</v>
      </c>
    </row>
    <row r="1399" spans="1:2" x14ac:dyDescent="0.35">
      <c r="A1399">
        <v>87</v>
      </c>
      <c r="B1399">
        <v>0.36699999999999999</v>
      </c>
    </row>
    <row r="1400" spans="1:2" x14ac:dyDescent="0.35">
      <c r="A1400">
        <v>87</v>
      </c>
      <c r="B1400" t="s">
        <v>37</v>
      </c>
    </row>
    <row r="1401" spans="1:2" x14ac:dyDescent="0.35">
      <c r="A1401">
        <v>87</v>
      </c>
      <c r="B1401">
        <v>-0.48199999999999998</v>
      </c>
    </row>
    <row r="1402" spans="1:2" x14ac:dyDescent="0.35">
      <c r="A1402">
        <v>87</v>
      </c>
      <c r="B1402" t="s">
        <v>38</v>
      </c>
    </row>
    <row r="1403" spans="1:2" x14ac:dyDescent="0.35">
      <c r="A1403">
        <v>87</v>
      </c>
      <c r="B1403">
        <v>0.59299999999999997</v>
      </c>
    </row>
    <row r="1404" spans="1:2" x14ac:dyDescent="0.35">
      <c r="A1404">
        <v>87</v>
      </c>
      <c r="B1404" t="s">
        <v>39</v>
      </c>
    </row>
    <row r="1405" spans="1:2" x14ac:dyDescent="0.35">
      <c r="A1405">
        <v>87</v>
      </c>
      <c r="B1405">
        <v>-0.10299999999999999</v>
      </c>
    </row>
    <row r="1406" spans="1:2" x14ac:dyDescent="0.35">
      <c r="A1406">
        <v>87</v>
      </c>
      <c r="B1406" t="s">
        <v>40</v>
      </c>
    </row>
    <row r="1407" spans="1:2" x14ac:dyDescent="0.35">
      <c r="A1407">
        <v>87</v>
      </c>
      <c r="B1407" s="4">
        <v>0</v>
      </c>
    </row>
    <row r="1408" spans="1:2" x14ac:dyDescent="0.35">
      <c r="A1408">
        <v>87</v>
      </c>
      <c r="B1408" t="s">
        <v>41</v>
      </c>
    </row>
    <row r="1409" spans="1:2" x14ac:dyDescent="0.35">
      <c r="A1409">
        <v>87</v>
      </c>
      <c r="B1409" s="4">
        <v>19000000</v>
      </c>
    </row>
    <row r="1410" spans="1:2" x14ac:dyDescent="0.35">
      <c r="A1410">
        <v>87</v>
      </c>
      <c r="B1410" t="s">
        <v>42</v>
      </c>
    </row>
    <row r="1411" spans="1:2" x14ac:dyDescent="0.35">
      <c r="A1411">
        <v>87</v>
      </c>
      <c r="B1411" t="s">
        <v>44</v>
      </c>
    </row>
    <row r="1412" spans="1:2" x14ac:dyDescent="0.35">
      <c r="A1412">
        <v>88</v>
      </c>
      <c r="B1412" t="s">
        <v>27</v>
      </c>
    </row>
    <row r="1413" spans="1:2" x14ac:dyDescent="0.35">
      <c r="A1413">
        <v>88</v>
      </c>
      <c r="B1413" s="2">
        <v>9.3880000000000005E-2</v>
      </c>
    </row>
    <row r="1414" spans="1:2" x14ac:dyDescent="0.35">
      <c r="A1414">
        <v>88</v>
      </c>
      <c r="B1414" t="s">
        <v>1</v>
      </c>
    </row>
    <row r="1415" spans="1:2" x14ac:dyDescent="0.35">
      <c r="A1415">
        <v>88</v>
      </c>
      <c r="B1415">
        <v>-0.36699999999999999</v>
      </c>
    </row>
    <row r="1416" spans="1:2" x14ac:dyDescent="0.35">
      <c r="A1416">
        <v>88</v>
      </c>
      <c r="B1416" t="s">
        <v>28</v>
      </c>
    </row>
    <row r="1417" spans="1:2" x14ac:dyDescent="0.35">
      <c r="A1417">
        <v>88</v>
      </c>
      <c r="B1417">
        <v>459</v>
      </c>
    </row>
    <row r="1418" spans="1:2" x14ac:dyDescent="0.35">
      <c r="A1418">
        <v>88</v>
      </c>
      <c r="B1418" t="s">
        <v>25</v>
      </c>
    </row>
    <row r="1419" spans="1:2" x14ac:dyDescent="0.35">
      <c r="A1419">
        <v>88</v>
      </c>
      <c r="B1419" s="2">
        <v>4.1099999999999998E-2</v>
      </c>
    </row>
    <row r="1420" spans="1:2" x14ac:dyDescent="0.35">
      <c r="A1420">
        <v>88</v>
      </c>
      <c r="B1420" t="s">
        <v>29</v>
      </c>
    </row>
    <row r="1421" spans="1:2" x14ac:dyDescent="0.35">
      <c r="A1421">
        <v>88</v>
      </c>
      <c r="B1421" s="2">
        <v>-7.9299999999999995E-2</v>
      </c>
    </row>
    <row r="1422" spans="1:2" x14ac:dyDescent="0.35">
      <c r="A1422">
        <v>88</v>
      </c>
      <c r="B1422" t="s">
        <v>30</v>
      </c>
    </row>
    <row r="1423" spans="1:2" x14ac:dyDescent="0.35">
      <c r="A1423">
        <v>88</v>
      </c>
      <c r="B1423" s="2">
        <v>-0.46013999999999999</v>
      </c>
    </row>
    <row r="1424" spans="1:2" x14ac:dyDescent="0.35">
      <c r="A1424">
        <v>88</v>
      </c>
      <c r="B1424" t="s">
        <v>8</v>
      </c>
    </row>
    <row r="1425" spans="1:2" x14ac:dyDescent="0.35">
      <c r="A1425">
        <v>88</v>
      </c>
      <c r="B1425" s="2">
        <v>0.59299999999999997</v>
      </c>
    </row>
    <row r="1426" spans="1:2" x14ac:dyDescent="0.35">
      <c r="A1426">
        <v>88</v>
      </c>
      <c r="B1426" t="s">
        <v>31</v>
      </c>
    </row>
    <row r="1427" spans="1:2" x14ac:dyDescent="0.35">
      <c r="A1427">
        <v>88</v>
      </c>
      <c r="B1427">
        <v>-0.29099999999999998</v>
      </c>
    </row>
    <row r="1428" spans="1:2" x14ac:dyDescent="0.35">
      <c r="A1428">
        <v>88</v>
      </c>
      <c r="B1428" t="s">
        <v>32</v>
      </c>
    </row>
    <row r="1429" spans="1:2" x14ac:dyDescent="0.35">
      <c r="A1429">
        <v>88</v>
      </c>
      <c r="B1429" s="2">
        <v>-0.32754</v>
      </c>
    </row>
    <row r="1430" spans="1:2" x14ac:dyDescent="0.35">
      <c r="A1430">
        <v>88</v>
      </c>
      <c r="B1430" t="s">
        <v>33</v>
      </c>
    </row>
    <row r="1431" spans="1:2" x14ac:dyDescent="0.35">
      <c r="A1431">
        <v>88</v>
      </c>
      <c r="B1431" s="3">
        <v>0.53</v>
      </c>
    </row>
    <row r="1432" spans="1:2" x14ac:dyDescent="0.35">
      <c r="A1432">
        <v>88</v>
      </c>
      <c r="B1432" t="s">
        <v>34</v>
      </c>
    </row>
    <row r="1433" spans="1:2" x14ac:dyDescent="0.35">
      <c r="A1433">
        <v>88</v>
      </c>
      <c r="B1433" s="3">
        <v>0.47</v>
      </c>
    </row>
    <row r="1434" spans="1:2" x14ac:dyDescent="0.35">
      <c r="A1434">
        <v>88</v>
      </c>
      <c r="B1434" t="s">
        <v>26</v>
      </c>
    </row>
    <row r="1435" spans="1:2" x14ac:dyDescent="0.35">
      <c r="A1435">
        <v>88</v>
      </c>
      <c r="B1435">
        <v>0.52</v>
      </c>
    </row>
    <row r="1436" spans="1:2" x14ac:dyDescent="0.35">
      <c r="A1436">
        <v>88</v>
      </c>
      <c r="B1436" t="s">
        <v>23</v>
      </c>
    </row>
    <row r="1437" spans="1:2" x14ac:dyDescent="0.35">
      <c r="A1437">
        <v>88</v>
      </c>
      <c r="B1437">
        <v>-0.36</v>
      </c>
    </row>
    <row r="1438" spans="1:2" x14ac:dyDescent="0.35">
      <c r="A1438">
        <v>88</v>
      </c>
      <c r="B1438" t="s">
        <v>24</v>
      </c>
    </row>
    <row r="1439" spans="1:2" x14ac:dyDescent="0.35">
      <c r="A1439">
        <v>88</v>
      </c>
      <c r="B1439">
        <v>2.1549999999999998</v>
      </c>
    </row>
    <row r="1440" spans="1:2" x14ac:dyDescent="0.35">
      <c r="A1440">
        <v>88</v>
      </c>
      <c r="B1440" t="s">
        <v>35</v>
      </c>
    </row>
    <row r="1441" spans="1:2" x14ac:dyDescent="0.35">
      <c r="A1441">
        <v>88</v>
      </c>
      <c r="B1441">
        <v>0.60599999999999998</v>
      </c>
    </row>
    <row r="1442" spans="1:2" x14ac:dyDescent="0.35">
      <c r="A1442">
        <v>88</v>
      </c>
      <c r="B1442" t="s">
        <v>36</v>
      </c>
    </row>
    <row r="1443" spans="1:2" x14ac:dyDescent="0.35">
      <c r="A1443">
        <v>88</v>
      </c>
      <c r="B1443">
        <v>0.36699999999999999</v>
      </c>
    </row>
    <row r="1444" spans="1:2" x14ac:dyDescent="0.35">
      <c r="A1444">
        <v>88</v>
      </c>
      <c r="B1444" t="s">
        <v>37</v>
      </c>
    </row>
    <row r="1445" spans="1:2" x14ac:dyDescent="0.35">
      <c r="A1445">
        <v>88</v>
      </c>
      <c r="B1445">
        <v>-0.48199999999999998</v>
      </c>
    </row>
    <row r="1446" spans="1:2" x14ac:dyDescent="0.35">
      <c r="A1446">
        <v>88</v>
      </c>
      <c r="B1446" t="s">
        <v>38</v>
      </c>
    </row>
    <row r="1447" spans="1:2" x14ac:dyDescent="0.35">
      <c r="A1447">
        <v>88</v>
      </c>
      <c r="B1447">
        <v>0.59299999999999997</v>
      </c>
    </row>
    <row r="1448" spans="1:2" x14ac:dyDescent="0.35">
      <c r="A1448">
        <v>88</v>
      </c>
      <c r="B1448" t="s">
        <v>39</v>
      </c>
    </row>
    <row r="1449" spans="1:2" x14ac:dyDescent="0.35">
      <c r="A1449">
        <v>88</v>
      </c>
      <c r="B1449">
        <v>-0.10299999999999999</v>
      </c>
    </row>
    <row r="1450" spans="1:2" x14ac:dyDescent="0.35">
      <c r="A1450">
        <v>88</v>
      </c>
      <c r="B1450" t="s">
        <v>40</v>
      </c>
    </row>
    <row r="1451" spans="1:2" x14ac:dyDescent="0.35">
      <c r="A1451">
        <v>88</v>
      </c>
      <c r="B1451" s="4">
        <v>0</v>
      </c>
    </row>
    <row r="1452" spans="1:2" x14ac:dyDescent="0.35">
      <c r="A1452">
        <v>88</v>
      </c>
      <c r="B1452" t="s">
        <v>41</v>
      </c>
    </row>
    <row r="1453" spans="1:2" x14ac:dyDescent="0.35">
      <c r="A1453">
        <v>88</v>
      </c>
      <c r="B1453" s="4">
        <v>19000000</v>
      </c>
    </row>
    <row r="1454" spans="1:2" x14ac:dyDescent="0.35">
      <c r="A1454">
        <v>88</v>
      </c>
      <c r="B1454" t="s">
        <v>42</v>
      </c>
    </row>
    <row r="1455" spans="1:2" x14ac:dyDescent="0.35">
      <c r="A1455">
        <v>88</v>
      </c>
      <c r="B1455" t="s">
        <v>44</v>
      </c>
    </row>
    <row r="1456" spans="1:2" x14ac:dyDescent="0.35">
      <c r="A1456">
        <v>89</v>
      </c>
      <c r="B1456" t="s">
        <v>27</v>
      </c>
    </row>
    <row r="1457" spans="1:2" x14ac:dyDescent="0.35">
      <c r="A1457">
        <v>89</v>
      </c>
      <c r="B1457" s="2">
        <v>9.3880000000000005E-2</v>
      </c>
    </row>
    <row r="1458" spans="1:2" x14ac:dyDescent="0.35">
      <c r="A1458">
        <v>89</v>
      </c>
      <c r="B1458" t="s">
        <v>1</v>
      </c>
    </row>
    <row r="1459" spans="1:2" x14ac:dyDescent="0.35">
      <c r="A1459">
        <v>89</v>
      </c>
      <c r="B1459">
        <v>-0.36699999999999999</v>
      </c>
    </row>
    <row r="1460" spans="1:2" x14ac:dyDescent="0.35">
      <c r="A1460">
        <v>89</v>
      </c>
      <c r="B1460" t="s">
        <v>28</v>
      </c>
    </row>
    <row r="1461" spans="1:2" x14ac:dyDescent="0.35">
      <c r="A1461">
        <v>89</v>
      </c>
      <c r="B1461">
        <v>459</v>
      </c>
    </row>
    <row r="1462" spans="1:2" x14ac:dyDescent="0.35">
      <c r="A1462">
        <v>89</v>
      </c>
      <c r="B1462" t="s">
        <v>25</v>
      </c>
    </row>
    <row r="1463" spans="1:2" x14ac:dyDescent="0.35">
      <c r="A1463">
        <v>89</v>
      </c>
      <c r="B1463" s="2">
        <v>4.1099999999999998E-2</v>
      </c>
    </row>
    <row r="1464" spans="1:2" x14ac:dyDescent="0.35">
      <c r="A1464">
        <v>89</v>
      </c>
      <c r="B1464" t="s">
        <v>29</v>
      </c>
    </row>
    <row r="1465" spans="1:2" x14ac:dyDescent="0.35">
      <c r="A1465">
        <v>89</v>
      </c>
      <c r="B1465" s="2">
        <v>-7.9299999999999995E-2</v>
      </c>
    </row>
    <row r="1466" spans="1:2" x14ac:dyDescent="0.35">
      <c r="A1466">
        <v>89</v>
      </c>
      <c r="B1466" t="s">
        <v>30</v>
      </c>
    </row>
    <row r="1467" spans="1:2" x14ac:dyDescent="0.35">
      <c r="A1467">
        <v>89</v>
      </c>
      <c r="B1467" s="2">
        <v>-0.46013999999999999</v>
      </c>
    </row>
    <row r="1468" spans="1:2" x14ac:dyDescent="0.35">
      <c r="A1468">
        <v>89</v>
      </c>
      <c r="B1468" t="s">
        <v>8</v>
      </c>
    </row>
    <row r="1469" spans="1:2" x14ac:dyDescent="0.35">
      <c r="A1469">
        <v>89</v>
      </c>
      <c r="B1469" s="2">
        <v>0.59299999999999997</v>
      </c>
    </row>
    <row r="1470" spans="1:2" x14ac:dyDescent="0.35">
      <c r="A1470">
        <v>89</v>
      </c>
      <c r="B1470" t="s">
        <v>31</v>
      </c>
    </row>
    <row r="1471" spans="1:2" x14ac:dyDescent="0.35">
      <c r="A1471">
        <v>89</v>
      </c>
      <c r="B1471">
        <v>-0.29099999999999998</v>
      </c>
    </row>
    <row r="1472" spans="1:2" x14ac:dyDescent="0.35">
      <c r="A1472">
        <v>89</v>
      </c>
      <c r="B1472" t="s">
        <v>32</v>
      </c>
    </row>
    <row r="1473" spans="1:2" x14ac:dyDescent="0.35">
      <c r="A1473">
        <v>89</v>
      </c>
      <c r="B1473" s="2">
        <v>-0.32754</v>
      </c>
    </row>
    <row r="1474" spans="1:2" x14ac:dyDescent="0.35">
      <c r="A1474">
        <v>89</v>
      </c>
      <c r="B1474" t="s">
        <v>33</v>
      </c>
    </row>
    <row r="1475" spans="1:2" x14ac:dyDescent="0.35">
      <c r="A1475">
        <v>89</v>
      </c>
      <c r="B1475" s="3">
        <v>0.53</v>
      </c>
    </row>
    <row r="1476" spans="1:2" x14ac:dyDescent="0.35">
      <c r="A1476">
        <v>89</v>
      </c>
      <c r="B1476" t="s">
        <v>34</v>
      </c>
    </row>
    <row r="1477" spans="1:2" x14ac:dyDescent="0.35">
      <c r="A1477">
        <v>89</v>
      </c>
      <c r="B1477" s="3">
        <v>0.47</v>
      </c>
    </row>
    <row r="1478" spans="1:2" x14ac:dyDescent="0.35">
      <c r="A1478">
        <v>89</v>
      </c>
      <c r="B1478" t="s">
        <v>26</v>
      </c>
    </row>
    <row r="1479" spans="1:2" x14ac:dyDescent="0.35">
      <c r="A1479">
        <v>89</v>
      </c>
      <c r="B1479">
        <v>0.52</v>
      </c>
    </row>
    <row r="1480" spans="1:2" x14ac:dyDescent="0.35">
      <c r="A1480">
        <v>89</v>
      </c>
      <c r="B1480" t="s">
        <v>23</v>
      </c>
    </row>
    <row r="1481" spans="1:2" x14ac:dyDescent="0.35">
      <c r="A1481">
        <v>89</v>
      </c>
      <c r="B1481">
        <v>-0.36</v>
      </c>
    </row>
    <row r="1482" spans="1:2" x14ac:dyDescent="0.35">
      <c r="A1482">
        <v>89</v>
      </c>
      <c r="B1482" t="s">
        <v>24</v>
      </c>
    </row>
    <row r="1483" spans="1:2" x14ac:dyDescent="0.35">
      <c r="A1483">
        <v>89</v>
      </c>
      <c r="B1483">
        <v>2.1549999999999998</v>
      </c>
    </row>
    <row r="1484" spans="1:2" x14ac:dyDescent="0.35">
      <c r="A1484">
        <v>89</v>
      </c>
      <c r="B1484" t="s">
        <v>35</v>
      </c>
    </row>
    <row r="1485" spans="1:2" x14ac:dyDescent="0.35">
      <c r="A1485">
        <v>89</v>
      </c>
      <c r="B1485">
        <v>0.60599999999999998</v>
      </c>
    </row>
    <row r="1486" spans="1:2" x14ac:dyDescent="0.35">
      <c r="A1486">
        <v>89</v>
      </c>
      <c r="B1486" t="s">
        <v>36</v>
      </c>
    </row>
    <row r="1487" spans="1:2" x14ac:dyDescent="0.35">
      <c r="A1487">
        <v>89</v>
      </c>
      <c r="B1487">
        <v>0.36699999999999999</v>
      </c>
    </row>
    <row r="1488" spans="1:2" x14ac:dyDescent="0.35">
      <c r="A1488">
        <v>89</v>
      </c>
      <c r="B1488" t="s">
        <v>37</v>
      </c>
    </row>
    <row r="1489" spans="1:2" x14ac:dyDescent="0.35">
      <c r="A1489">
        <v>89</v>
      </c>
      <c r="B1489">
        <v>-0.48199999999999998</v>
      </c>
    </row>
    <row r="1490" spans="1:2" x14ac:dyDescent="0.35">
      <c r="A1490">
        <v>89</v>
      </c>
      <c r="B1490" t="s">
        <v>38</v>
      </c>
    </row>
    <row r="1491" spans="1:2" x14ac:dyDescent="0.35">
      <c r="A1491">
        <v>89</v>
      </c>
      <c r="B1491">
        <v>0.59299999999999997</v>
      </c>
    </row>
    <row r="1492" spans="1:2" x14ac:dyDescent="0.35">
      <c r="A1492">
        <v>89</v>
      </c>
      <c r="B1492" t="s">
        <v>39</v>
      </c>
    </row>
    <row r="1493" spans="1:2" x14ac:dyDescent="0.35">
      <c r="A1493">
        <v>89</v>
      </c>
      <c r="B1493">
        <v>-0.10299999999999999</v>
      </c>
    </row>
    <row r="1494" spans="1:2" x14ac:dyDescent="0.35">
      <c r="A1494">
        <v>89</v>
      </c>
      <c r="B1494" t="s">
        <v>40</v>
      </c>
    </row>
    <row r="1495" spans="1:2" x14ac:dyDescent="0.35">
      <c r="A1495">
        <v>89</v>
      </c>
      <c r="B1495" s="4">
        <v>0</v>
      </c>
    </row>
    <row r="1496" spans="1:2" x14ac:dyDescent="0.35">
      <c r="A1496">
        <v>89</v>
      </c>
      <c r="B1496" t="s">
        <v>41</v>
      </c>
    </row>
    <row r="1497" spans="1:2" x14ac:dyDescent="0.35">
      <c r="A1497">
        <v>89</v>
      </c>
      <c r="B1497" s="4">
        <v>19000000</v>
      </c>
    </row>
    <row r="1498" spans="1:2" x14ac:dyDescent="0.35">
      <c r="A1498">
        <v>89</v>
      </c>
      <c r="B1498" t="s">
        <v>42</v>
      </c>
    </row>
    <row r="1499" spans="1:2" x14ac:dyDescent="0.35">
      <c r="A1499">
        <v>89</v>
      </c>
      <c r="B1499" t="s">
        <v>44</v>
      </c>
    </row>
    <row r="1500" spans="1:2" x14ac:dyDescent="0.35">
      <c r="A1500">
        <v>90</v>
      </c>
      <c r="B1500" t="s">
        <v>27</v>
      </c>
    </row>
    <row r="1501" spans="1:2" x14ac:dyDescent="0.35">
      <c r="A1501">
        <v>90</v>
      </c>
      <c r="B1501" s="2">
        <v>9.3880000000000005E-2</v>
      </c>
    </row>
    <row r="1502" spans="1:2" x14ac:dyDescent="0.35">
      <c r="A1502">
        <v>90</v>
      </c>
      <c r="B1502" t="s">
        <v>1</v>
      </c>
    </row>
    <row r="1503" spans="1:2" x14ac:dyDescent="0.35">
      <c r="A1503">
        <v>90</v>
      </c>
      <c r="B1503">
        <v>-0.36699999999999999</v>
      </c>
    </row>
    <row r="1504" spans="1:2" x14ac:dyDescent="0.35">
      <c r="A1504">
        <v>90</v>
      </c>
      <c r="B1504" t="s">
        <v>28</v>
      </c>
    </row>
    <row r="1505" spans="1:2" x14ac:dyDescent="0.35">
      <c r="A1505">
        <v>90</v>
      </c>
      <c r="B1505">
        <v>459</v>
      </c>
    </row>
    <row r="1506" spans="1:2" x14ac:dyDescent="0.35">
      <c r="A1506">
        <v>90</v>
      </c>
      <c r="B1506" t="s">
        <v>25</v>
      </c>
    </row>
    <row r="1507" spans="1:2" x14ac:dyDescent="0.35">
      <c r="A1507">
        <v>90</v>
      </c>
      <c r="B1507" s="2">
        <v>4.1099999999999998E-2</v>
      </c>
    </row>
    <row r="1508" spans="1:2" x14ac:dyDescent="0.35">
      <c r="A1508">
        <v>90</v>
      </c>
      <c r="B1508" t="s">
        <v>29</v>
      </c>
    </row>
    <row r="1509" spans="1:2" x14ac:dyDescent="0.35">
      <c r="A1509">
        <v>90</v>
      </c>
      <c r="B1509" s="2">
        <v>-7.9299999999999995E-2</v>
      </c>
    </row>
    <row r="1510" spans="1:2" x14ac:dyDescent="0.35">
      <c r="A1510">
        <v>90</v>
      </c>
      <c r="B1510" t="s">
        <v>30</v>
      </c>
    </row>
    <row r="1511" spans="1:2" x14ac:dyDescent="0.35">
      <c r="A1511">
        <v>90</v>
      </c>
      <c r="B1511" s="2">
        <v>-0.46013999999999999</v>
      </c>
    </row>
    <row r="1512" spans="1:2" x14ac:dyDescent="0.35">
      <c r="A1512">
        <v>90</v>
      </c>
      <c r="B1512" t="s">
        <v>8</v>
      </c>
    </row>
    <row r="1513" spans="1:2" x14ac:dyDescent="0.35">
      <c r="A1513">
        <v>90</v>
      </c>
      <c r="B1513" s="2">
        <v>0.59299999999999997</v>
      </c>
    </row>
    <row r="1514" spans="1:2" x14ac:dyDescent="0.35">
      <c r="A1514">
        <v>90</v>
      </c>
      <c r="B1514" t="s">
        <v>31</v>
      </c>
    </row>
    <row r="1515" spans="1:2" x14ac:dyDescent="0.35">
      <c r="A1515">
        <v>90</v>
      </c>
      <c r="B1515">
        <v>-0.29099999999999998</v>
      </c>
    </row>
    <row r="1516" spans="1:2" x14ac:dyDescent="0.35">
      <c r="A1516">
        <v>90</v>
      </c>
      <c r="B1516" t="s">
        <v>32</v>
      </c>
    </row>
    <row r="1517" spans="1:2" x14ac:dyDescent="0.35">
      <c r="A1517">
        <v>90</v>
      </c>
      <c r="B1517" s="2">
        <v>-0.32754</v>
      </c>
    </row>
    <row r="1518" spans="1:2" x14ac:dyDescent="0.35">
      <c r="A1518">
        <v>90</v>
      </c>
      <c r="B1518" t="s">
        <v>33</v>
      </c>
    </row>
    <row r="1519" spans="1:2" x14ac:dyDescent="0.35">
      <c r="A1519">
        <v>90</v>
      </c>
      <c r="B1519" s="3">
        <v>0.53</v>
      </c>
    </row>
    <row r="1520" spans="1:2" x14ac:dyDescent="0.35">
      <c r="A1520">
        <v>90</v>
      </c>
      <c r="B1520" t="s">
        <v>34</v>
      </c>
    </row>
    <row r="1521" spans="1:2" x14ac:dyDescent="0.35">
      <c r="A1521">
        <v>90</v>
      </c>
      <c r="B1521" s="3">
        <v>0.47</v>
      </c>
    </row>
    <row r="1522" spans="1:2" x14ac:dyDescent="0.35">
      <c r="A1522">
        <v>90</v>
      </c>
      <c r="B1522" t="s">
        <v>26</v>
      </c>
    </row>
    <row r="1523" spans="1:2" x14ac:dyDescent="0.35">
      <c r="A1523">
        <v>90</v>
      </c>
      <c r="B1523">
        <v>0.52</v>
      </c>
    </row>
    <row r="1524" spans="1:2" x14ac:dyDescent="0.35">
      <c r="A1524">
        <v>90</v>
      </c>
      <c r="B1524" t="s">
        <v>23</v>
      </c>
    </row>
    <row r="1525" spans="1:2" x14ac:dyDescent="0.35">
      <c r="A1525">
        <v>90</v>
      </c>
      <c r="B1525">
        <v>-0.36</v>
      </c>
    </row>
    <row r="1526" spans="1:2" x14ac:dyDescent="0.35">
      <c r="A1526">
        <v>90</v>
      </c>
      <c r="B1526" t="s">
        <v>24</v>
      </c>
    </row>
    <row r="1527" spans="1:2" x14ac:dyDescent="0.35">
      <c r="A1527">
        <v>90</v>
      </c>
      <c r="B1527">
        <v>2.1549999999999998</v>
      </c>
    </row>
    <row r="1528" spans="1:2" x14ac:dyDescent="0.35">
      <c r="A1528">
        <v>90</v>
      </c>
      <c r="B1528" t="s">
        <v>35</v>
      </c>
    </row>
    <row r="1529" spans="1:2" x14ac:dyDescent="0.35">
      <c r="A1529">
        <v>90</v>
      </c>
      <c r="B1529">
        <v>0.60599999999999998</v>
      </c>
    </row>
    <row r="1530" spans="1:2" x14ac:dyDescent="0.35">
      <c r="A1530">
        <v>90</v>
      </c>
      <c r="B1530" t="s">
        <v>36</v>
      </c>
    </row>
    <row r="1531" spans="1:2" x14ac:dyDescent="0.35">
      <c r="A1531">
        <v>90</v>
      </c>
      <c r="B1531">
        <v>0.36699999999999999</v>
      </c>
    </row>
    <row r="1532" spans="1:2" x14ac:dyDescent="0.35">
      <c r="A1532">
        <v>90</v>
      </c>
      <c r="B1532" t="s">
        <v>37</v>
      </c>
    </row>
    <row r="1533" spans="1:2" x14ac:dyDescent="0.35">
      <c r="A1533">
        <v>90</v>
      </c>
      <c r="B1533">
        <v>-0.48199999999999998</v>
      </c>
    </row>
    <row r="1534" spans="1:2" x14ac:dyDescent="0.35">
      <c r="A1534">
        <v>90</v>
      </c>
      <c r="B1534" t="s">
        <v>38</v>
      </c>
    </row>
    <row r="1535" spans="1:2" x14ac:dyDescent="0.35">
      <c r="A1535">
        <v>90</v>
      </c>
      <c r="B1535">
        <v>0.59299999999999997</v>
      </c>
    </row>
    <row r="1536" spans="1:2" x14ac:dyDescent="0.35">
      <c r="A1536">
        <v>90</v>
      </c>
      <c r="B1536" t="s">
        <v>39</v>
      </c>
    </row>
    <row r="1537" spans="1:2" x14ac:dyDescent="0.35">
      <c r="A1537">
        <v>90</v>
      </c>
      <c r="B1537">
        <v>-0.10299999999999999</v>
      </c>
    </row>
    <row r="1538" spans="1:2" x14ac:dyDescent="0.35">
      <c r="A1538">
        <v>90</v>
      </c>
      <c r="B1538" t="s">
        <v>40</v>
      </c>
    </row>
    <row r="1539" spans="1:2" x14ac:dyDescent="0.35">
      <c r="A1539">
        <v>90</v>
      </c>
      <c r="B1539" s="4">
        <v>0</v>
      </c>
    </row>
    <row r="1540" spans="1:2" x14ac:dyDescent="0.35">
      <c r="A1540">
        <v>90</v>
      </c>
      <c r="B1540" t="s">
        <v>41</v>
      </c>
    </row>
    <row r="1541" spans="1:2" x14ac:dyDescent="0.35">
      <c r="A1541">
        <v>90</v>
      </c>
      <c r="B1541" s="4">
        <v>19000000</v>
      </c>
    </row>
    <row r="1542" spans="1:2" x14ac:dyDescent="0.35">
      <c r="A1542">
        <v>90</v>
      </c>
      <c r="B1542" t="s">
        <v>42</v>
      </c>
    </row>
    <row r="1543" spans="1:2" x14ac:dyDescent="0.35">
      <c r="A1543">
        <v>90</v>
      </c>
      <c r="B1543" t="s">
        <v>44</v>
      </c>
    </row>
    <row r="1544" spans="1:2" x14ac:dyDescent="0.35">
      <c r="A1544">
        <v>109</v>
      </c>
      <c r="B1544" t="s">
        <v>27</v>
      </c>
    </row>
    <row r="1545" spans="1:2" x14ac:dyDescent="0.35">
      <c r="A1545">
        <v>109</v>
      </c>
      <c r="B1545" s="2">
        <v>9.3880000000000005E-2</v>
      </c>
    </row>
    <row r="1546" spans="1:2" x14ac:dyDescent="0.35">
      <c r="A1546">
        <v>109</v>
      </c>
      <c r="B1546" t="s">
        <v>1</v>
      </c>
    </row>
    <row r="1547" spans="1:2" x14ac:dyDescent="0.35">
      <c r="A1547">
        <v>109</v>
      </c>
      <c r="B1547">
        <v>-0.36699999999999999</v>
      </c>
    </row>
    <row r="1548" spans="1:2" x14ac:dyDescent="0.35">
      <c r="A1548">
        <v>109</v>
      </c>
      <c r="B1548" t="s">
        <v>28</v>
      </c>
    </row>
    <row r="1549" spans="1:2" x14ac:dyDescent="0.35">
      <c r="A1549">
        <v>109</v>
      </c>
      <c r="B1549">
        <v>459</v>
      </c>
    </row>
    <row r="1550" spans="1:2" x14ac:dyDescent="0.35">
      <c r="A1550">
        <v>109</v>
      </c>
      <c r="B1550" t="s">
        <v>25</v>
      </c>
    </row>
    <row r="1551" spans="1:2" x14ac:dyDescent="0.35">
      <c r="A1551">
        <v>109</v>
      </c>
      <c r="B1551" s="2">
        <v>4.1099999999999998E-2</v>
      </c>
    </row>
    <row r="1552" spans="1:2" x14ac:dyDescent="0.35">
      <c r="A1552">
        <v>109</v>
      </c>
      <c r="B1552" t="s">
        <v>29</v>
      </c>
    </row>
    <row r="1553" spans="1:2" x14ac:dyDescent="0.35">
      <c r="A1553">
        <v>109</v>
      </c>
      <c r="B1553" s="2">
        <v>-7.9299999999999995E-2</v>
      </c>
    </row>
    <row r="1554" spans="1:2" x14ac:dyDescent="0.35">
      <c r="A1554">
        <v>109</v>
      </c>
      <c r="B1554" t="s">
        <v>30</v>
      </c>
    </row>
    <row r="1555" spans="1:2" x14ac:dyDescent="0.35">
      <c r="A1555">
        <v>109</v>
      </c>
      <c r="B1555" s="2">
        <v>-0.46013999999999999</v>
      </c>
    </row>
    <row r="1556" spans="1:2" x14ac:dyDescent="0.35">
      <c r="A1556">
        <v>109</v>
      </c>
      <c r="B1556" t="s">
        <v>8</v>
      </c>
    </row>
    <row r="1557" spans="1:2" x14ac:dyDescent="0.35">
      <c r="A1557">
        <v>109</v>
      </c>
      <c r="B1557" s="2">
        <v>0.59299999999999997</v>
      </c>
    </row>
    <row r="1558" spans="1:2" x14ac:dyDescent="0.35">
      <c r="A1558">
        <v>109</v>
      </c>
      <c r="B1558" t="s">
        <v>31</v>
      </c>
    </row>
    <row r="1559" spans="1:2" x14ac:dyDescent="0.35">
      <c r="A1559">
        <v>109</v>
      </c>
      <c r="B1559">
        <v>-0.29099999999999998</v>
      </c>
    </row>
    <row r="1560" spans="1:2" x14ac:dyDescent="0.35">
      <c r="A1560">
        <v>109</v>
      </c>
      <c r="B1560" t="s">
        <v>32</v>
      </c>
    </row>
    <row r="1561" spans="1:2" x14ac:dyDescent="0.35">
      <c r="A1561">
        <v>109</v>
      </c>
      <c r="B1561" s="2">
        <v>-0.32754</v>
      </c>
    </row>
    <row r="1562" spans="1:2" x14ac:dyDescent="0.35">
      <c r="A1562">
        <v>109</v>
      </c>
      <c r="B1562" t="s">
        <v>33</v>
      </c>
    </row>
    <row r="1563" spans="1:2" x14ac:dyDescent="0.35">
      <c r="A1563">
        <v>109</v>
      </c>
      <c r="B1563" s="3">
        <v>0.53</v>
      </c>
    </row>
    <row r="1564" spans="1:2" x14ac:dyDescent="0.35">
      <c r="A1564">
        <v>109</v>
      </c>
      <c r="B1564" t="s">
        <v>34</v>
      </c>
    </row>
    <row r="1565" spans="1:2" x14ac:dyDescent="0.35">
      <c r="A1565">
        <v>109</v>
      </c>
      <c r="B1565" s="3">
        <v>0.47</v>
      </c>
    </row>
    <row r="1566" spans="1:2" x14ac:dyDescent="0.35">
      <c r="A1566">
        <v>109</v>
      </c>
      <c r="B1566" t="s">
        <v>26</v>
      </c>
    </row>
    <row r="1567" spans="1:2" x14ac:dyDescent="0.35">
      <c r="A1567">
        <v>109</v>
      </c>
      <c r="B1567">
        <v>0.52</v>
      </c>
    </row>
    <row r="1568" spans="1:2" x14ac:dyDescent="0.35">
      <c r="A1568">
        <v>109</v>
      </c>
      <c r="B1568" t="s">
        <v>23</v>
      </c>
    </row>
    <row r="1569" spans="1:2" x14ac:dyDescent="0.35">
      <c r="A1569">
        <v>109</v>
      </c>
      <c r="B1569">
        <v>-0.36</v>
      </c>
    </row>
    <row r="1570" spans="1:2" x14ac:dyDescent="0.35">
      <c r="A1570">
        <v>109</v>
      </c>
      <c r="B1570" t="s">
        <v>24</v>
      </c>
    </row>
    <row r="1571" spans="1:2" x14ac:dyDescent="0.35">
      <c r="A1571">
        <v>109</v>
      </c>
      <c r="B1571">
        <v>2.1549999999999998</v>
      </c>
    </row>
    <row r="1572" spans="1:2" x14ac:dyDescent="0.35">
      <c r="A1572">
        <v>109</v>
      </c>
      <c r="B1572" t="s">
        <v>35</v>
      </c>
    </row>
    <row r="1573" spans="1:2" x14ac:dyDescent="0.35">
      <c r="A1573">
        <v>109</v>
      </c>
      <c r="B1573">
        <v>0.60599999999999998</v>
      </c>
    </row>
    <row r="1574" spans="1:2" x14ac:dyDescent="0.35">
      <c r="A1574">
        <v>109</v>
      </c>
      <c r="B1574" t="s">
        <v>36</v>
      </c>
    </row>
    <row r="1575" spans="1:2" x14ac:dyDescent="0.35">
      <c r="A1575">
        <v>109</v>
      </c>
      <c r="B1575">
        <v>0.36699999999999999</v>
      </c>
    </row>
    <row r="1576" spans="1:2" x14ac:dyDescent="0.35">
      <c r="A1576">
        <v>109</v>
      </c>
      <c r="B1576" t="s">
        <v>37</v>
      </c>
    </row>
    <row r="1577" spans="1:2" x14ac:dyDescent="0.35">
      <c r="A1577">
        <v>109</v>
      </c>
      <c r="B1577">
        <v>-0.48199999999999998</v>
      </c>
    </row>
    <row r="1578" spans="1:2" x14ac:dyDescent="0.35">
      <c r="A1578">
        <v>109</v>
      </c>
      <c r="B1578" t="s">
        <v>38</v>
      </c>
    </row>
    <row r="1579" spans="1:2" x14ac:dyDescent="0.35">
      <c r="A1579">
        <v>109</v>
      </c>
      <c r="B1579">
        <v>0.59299999999999997</v>
      </c>
    </row>
    <row r="1580" spans="1:2" x14ac:dyDescent="0.35">
      <c r="A1580">
        <v>109</v>
      </c>
      <c r="B1580" t="s">
        <v>39</v>
      </c>
    </row>
    <row r="1581" spans="1:2" x14ac:dyDescent="0.35">
      <c r="A1581">
        <v>109</v>
      </c>
      <c r="B1581">
        <v>-0.10299999999999999</v>
      </c>
    </row>
    <row r="1582" spans="1:2" x14ac:dyDescent="0.35">
      <c r="A1582">
        <v>109</v>
      </c>
      <c r="B1582" t="s">
        <v>40</v>
      </c>
    </row>
    <row r="1583" spans="1:2" x14ac:dyDescent="0.35">
      <c r="A1583">
        <v>109</v>
      </c>
      <c r="B1583" s="4">
        <v>0</v>
      </c>
    </row>
    <row r="1584" spans="1:2" x14ac:dyDescent="0.35">
      <c r="A1584">
        <v>109</v>
      </c>
      <c r="B1584" t="s">
        <v>41</v>
      </c>
    </row>
    <row r="1585" spans="1:2" x14ac:dyDescent="0.35">
      <c r="A1585">
        <v>109</v>
      </c>
      <c r="B1585" s="4">
        <v>19000000</v>
      </c>
    </row>
    <row r="1586" spans="1:2" x14ac:dyDescent="0.35">
      <c r="A1586">
        <v>109</v>
      </c>
      <c r="B1586" t="s">
        <v>42</v>
      </c>
    </row>
    <row r="1587" spans="1:2" x14ac:dyDescent="0.35">
      <c r="A1587">
        <v>109</v>
      </c>
      <c r="B1587" t="s">
        <v>44</v>
      </c>
    </row>
    <row r="1588" spans="1:2" x14ac:dyDescent="0.35">
      <c r="A1588">
        <v>110</v>
      </c>
      <c r="B1588" t="s">
        <v>27</v>
      </c>
    </row>
    <row r="1589" spans="1:2" x14ac:dyDescent="0.35">
      <c r="A1589">
        <v>110</v>
      </c>
      <c r="B1589" s="2">
        <v>9.3880000000000005E-2</v>
      </c>
    </row>
    <row r="1590" spans="1:2" x14ac:dyDescent="0.35">
      <c r="A1590">
        <v>110</v>
      </c>
      <c r="B1590" t="s">
        <v>1</v>
      </c>
    </row>
    <row r="1591" spans="1:2" x14ac:dyDescent="0.35">
      <c r="A1591">
        <v>110</v>
      </c>
      <c r="B1591">
        <v>-0.36699999999999999</v>
      </c>
    </row>
    <row r="1592" spans="1:2" x14ac:dyDescent="0.35">
      <c r="A1592">
        <v>110</v>
      </c>
      <c r="B1592" t="s">
        <v>28</v>
      </c>
    </row>
    <row r="1593" spans="1:2" x14ac:dyDescent="0.35">
      <c r="A1593">
        <v>110</v>
      </c>
      <c r="B1593">
        <v>459</v>
      </c>
    </row>
    <row r="1594" spans="1:2" x14ac:dyDescent="0.35">
      <c r="A1594">
        <v>110</v>
      </c>
      <c r="B1594" t="s">
        <v>25</v>
      </c>
    </row>
    <row r="1595" spans="1:2" x14ac:dyDescent="0.35">
      <c r="A1595">
        <v>110</v>
      </c>
      <c r="B1595" s="2">
        <v>4.1099999999999998E-2</v>
      </c>
    </row>
    <row r="1596" spans="1:2" x14ac:dyDescent="0.35">
      <c r="A1596">
        <v>110</v>
      </c>
      <c r="B1596" t="s">
        <v>29</v>
      </c>
    </row>
    <row r="1597" spans="1:2" x14ac:dyDescent="0.35">
      <c r="A1597">
        <v>110</v>
      </c>
      <c r="B1597" s="2">
        <v>-7.9299999999999995E-2</v>
      </c>
    </row>
    <row r="1598" spans="1:2" x14ac:dyDescent="0.35">
      <c r="A1598">
        <v>110</v>
      </c>
      <c r="B1598" t="s">
        <v>30</v>
      </c>
    </row>
    <row r="1599" spans="1:2" x14ac:dyDescent="0.35">
      <c r="A1599">
        <v>110</v>
      </c>
      <c r="B1599" s="2">
        <v>-0.46013999999999999</v>
      </c>
    </row>
    <row r="1600" spans="1:2" x14ac:dyDescent="0.35">
      <c r="A1600">
        <v>110</v>
      </c>
      <c r="B1600" t="s">
        <v>8</v>
      </c>
    </row>
    <row r="1601" spans="1:2" x14ac:dyDescent="0.35">
      <c r="A1601">
        <v>110</v>
      </c>
      <c r="B1601" s="2">
        <v>0.59299999999999997</v>
      </c>
    </row>
    <row r="1602" spans="1:2" x14ac:dyDescent="0.35">
      <c r="A1602">
        <v>110</v>
      </c>
      <c r="B1602" t="s">
        <v>31</v>
      </c>
    </row>
    <row r="1603" spans="1:2" x14ac:dyDescent="0.35">
      <c r="A1603">
        <v>110</v>
      </c>
      <c r="B1603">
        <v>-0.29099999999999998</v>
      </c>
    </row>
    <row r="1604" spans="1:2" x14ac:dyDescent="0.35">
      <c r="A1604">
        <v>110</v>
      </c>
      <c r="B1604" t="s">
        <v>32</v>
      </c>
    </row>
    <row r="1605" spans="1:2" x14ac:dyDescent="0.35">
      <c r="A1605">
        <v>110</v>
      </c>
      <c r="B1605" s="2">
        <v>-0.32754</v>
      </c>
    </row>
    <row r="1606" spans="1:2" x14ac:dyDescent="0.35">
      <c r="A1606">
        <v>110</v>
      </c>
      <c r="B1606" t="s">
        <v>33</v>
      </c>
    </row>
    <row r="1607" spans="1:2" x14ac:dyDescent="0.35">
      <c r="A1607">
        <v>110</v>
      </c>
      <c r="B1607" s="3">
        <v>0.53</v>
      </c>
    </row>
    <row r="1608" spans="1:2" x14ac:dyDescent="0.35">
      <c r="A1608">
        <v>110</v>
      </c>
      <c r="B1608" t="s">
        <v>34</v>
      </c>
    </row>
    <row r="1609" spans="1:2" x14ac:dyDescent="0.35">
      <c r="A1609">
        <v>110</v>
      </c>
      <c r="B1609" s="3">
        <v>0.47</v>
      </c>
    </row>
    <row r="1610" spans="1:2" x14ac:dyDescent="0.35">
      <c r="A1610">
        <v>110</v>
      </c>
      <c r="B1610" t="s">
        <v>26</v>
      </c>
    </row>
    <row r="1611" spans="1:2" x14ac:dyDescent="0.35">
      <c r="A1611">
        <v>110</v>
      </c>
      <c r="B1611">
        <v>0.52</v>
      </c>
    </row>
    <row r="1612" spans="1:2" x14ac:dyDescent="0.35">
      <c r="A1612">
        <v>110</v>
      </c>
      <c r="B1612" t="s">
        <v>23</v>
      </c>
    </row>
    <row r="1613" spans="1:2" x14ac:dyDescent="0.35">
      <c r="A1613">
        <v>110</v>
      </c>
      <c r="B1613">
        <v>-0.36</v>
      </c>
    </row>
    <row r="1614" spans="1:2" x14ac:dyDescent="0.35">
      <c r="A1614">
        <v>110</v>
      </c>
      <c r="B1614" t="s">
        <v>24</v>
      </c>
    </row>
    <row r="1615" spans="1:2" x14ac:dyDescent="0.35">
      <c r="A1615">
        <v>110</v>
      </c>
      <c r="B1615">
        <v>2.1549999999999998</v>
      </c>
    </row>
    <row r="1616" spans="1:2" x14ac:dyDescent="0.35">
      <c r="A1616">
        <v>110</v>
      </c>
      <c r="B1616" t="s">
        <v>35</v>
      </c>
    </row>
    <row r="1617" spans="1:2" x14ac:dyDescent="0.35">
      <c r="A1617">
        <v>110</v>
      </c>
      <c r="B1617">
        <v>0.60599999999999998</v>
      </c>
    </row>
    <row r="1618" spans="1:2" x14ac:dyDescent="0.35">
      <c r="A1618">
        <v>110</v>
      </c>
      <c r="B1618" t="s">
        <v>36</v>
      </c>
    </row>
    <row r="1619" spans="1:2" x14ac:dyDescent="0.35">
      <c r="A1619">
        <v>110</v>
      </c>
      <c r="B1619">
        <v>0.36699999999999999</v>
      </c>
    </row>
    <row r="1620" spans="1:2" x14ac:dyDescent="0.35">
      <c r="A1620">
        <v>110</v>
      </c>
      <c r="B1620" t="s">
        <v>37</v>
      </c>
    </row>
    <row r="1621" spans="1:2" x14ac:dyDescent="0.35">
      <c r="A1621">
        <v>110</v>
      </c>
      <c r="B1621">
        <v>-0.48199999999999998</v>
      </c>
    </row>
    <row r="1622" spans="1:2" x14ac:dyDescent="0.35">
      <c r="A1622">
        <v>110</v>
      </c>
      <c r="B1622" t="s">
        <v>38</v>
      </c>
    </row>
    <row r="1623" spans="1:2" x14ac:dyDescent="0.35">
      <c r="A1623">
        <v>110</v>
      </c>
      <c r="B1623">
        <v>0.59299999999999997</v>
      </c>
    </row>
    <row r="1624" spans="1:2" x14ac:dyDescent="0.35">
      <c r="A1624">
        <v>110</v>
      </c>
      <c r="B1624" t="s">
        <v>39</v>
      </c>
    </row>
    <row r="1625" spans="1:2" x14ac:dyDescent="0.35">
      <c r="A1625">
        <v>110</v>
      </c>
      <c r="B1625">
        <v>-0.10299999999999999</v>
      </c>
    </row>
    <row r="1626" spans="1:2" x14ac:dyDescent="0.35">
      <c r="A1626">
        <v>110</v>
      </c>
      <c r="B1626" t="s">
        <v>40</v>
      </c>
    </row>
    <row r="1627" spans="1:2" x14ac:dyDescent="0.35">
      <c r="A1627">
        <v>110</v>
      </c>
      <c r="B1627" s="4">
        <v>0</v>
      </c>
    </row>
    <row r="1628" spans="1:2" x14ac:dyDescent="0.35">
      <c r="A1628">
        <v>110</v>
      </c>
      <c r="B1628" t="s">
        <v>41</v>
      </c>
    </row>
    <row r="1629" spans="1:2" x14ac:dyDescent="0.35">
      <c r="A1629">
        <v>110</v>
      </c>
      <c r="B1629" s="4">
        <v>19000000</v>
      </c>
    </row>
    <row r="1630" spans="1:2" x14ac:dyDescent="0.35">
      <c r="A1630">
        <v>110</v>
      </c>
      <c r="B1630" t="s">
        <v>42</v>
      </c>
    </row>
    <row r="1631" spans="1:2" x14ac:dyDescent="0.35">
      <c r="A1631">
        <v>110</v>
      </c>
      <c r="B1631" t="s">
        <v>44</v>
      </c>
    </row>
    <row r="1632" spans="1:2" x14ac:dyDescent="0.35">
      <c r="A1632">
        <v>111</v>
      </c>
      <c r="B1632" t="s">
        <v>27</v>
      </c>
    </row>
    <row r="1633" spans="1:2" x14ac:dyDescent="0.35">
      <c r="A1633">
        <v>111</v>
      </c>
      <c r="B1633" s="2">
        <v>9.3880000000000005E-2</v>
      </c>
    </row>
    <row r="1634" spans="1:2" x14ac:dyDescent="0.35">
      <c r="A1634">
        <v>111</v>
      </c>
      <c r="B1634" t="s">
        <v>1</v>
      </c>
    </row>
    <row r="1635" spans="1:2" x14ac:dyDescent="0.35">
      <c r="A1635">
        <v>111</v>
      </c>
      <c r="B1635">
        <v>-0.36699999999999999</v>
      </c>
    </row>
    <row r="1636" spans="1:2" x14ac:dyDescent="0.35">
      <c r="A1636">
        <v>111</v>
      </c>
      <c r="B1636" t="s">
        <v>28</v>
      </c>
    </row>
    <row r="1637" spans="1:2" x14ac:dyDescent="0.35">
      <c r="A1637">
        <v>111</v>
      </c>
      <c r="B1637">
        <v>459</v>
      </c>
    </row>
    <row r="1638" spans="1:2" x14ac:dyDescent="0.35">
      <c r="A1638">
        <v>111</v>
      </c>
      <c r="B1638" t="s">
        <v>25</v>
      </c>
    </row>
    <row r="1639" spans="1:2" x14ac:dyDescent="0.35">
      <c r="A1639">
        <v>111</v>
      </c>
      <c r="B1639" s="2">
        <v>4.1099999999999998E-2</v>
      </c>
    </row>
    <row r="1640" spans="1:2" x14ac:dyDescent="0.35">
      <c r="A1640">
        <v>111</v>
      </c>
      <c r="B1640" t="s">
        <v>29</v>
      </c>
    </row>
    <row r="1641" spans="1:2" x14ac:dyDescent="0.35">
      <c r="A1641">
        <v>111</v>
      </c>
      <c r="B1641" s="2">
        <v>-7.9299999999999995E-2</v>
      </c>
    </row>
    <row r="1642" spans="1:2" x14ac:dyDescent="0.35">
      <c r="A1642">
        <v>111</v>
      </c>
      <c r="B1642" t="s">
        <v>30</v>
      </c>
    </row>
    <row r="1643" spans="1:2" x14ac:dyDescent="0.35">
      <c r="A1643">
        <v>111</v>
      </c>
      <c r="B1643" s="2">
        <v>-0.46013999999999999</v>
      </c>
    </row>
    <row r="1644" spans="1:2" x14ac:dyDescent="0.35">
      <c r="A1644">
        <v>111</v>
      </c>
      <c r="B1644" t="s">
        <v>8</v>
      </c>
    </row>
    <row r="1645" spans="1:2" x14ac:dyDescent="0.35">
      <c r="A1645">
        <v>111</v>
      </c>
      <c r="B1645" s="2">
        <v>0.59299999999999997</v>
      </c>
    </row>
    <row r="1646" spans="1:2" x14ac:dyDescent="0.35">
      <c r="A1646">
        <v>111</v>
      </c>
      <c r="B1646" t="s">
        <v>31</v>
      </c>
    </row>
    <row r="1647" spans="1:2" x14ac:dyDescent="0.35">
      <c r="A1647">
        <v>111</v>
      </c>
      <c r="B1647">
        <v>-0.29099999999999998</v>
      </c>
    </row>
    <row r="1648" spans="1:2" x14ac:dyDescent="0.35">
      <c r="A1648">
        <v>111</v>
      </c>
      <c r="B1648" t="s">
        <v>32</v>
      </c>
    </row>
    <row r="1649" spans="1:2" x14ac:dyDescent="0.35">
      <c r="A1649">
        <v>111</v>
      </c>
      <c r="B1649" s="2">
        <v>-0.32754</v>
      </c>
    </row>
    <row r="1650" spans="1:2" x14ac:dyDescent="0.35">
      <c r="A1650">
        <v>111</v>
      </c>
      <c r="B1650" t="s">
        <v>33</v>
      </c>
    </row>
    <row r="1651" spans="1:2" x14ac:dyDescent="0.35">
      <c r="A1651">
        <v>111</v>
      </c>
      <c r="B1651" s="3">
        <v>0.53</v>
      </c>
    </row>
    <row r="1652" spans="1:2" x14ac:dyDescent="0.35">
      <c r="A1652">
        <v>111</v>
      </c>
      <c r="B1652" t="s">
        <v>34</v>
      </c>
    </row>
    <row r="1653" spans="1:2" x14ac:dyDescent="0.35">
      <c r="A1653">
        <v>111</v>
      </c>
      <c r="B1653" s="3">
        <v>0.47</v>
      </c>
    </row>
    <row r="1654" spans="1:2" x14ac:dyDescent="0.35">
      <c r="A1654">
        <v>111</v>
      </c>
      <c r="B1654" t="s">
        <v>26</v>
      </c>
    </row>
    <row r="1655" spans="1:2" x14ac:dyDescent="0.35">
      <c r="A1655">
        <v>111</v>
      </c>
      <c r="B1655">
        <v>0.52</v>
      </c>
    </row>
    <row r="1656" spans="1:2" x14ac:dyDescent="0.35">
      <c r="A1656">
        <v>111</v>
      </c>
      <c r="B1656" t="s">
        <v>23</v>
      </c>
    </row>
    <row r="1657" spans="1:2" x14ac:dyDescent="0.35">
      <c r="A1657">
        <v>111</v>
      </c>
      <c r="B1657">
        <v>-0.36</v>
      </c>
    </row>
    <row r="1658" spans="1:2" x14ac:dyDescent="0.35">
      <c r="A1658">
        <v>111</v>
      </c>
      <c r="B1658" t="s">
        <v>24</v>
      </c>
    </row>
    <row r="1659" spans="1:2" x14ac:dyDescent="0.35">
      <c r="A1659">
        <v>111</v>
      </c>
      <c r="B1659">
        <v>2.1549999999999998</v>
      </c>
    </row>
    <row r="1660" spans="1:2" x14ac:dyDescent="0.35">
      <c r="A1660">
        <v>111</v>
      </c>
      <c r="B1660" t="s">
        <v>35</v>
      </c>
    </row>
    <row r="1661" spans="1:2" x14ac:dyDescent="0.35">
      <c r="A1661">
        <v>111</v>
      </c>
      <c r="B1661">
        <v>0.60599999999999998</v>
      </c>
    </row>
    <row r="1662" spans="1:2" x14ac:dyDescent="0.35">
      <c r="A1662">
        <v>111</v>
      </c>
      <c r="B1662" t="s">
        <v>36</v>
      </c>
    </row>
    <row r="1663" spans="1:2" x14ac:dyDescent="0.35">
      <c r="A1663">
        <v>111</v>
      </c>
      <c r="B1663">
        <v>0.36699999999999999</v>
      </c>
    </row>
    <row r="1664" spans="1:2" x14ac:dyDescent="0.35">
      <c r="A1664">
        <v>111</v>
      </c>
      <c r="B1664" t="s">
        <v>37</v>
      </c>
    </row>
    <row r="1665" spans="1:2" x14ac:dyDescent="0.35">
      <c r="A1665">
        <v>111</v>
      </c>
      <c r="B1665">
        <v>-0.48199999999999998</v>
      </c>
    </row>
    <row r="1666" spans="1:2" x14ac:dyDescent="0.35">
      <c r="A1666">
        <v>111</v>
      </c>
      <c r="B1666" t="s">
        <v>38</v>
      </c>
    </row>
    <row r="1667" spans="1:2" x14ac:dyDescent="0.35">
      <c r="A1667">
        <v>111</v>
      </c>
      <c r="B1667">
        <v>0.59299999999999997</v>
      </c>
    </row>
    <row r="1668" spans="1:2" x14ac:dyDescent="0.35">
      <c r="A1668">
        <v>111</v>
      </c>
      <c r="B1668" t="s">
        <v>39</v>
      </c>
    </row>
    <row r="1669" spans="1:2" x14ac:dyDescent="0.35">
      <c r="A1669">
        <v>111</v>
      </c>
      <c r="B1669">
        <v>-0.10299999999999999</v>
      </c>
    </row>
    <row r="1670" spans="1:2" x14ac:dyDescent="0.35">
      <c r="A1670">
        <v>111</v>
      </c>
      <c r="B1670" t="s">
        <v>40</v>
      </c>
    </row>
    <row r="1671" spans="1:2" x14ac:dyDescent="0.35">
      <c r="A1671">
        <v>111</v>
      </c>
      <c r="B1671" s="4">
        <v>0</v>
      </c>
    </row>
    <row r="1672" spans="1:2" x14ac:dyDescent="0.35">
      <c r="A1672">
        <v>111</v>
      </c>
      <c r="B1672" t="s">
        <v>41</v>
      </c>
    </row>
    <row r="1673" spans="1:2" x14ac:dyDescent="0.35">
      <c r="A1673">
        <v>111</v>
      </c>
      <c r="B1673" s="4">
        <v>19000000</v>
      </c>
    </row>
    <row r="1674" spans="1:2" x14ac:dyDescent="0.35">
      <c r="A1674">
        <v>111</v>
      </c>
      <c r="B1674" t="s">
        <v>42</v>
      </c>
    </row>
    <row r="1675" spans="1:2" x14ac:dyDescent="0.35">
      <c r="A1675">
        <v>111</v>
      </c>
      <c r="B1675" t="s">
        <v>44</v>
      </c>
    </row>
    <row r="1676" spans="1:2" x14ac:dyDescent="0.35">
      <c r="A1676">
        <v>112</v>
      </c>
      <c r="B1676" t="s">
        <v>27</v>
      </c>
    </row>
    <row r="1677" spans="1:2" x14ac:dyDescent="0.35">
      <c r="A1677">
        <v>112</v>
      </c>
      <c r="B1677" s="2">
        <v>9.3880000000000005E-2</v>
      </c>
    </row>
    <row r="1678" spans="1:2" x14ac:dyDescent="0.35">
      <c r="A1678">
        <v>112</v>
      </c>
      <c r="B1678" t="s">
        <v>1</v>
      </c>
    </row>
    <row r="1679" spans="1:2" x14ac:dyDescent="0.35">
      <c r="A1679">
        <v>112</v>
      </c>
      <c r="B1679">
        <v>-0.36699999999999999</v>
      </c>
    </row>
    <row r="1680" spans="1:2" x14ac:dyDescent="0.35">
      <c r="A1680">
        <v>112</v>
      </c>
      <c r="B1680" t="s">
        <v>28</v>
      </c>
    </row>
    <row r="1681" spans="1:2" x14ac:dyDescent="0.35">
      <c r="A1681">
        <v>112</v>
      </c>
      <c r="B1681">
        <v>459</v>
      </c>
    </row>
    <row r="1682" spans="1:2" x14ac:dyDescent="0.35">
      <c r="A1682">
        <v>112</v>
      </c>
      <c r="B1682" t="s">
        <v>25</v>
      </c>
    </row>
    <row r="1683" spans="1:2" x14ac:dyDescent="0.35">
      <c r="A1683">
        <v>112</v>
      </c>
      <c r="B1683" s="2">
        <v>4.1099999999999998E-2</v>
      </c>
    </row>
    <row r="1684" spans="1:2" x14ac:dyDescent="0.35">
      <c r="A1684">
        <v>112</v>
      </c>
      <c r="B1684" t="s">
        <v>29</v>
      </c>
    </row>
    <row r="1685" spans="1:2" x14ac:dyDescent="0.35">
      <c r="A1685">
        <v>112</v>
      </c>
      <c r="B1685" s="2">
        <v>-7.9299999999999995E-2</v>
      </c>
    </row>
    <row r="1686" spans="1:2" x14ac:dyDescent="0.35">
      <c r="A1686">
        <v>112</v>
      </c>
      <c r="B1686" t="s">
        <v>30</v>
      </c>
    </row>
    <row r="1687" spans="1:2" x14ac:dyDescent="0.35">
      <c r="A1687">
        <v>112</v>
      </c>
      <c r="B1687" s="2">
        <v>-0.46013999999999999</v>
      </c>
    </row>
    <row r="1688" spans="1:2" x14ac:dyDescent="0.35">
      <c r="A1688">
        <v>112</v>
      </c>
      <c r="B1688" t="s">
        <v>8</v>
      </c>
    </row>
    <row r="1689" spans="1:2" x14ac:dyDescent="0.35">
      <c r="A1689">
        <v>112</v>
      </c>
      <c r="B1689" s="2">
        <v>0.59299999999999997</v>
      </c>
    </row>
    <row r="1690" spans="1:2" x14ac:dyDescent="0.35">
      <c r="A1690">
        <v>112</v>
      </c>
      <c r="B1690" t="s">
        <v>31</v>
      </c>
    </row>
    <row r="1691" spans="1:2" x14ac:dyDescent="0.35">
      <c r="A1691">
        <v>112</v>
      </c>
      <c r="B1691">
        <v>-0.29099999999999998</v>
      </c>
    </row>
    <row r="1692" spans="1:2" x14ac:dyDescent="0.35">
      <c r="A1692">
        <v>112</v>
      </c>
      <c r="B1692" t="s">
        <v>32</v>
      </c>
    </row>
    <row r="1693" spans="1:2" x14ac:dyDescent="0.35">
      <c r="A1693">
        <v>112</v>
      </c>
      <c r="B1693" s="2">
        <v>-0.32754</v>
      </c>
    </row>
    <row r="1694" spans="1:2" x14ac:dyDescent="0.35">
      <c r="A1694">
        <v>112</v>
      </c>
      <c r="B1694" t="s">
        <v>33</v>
      </c>
    </row>
    <row r="1695" spans="1:2" x14ac:dyDescent="0.35">
      <c r="A1695">
        <v>112</v>
      </c>
      <c r="B1695" s="3">
        <v>0.53</v>
      </c>
    </row>
    <row r="1696" spans="1:2" x14ac:dyDescent="0.35">
      <c r="A1696">
        <v>112</v>
      </c>
      <c r="B1696" t="s">
        <v>34</v>
      </c>
    </row>
    <row r="1697" spans="1:2" x14ac:dyDescent="0.35">
      <c r="A1697">
        <v>112</v>
      </c>
      <c r="B1697" s="3">
        <v>0.47</v>
      </c>
    </row>
    <row r="1698" spans="1:2" x14ac:dyDescent="0.35">
      <c r="A1698">
        <v>112</v>
      </c>
      <c r="B1698" t="s">
        <v>26</v>
      </c>
    </row>
    <row r="1699" spans="1:2" x14ac:dyDescent="0.35">
      <c r="A1699">
        <v>112</v>
      </c>
      <c r="B1699">
        <v>0.52</v>
      </c>
    </row>
    <row r="1700" spans="1:2" x14ac:dyDescent="0.35">
      <c r="A1700">
        <v>112</v>
      </c>
      <c r="B1700" t="s">
        <v>23</v>
      </c>
    </row>
    <row r="1701" spans="1:2" x14ac:dyDescent="0.35">
      <c r="A1701">
        <v>112</v>
      </c>
      <c r="B1701">
        <v>-0.36</v>
      </c>
    </row>
    <row r="1702" spans="1:2" x14ac:dyDescent="0.35">
      <c r="A1702">
        <v>112</v>
      </c>
      <c r="B1702" t="s">
        <v>24</v>
      </c>
    </row>
    <row r="1703" spans="1:2" x14ac:dyDescent="0.35">
      <c r="A1703">
        <v>112</v>
      </c>
      <c r="B1703">
        <v>2.1549999999999998</v>
      </c>
    </row>
    <row r="1704" spans="1:2" x14ac:dyDescent="0.35">
      <c r="A1704">
        <v>112</v>
      </c>
      <c r="B1704" t="s">
        <v>35</v>
      </c>
    </row>
    <row r="1705" spans="1:2" x14ac:dyDescent="0.35">
      <c r="A1705">
        <v>112</v>
      </c>
      <c r="B1705">
        <v>0.60599999999999998</v>
      </c>
    </row>
    <row r="1706" spans="1:2" x14ac:dyDescent="0.35">
      <c r="A1706">
        <v>112</v>
      </c>
      <c r="B1706" t="s">
        <v>36</v>
      </c>
    </row>
    <row r="1707" spans="1:2" x14ac:dyDescent="0.35">
      <c r="A1707">
        <v>112</v>
      </c>
      <c r="B1707">
        <v>0.36699999999999999</v>
      </c>
    </row>
    <row r="1708" spans="1:2" x14ac:dyDescent="0.35">
      <c r="A1708">
        <v>112</v>
      </c>
      <c r="B1708" t="s">
        <v>37</v>
      </c>
    </row>
    <row r="1709" spans="1:2" x14ac:dyDescent="0.35">
      <c r="A1709">
        <v>112</v>
      </c>
      <c r="B1709">
        <v>-0.48199999999999998</v>
      </c>
    </row>
    <row r="1710" spans="1:2" x14ac:dyDescent="0.35">
      <c r="A1710">
        <v>112</v>
      </c>
      <c r="B1710" t="s">
        <v>38</v>
      </c>
    </row>
    <row r="1711" spans="1:2" x14ac:dyDescent="0.35">
      <c r="A1711">
        <v>112</v>
      </c>
      <c r="B1711">
        <v>0.59299999999999997</v>
      </c>
    </row>
    <row r="1712" spans="1:2" x14ac:dyDescent="0.35">
      <c r="A1712">
        <v>112</v>
      </c>
      <c r="B1712" t="s">
        <v>39</v>
      </c>
    </row>
    <row r="1713" spans="1:2" x14ac:dyDescent="0.35">
      <c r="A1713">
        <v>112</v>
      </c>
      <c r="B1713">
        <v>-0.10299999999999999</v>
      </c>
    </row>
    <row r="1714" spans="1:2" x14ac:dyDescent="0.35">
      <c r="A1714">
        <v>112</v>
      </c>
      <c r="B1714" t="s">
        <v>40</v>
      </c>
    </row>
    <row r="1715" spans="1:2" x14ac:dyDescent="0.35">
      <c r="A1715">
        <v>112</v>
      </c>
      <c r="B1715" s="4">
        <v>0</v>
      </c>
    </row>
    <row r="1716" spans="1:2" x14ac:dyDescent="0.35">
      <c r="A1716">
        <v>112</v>
      </c>
      <c r="B1716" t="s">
        <v>41</v>
      </c>
    </row>
    <row r="1717" spans="1:2" x14ac:dyDescent="0.35">
      <c r="A1717">
        <v>112</v>
      </c>
      <c r="B1717" s="4">
        <v>19000000</v>
      </c>
    </row>
    <row r="1718" spans="1:2" x14ac:dyDescent="0.35">
      <c r="A1718">
        <v>112</v>
      </c>
      <c r="B1718" t="s">
        <v>42</v>
      </c>
    </row>
    <row r="1719" spans="1:2" x14ac:dyDescent="0.35">
      <c r="A1719">
        <v>112</v>
      </c>
      <c r="B1719" t="s">
        <v>44</v>
      </c>
    </row>
    <row r="1720" spans="1:2" x14ac:dyDescent="0.35">
      <c r="A1720">
        <v>113</v>
      </c>
      <c r="B1720" t="s">
        <v>27</v>
      </c>
    </row>
    <row r="1721" spans="1:2" x14ac:dyDescent="0.35">
      <c r="A1721">
        <v>113</v>
      </c>
      <c r="B1721" s="2">
        <v>9.3880000000000005E-2</v>
      </c>
    </row>
    <row r="1722" spans="1:2" x14ac:dyDescent="0.35">
      <c r="A1722">
        <v>113</v>
      </c>
      <c r="B1722" t="s">
        <v>1</v>
      </c>
    </row>
    <row r="1723" spans="1:2" x14ac:dyDescent="0.35">
      <c r="A1723">
        <v>113</v>
      </c>
      <c r="B1723">
        <v>-0.36699999999999999</v>
      </c>
    </row>
    <row r="1724" spans="1:2" x14ac:dyDescent="0.35">
      <c r="A1724">
        <v>113</v>
      </c>
      <c r="B1724" t="s">
        <v>28</v>
      </c>
    </row>
    <row r="1725" spans="1:2" x14ac:dyDescent="0.35">
      <c r="A1725">
        <v>113</v>
      </c>
      <c r="B1725">
        <v>459</v>
      </c>
    </row>
    <row r="1726" spans="1:2" x14ac:dyDescent="0.35">
      <c r="A1726">
        <v>113</v>
      </c>
      <c r="B1726" t="s">
        <v>25</v>
      </c>
    </row>
    <row r="1727" spans="1:2" x14ac:dyDescent="0.35">
      <c r="A1727">
        <v>113</v>
      </c>
      <c r="B1727" s="2">
        <v>4.1099999999999998E-2</v>
      </c>
    </row>
    <row r="1728" spans="1:2" x14ac:dyDescent="0.35">
      <c r="A1728">
        <v>113</v>
      </c>
      <c r="B1728" t="s">
        <v>29</v>
      </c>
    </row>
    <row r="1729" spans="1:2" x14ac:dyDescent="0.35">
      <c r="A1729">
        <v>113</v>
      </c>
      <c r="B1729" s="2">
        <v>-7.9299999999999995E-2</v>
      </c>
    </row>
    <row r="1730" spans="1:2" x14ac:dyDescent="0.35">
      <c r="A1730">
        <v>113</v>
      </c>
      <c r="B1730" t="s">
        <v>30</v>
      </c>
    </row>
    <row r="1731" spans="1:2" x14ac:dyDescent="0.35">
      <c r="A1731">
        <v>113</v>
      </c>
      <c r="B1731" s="2">
        <v>-0.46013999999999999</v>
      </c>
    </row>
    <row r="1732" spans="1:2" x14ac:dyDescent="0.35">
      <c r="A1732">
        <v>113</v>
      </c>
      <c r="B1732" t="s">
        <v>8</v>
      </c>
    </row>
    <row r="1733" spans="1:2" x14ac:dyDescent="0.35">
      <c r="A1733">
        <v>113</v>
      </c>
      <c r="B1733" s="2">
        <v>0.59299999999999997</v>
      </c>
    </row>
    <row r="1734" spans="1:2" x14ac:dyDescent="0.35">
      <c r="A1734">
        <v>113</v>
      </c>
      <c r="B1734" t="s">
        <v>31</v>
      </c>
    </row>
    <row r="1735" spans="1:2" x14ac:dyDescent="0.35">
      <c r="A1735">
        <v>113</v>
      </c>
      <c r="B1735">
        <v>-0.29099999999999998</v>
      </c>
    </row>
    <row r="1736" spans="1:2" x14ac:dyDescent="0.35">
      <c r="A1736">
        <v>113</v>
      </c>
      <c r="B1736" t="s">
        <v>32</v>
      </c>
    </row>
    <row r="1737" spans="1:2" x14ac:dyDescent="0.35">
      <c r="A1737">
        <v>113</v>
      </c>
      <c r="B1737" s="2">
        <v>-0.32754</v>
      </c>
    </row>
    <row r="1738" spans="1:2" x14ac:dyDescent="0.35">
      <c r="A1738">
        <v>113</v>
      </c>
      <c r="B1738" t="s">
        <v>33</v>
      </c>
    </row>
    <row r="1739" spans="1:2" x14ac:dyDescent="0.35">
      <c r="A1739">
        <v>113</v>
      </c>
      <c r="B1739" s="3">
        <v>0.53</v>
      </c>
    </row>
    <row r="1740" spans="1:2" x14ac:dyDescent="0.35">
      <c r="A1740">
        <v>113</v>
      </c>
      <c r="B1740" t="s">
        <v>34</v>
      </c>
    </row>
    <row r="1741" spans="1:2" x14ac:dyDescent="0.35">
      <c r="A1741">
        <v>113</v>
      </c>
      <c r="B1741" s="3">
        <v>0.47</v>
      </c>
    </row>
    <row r="1742" spans="1:2" x14ac:dyDescent="0.35">
      <c r="A1742">
        <v>113</v>
      </c>
      <c r="B1742" t="s">
        <v>26</v>
      </c>
    </row>
    <row r="1743" spans="1:2" x14ac:dyDescent="0.35">
      <c r="A1743">
        <v>113</v>
      </c>
      <c r="B1743">
        <v>0.52</v>
      </c>
    </row>
    <row r="1744" spans="1:2" x14ac:dyDescent="0.35">
      <c r="A1744">
        <v>113</v>
      </c>
      <c r="B1744" t="s">
        <v>23</v>
      </c>
    </row>
    <row r="1745" spans="1:2" x14ac:dyDescent="0.35">
      <c r="A1745">
        <v>113</v>
      </c>
      <c r="B1745">
        <v>-0.36</v>
      </c>
    </row>
    <row r="1746" spans="1:2" x14ac:dyDescent="0.35">
      <c r="A1746">
        <v>113</v>
      </c>
      <c r="B1746" t="s">
        <v>24</v>
      </c>
    </row>
    <row r="1747" spans="1:2" x14ac:dyDescent="0.35">
      <c r="A1747">
        <v>113</v>
      </c>
      <c r="B1747">
        <v>2.1549999999999998</v>
      </c>
    </row>
    <row r="1748" spans="1:2" x14ac:dyDescent="0.35">
      <c r="A1748">
        <v>113</v>
      </c>
      <c r="B1748" t="s">
        <v>35</v>
      </c>
    </row>
    <row r="1749" spans="1:2" x14ac:dyDescent="0.35">
      <c r="A1749">
        <v>113</v>
      </c>
      <c r="B1749">
        <v>0.60599999999999998</v>
      </c>
    </row>
    <row r="1750" spans="1:2" x14ac:dyDescent="0.35">
      <c r="A1750">
        <v>113</v>
      </c>
      <c r="B1750" t="s">
        <v>36</v>
      </c>
    </row>
    <row r="1751" spans="1:2" x14ac:dyDescent="0.35">
      <c r="A1751">
        <v>113</v>
      </c>
      <c r="B1751">
        <v>0.36699999999999999</v>
      </c>
    </row>
    <row r="1752" spans="1:2" x14ac:dyDescent="0.35">
      <c r="A1752">
        <v>113</v>
      </c>
      <c r="B1752" t="s">
        <v>37</v>
      </c>
    </row>
    <row r="1753" spans="1:2" x14ac:dyDescent="0.35">
      <c r="A1753">
        <v>113</v>
      </c>
      <c r="B1753">
        <v>-0.48199999999999998</v>
      </c>
    </row>
    <row r="1754" spans="1:2" x14ac:dyDescent="0.35">
      <c r="A1754">
        <v>113</v>
      </c>
      <c r="B1754" t="s">
        <v>38</v>
      </c>
    </row>
    <row r="1755" spans="1:2" x14ac:dyDescent="0.35">
      <c r="A1755">
        <v>113</v>
      </c>
      <c r="B1755">
        <v>0.59299999999999997</v>
      </c>
    </row>
    <row r="1756" spans="1:2" x14ac:dyDescent="0.35">
      <c r="A1756">
        <v>113</v>
      </c>
      <c r="B1756" t="s">
        <v>39</v>
      </c>
    </row>
    <row r="1757" spans="1:2" x14ac:dyDescent="0.35">
      <c r="A1757">
        <v>113</v>
      </c>
      <c r="B1757">
        <v>-0.10299999999999999</v>
      </c>
    </row>
    <row r="1758" spans="1:2" x14ac:dyDescent="0.35">
      <c r="A1758">
        <v>113</v>
      </c>
      <c r="B1758" t="s">
        <v>40</v>
      </c>
    </row>
    <row r="1759" spans="1:2" x14ac:dyDescent="0.35">
      <c r="A1759">
        <v>113</v>
      </c>
      <c r="B1759" s="4">
        <v>0</v>
      </c>
    </row>
    <row r="1760" spans="1:2" x14ac:dyDescent="0.35">
      <c r="A1760">
        <v>113</v>
      </c>
      <c r="B1760" t="s">
        <v>41</v>
      </c>
    </row>
    <row r="1761" spans="1:2" x14ac:dyDescent="0.35">
      <c r="A1761">
        <v>113</v>
      </c>
      <c r="B1761" s="4">
        <v>19000000</v>
      </c>
    </row>
    <row r="1762" spans="1:2" x14ac:dyDescent="0.35">
      <c r="A1762">
        <v>113</v>
      </c>
      <c r="B1762" t="s">
        <v>42</v>
      </c>
    </row>
    <row r="1763" spans="1:2" x14ac:dyDescent="0.35">
      <c r="A1763">
        <v>113</v>
      </c>
      <c r="B1763" t="s">
        <v>44</v>
      </c>
    </row>
    <row r="1764" spans="1:2" x14ac:dyDescent="0.35">
      <c r="A1764">
        <v>114</v>
      </c>
      <c r="B1764" t="s">
        <v>27</v>
      </c>
    </row>
    <row r="1765" spans="1:2" x14ac:dyDescent="0.35">
      <c r="A1765">
        <v>114</v>
      </c>
      <c r="B1765" s="2">
        <v>9.3880000000000005E-2</v>
      </c>
    </row>
    <row r="1766" spans="1:2" x14ac:dyDescent="0.35">
      <c r="A1766">
        <v>114</v>
      </c>
      <c r="B1766" t="s">
        <v>1</v>
      </c>
    </row>
    <row r="1767" spans="1:2" x14ac:dyDescent="0.35">
      <c r="A1767">
        <v>114</v>
      </c>
      <c r="B1767">
        <v>-0.36699999999999999</v>
      </c>
    </row>
    <row r="1768" spans="1:2" x14ac:dyDescent="0.35">
      <c r="A1768">
        <v>114</v>
      </c>
      <c r="B1768" t="s">
        <v>28</v>
      </c>
    </row>
    <row r="1769" spans="1:2" x14ac:dyDescent="0.35">
      <c r="A1769">
        <v>114</v>
      </c>
      <c r="B1769">
        <v>459</v>
      </c>
    </row>
    <row r="1770" spans="1:2" x14ac:dyDescent="0.35">
      <c r="A1770">
        <v>114</v>
      </c>
      <c r="B1770" t="s">
        <v>25</v>
      </c>
    </row>
    <row r="1771" spans="1:2" x14ac:dyDescent="0.35">
      <c r="A1771">
        <v>114</v>
      </c>
      <c r="B1771" s="2">
        <v>4.1099999999999998E-2</v>
      </c>
    </row>
    <row r="1772" spans="1:2" x14ac:dyDescent="0.35">
      <c r="A1772">
        <v>114</v>
      </c>
      <c r="B1772" t="s">
        <v>29</v>
      </c>
    </row>
    <row r="1773" spans="1:2" x14ac:dyDescent="0.35">
      <c r="A1773">
        <v>114</v>
      </c>
      <c r="B1773" s="2">
        <v>-7.9299999999999995E-2</v>
      </c>
    </row>
    <row r="1774" spans="1:2" x14ac:dyDescent="0.35">
      <c r="A1774">
        <v>114</v>
      </c>
      <c r="B1774" t="s">
        <v>30</v>
      </c>
    </row>
    <row r="1775" spans="1:2" x14ac:dyDescent="0.35">
      <c r="A1775">
        <v>114</v>
      </c>
      <c r="B1775" s="2">
        <v>-0.46013999999999999</v>
      </c>
    </row>
    <row r="1776" spans="1:2" x14ac:dyDescent="0.35">
      <c r="A1776">
        <v>114</v>
      </c>
      <c r="B1776" t="s">
        <v>8</v>
      </c>
    </row>
    <row r="1777" spans="1:2" x14ac:dyDescent="0.35">
      <c r="A1777">
        <v>114</v>
      </c>
      <c r="B1777" s="2">
        <v>0.59299999999999997</v>
      </c>
    </row>
    <row r="1778" spans="1:2" x14ac:dyDescent="0.35">
      <c r="A1778">
        <v>114</v>
      </c>
      <c r="B1778" t="s">
        <v>31</v>
      </c>
    </row>
    <row r="1779" spans="1:2" x14ac:dyDescent="0.35">
      <c r="A1779">
        <v>114</v>
      </c>
      <c r="B1779">
        <v>-0.29099999999999998</v>
      </c>
    </row>
    <row r="1780" spans="1:2" x14ac:dyDescent="0.35">
      <c r="A1780">
        <v>114</v>
      </c>
      <c r="B1780" t="s">
        <v>32</v>
      </c>
    </row>
    <row r="1781" spans="1:2" x14ac:dyDescent="0.35">
      <c r="A1781">
        <v>114</v>
      </c>
      <c r="B1781" s="2">
        <v>-0.32754</v>
      </c>
    </row>
    <row r="1782" spans="1:2" x14ac:dyDescent="0.35">
      <c r="A1782">
        <v>114</v>
      </c>
      <c r="B1782" t="s">
        <v>33</v>
      </c>
    </row>
    <row r="1783" spans="1:2" x14ac:dyDescent="0.35">
      <c r="A1783">
        <v>114</v>
      </c>
      <c r="B1783" s="3">
        <v>0.53</v>
      </c>
    </row>
    <row r="1784" spans="1:2" x14ac:dyDescent="0.35">
      <c r="A1784">
        <v>114</v>
      </c>
      <c r="B1784" t="s">
        <v>34</v>
      </c>
    </row>
    <row r="1785" spans="1:2" x14ac:dyDescent="0.35">
      <c r="A1785">
        <v>114</v>
      </c>
      <c r="B1785" s="3">
        <v>0.47</v>
      </c>
    </row>
    <row r="1786" spans="1:2" x14ac:dyDescent="0.35">
      <c r="A1786">
        <v>114</v>
      </c>
      <c r="B1786" t="s">
        <v>26</v>
      </c>
    </row>
    <row r="1787" spans="1:2" x14ac:dyDescent="0.35">
      <c r="A1787">
        <v>114</v>
      </c>
      <c r="B1787">
        <v>0.52</v>
      </c>
    </row>
    <row r="1788" spans="1:2" x14ac:dyDescent="0.35">
      <c r="A1788">
        <v>114</v>
      </c>
      <c r="B1788" t="s">
        <v>23</v>
      </c>
    </row>
    <row r="1789" spans="1:2" x14ac:dyDescent="0.35">
      <c r="A1789">
        <v>114</v>
      </c>
      <c r="B1789">
        <v>-0.36</v>
      </c>
    </row>
    <row r="1790" spans="1:2" x14ac:dyDescent="0.35">
      <c r="A1790">
        <v>114</v>
      </c>
      <c r="B1790" t="s">
        <v>24</v>
      </c>
    </row>
    <row r="1791" spans="1:2" x14ac:dyDescent="0.35">
      <c r="A1791">
        <v>114</v>
      </c>
      <c r="B1791">
        <v>2.1549999999999998</v>
      </c>
    </row>
    <row r="1792" spans="1:2" x14ac:dyDescent="0.35">
      <c r="A1792">
        <v>114</v>
      </c>
      <c r="B1792" t="s">
        <v>35</v>
      </c>
    </row>
    <row r="1793" spans="1:2" x14ac:dyDescent="0.35">
      <c r="A1793">
        <v>114</v>
      </c>
      <c r="B1793">
        <v>0.60599999999999998</v>
      </c>
    </row>
    <row r="1794" spans="1:2" x14ac:dyDescent="0.35">
      <c r="A1794">
        <v>114</v>
      </c>
      <c r="B1794" t="s">
        <v>36</v>
      </c>
    </row>
    <row r="1795" spans="1:2" x14ac:dyDescent="0.35">
      <c r="A1795">
        <v>114</v>
      </c>
      <c r="B1795">
        <v>0.36699999999999999</v>
      </c>
    </row>
    <row r="1796" spans="1:2" x14ac:dyDescent="0.35">
      <c r="A1796">
        <v>114</v>
      </c>
      <c r="B1796" t="s">
        <v>37</v>
      </c>
    </row>
    <row r="1797" spans="1:2" x14ac:dyDescent="0.35">
      <c r="A1797">
        <v>114</v>
      </c>
      <c r="B1797">
        <v>-0.48199999999999998</v>
      </c>
    </row>
    <row r="1798" spans="1:2" x14ac:dyDescent="0.35">
      <c r="A1798">
        <v>114</v>
      </c>
      <c r="B1798" t="s">
        <v>38</v>
      </c>
    </row>
    <row r="1799" spans="1:2" x14ac:dyDescent="0.35">
      <c r="A1799">
        <v>114</v>
      </c>
      <c r="B1799">
        <v>0.59299999999999997</v>
      </c>
    </row>
    <row r="1800" spans="1:2" x14ac:dyDescent="0.35">
      <c r="A1800">
        <v>114</v>
      </c>
      <c r="B1800" t="s">
        <v>39</v>
      </c>
    </row>
    <row r="1801" spans="1:2" x14ac:dyDescent="0.35">
      <c r="A1801">
        <v>114</v>
      </c>
      <c r="B1801">
        <v>-0.10299999999999999</v>
      </c>
    </row>
    <row r="1802" spans="1:2" x14ac:dyDescent="0.35">
      <c r="A1802">
        <v>114</v>
      </c>
      <c r="B1802" t="s">
        <v>40</v>
      </c>
    </row>
    <row r="1803" spans="1:2" x14ac:dyDescent="0.35">
      <c r="A1803">
        <v>114</v>
      </c>
      <c r="B1803" s="4">
        <v>0</v>
      </c>
    </row>
    <row r="1804" spans="1:2" x14ac:dyDescent="0.35">
      <c r="A1804">
        <v>114</v>
      </c>
      <c r="B1804" t="s">
        <v>41</v>
      </c>
    </row>
    <row r="1805" spans="1:2" x14ac:dyDescent="0.35">
      <c r="A1805">
        <v>114</v>
      </c>
      <c r="B1805" s="4">
        <v>19000000</v>
      </c>
    </row>
    <row r="1806" spans="1:2" x14ac:dyDescent="0.35">
      <c r="A1806">
        <v>114</v>
      </c>
      <c r="B1806" t="s">
        <v>42</v>
      </c>
    </row>
    <row r="1807" spans="1:2" x14ac:dyDescent="0.35">
      <c r="A1807">
        <v>114</v>
      </c>
      <c r="B1807" t="s">
        <v>44</v>
      </c>
    </row>
    <row r="1808" spans="1:2" x14ac:dyDescent="0.35">
      <c r="A1808">
        <v>115</v>
      </c>
      <c r="B1808" t="s">
        <v>27</v>
      </c>
    </row>
    <row r="1809" spans="1:2" x14ac:dyDescent="0.35">
      <c r="A1809">
        <v>115</v>
      </c>
      <c r="B1809" s="2">
        <v>9.3880000000000005E-2</v>
      </c>
    </row>
    <row r="1810" spans="1:2" x14ac:dyDescent="0.35">
      <c r="A1810">
        <v>115</v>
      </c>
      <c r="B1810" t="s">
        <v>1</v>
      </c>
    </row>
    <row r="1811" spans="1:2" x14ac:dyDescent="0.35">
      <c r="A1811">
        <v>115</v>
      </c>
      <c r="B1811">
        <v>-0.36699999999999999</v>
      </c>
    </row>
    <row r="1812" spans="1:2" x14ac:dyDescent="0.35">
      <c r="A1812">
        <v>115</v>
      </c>
      <c r="B1812" t="s">
        <v>28</v>
      </c>
    </row>
    <row r="1813" spans="1:2" x14ac:dyDescent="0.35">
      <c r="A1813">
        <v>115</v>
      </c>
      <c r="B1813">
        <v>459</v>
      </c>
    </row>
    <row r="1814" spans="1:2" x14ac:dyDescent="0.35">
      <c r="A1814">
        <v>115</v>
      </c>
      <c r="B1814" t="s">
        <v>25</v>
      </c>
    </row>
    <row r="1815" spans="1:2" x14ac:dyDescent="0.35">
      <c r="A1815">
        <v>115</v>
      </c>
      <c r="B1815" s="2">
        <v>4.1099999999999998E-2</v>
      </c>
    </row>
    <row r="1816" spans="1:2" x14ac:dyDescent="0.35">
      <c r="A1816">
        <v>115</v>
      </c>
      <c r="B1816" t="s">
        <v>29</v>
      </c>
    </row>
    <row r="1817" spans="1:2" x14ac:dyDescent="0.35">
      <c r="A1817">
        <v>115</v>
      </c>
      <c r="B1817" s="2">
        <v>-7.9299999999999995E-2</v>
      </c>
    </row>
    <row r="1818" spans="1:2" x14ac:dyDescent="0.35">
      <c r="A1818">
        <v>115</v>
      </c>
      <c r="B1818" t="s">
        <v>30</v>
      </c>
    </row>
    <row r="1819" spans="1:2" x14ac:dyDescent="0.35">
      <c r="A1819">
        <v>115</v>
      </c>
      <c r="B1819" s="2">
        <v>-0.46013999999999999</v>
      </c>
    </row>
    <row r="1820" spans="1:2" x14ac:dyDescent="0.35">
      <c r="A1820">
        <v>115</v>
      </c>
      <c r="B1820" t="s">
        <v>8</v>
      </c>
    </row>
    <row r="1821" spans="1:2" x14ac:dyDescent="0.35">
      <c r="A1821">
        <v>115</v>
      </c>
      <c r="B1821" s="2">
        <v>0.59299999999999997</v>
      </c>
    </row>
    <row r="1822" spans="1:2" x14ac:dyDescent="0.35">
      <c r="A1822">
        <v>115</v>
      </c>
      <c r="B1822" t="s">
        <v>31</v>
      </c>
    </row>
    <row r="1823" spans="1:2" x14ac:dyDescent="0.35">
      <c r="A1823">
        <v>115</v>
      </c>
      <c r="B1823">
        <v>-0.29099999999999998</v>
      </c>
    </row>
    <row r="1824" spans="1:2" x14ac:dyDescent="0.35">
      <c r="A1824">
        <v>115</v>
      </c>
      <c r="B1824" t="s">
        <v>32</v>
      </c>
    </row>
    <row r="1825" spans="1:2" x14ac:dyDescent="0.35">
      <c r="A1825">
        <v>115</v>
      </c>
      <c r="B1825" s="2">
        <v>-0.32754</v>
      </c>
    </row>
    <row r="1826" spans="1:2" x14ac:dyDescent="0.35">
      <c r="A1826">
        <v>115</v>
      </c>
      <c r="B1826" t="s">
        <v>33</v>
      </c>
    </row>
    <row r="1827" spans="1:2" x14ac:dyDescent="0.35">
      <c r="A1827">
        <v>115</v>
      </c>
      <c r="B1827" s="3">
        <v>0.53</v>
      </c>
    </row>
    <row r="1828" spans="1:2" x14ac:dyDescent="0.35">
      <c r="A1828">
        <v>115</v>
      </c>
      <c r="B1828" t="s">
        <v>34</v>
      </c>
    </row>
    <row r="1829" spans="1:2" x14ac:dyDescent="0.35">
      <c r="A1829">
        <v>115</v>
      </c>
      <c r="B1829" s="3">
        <v>0.47</v>
      </c>
    </row>
    <row r="1830" spans="1:2" x14ac:dyDescent="0.35">
      <c r="A1830">
        <v>115</v>
      </c>
      <c r="B1830" t="s">
        <v>26</v>
      </c>
    </row>
    <row r="1831" spans="1:2" x14ac:dyDescent="0.35">
      <c r="A1831">
        <v>115</v>
      </c>
      <c r="B1831">
        <v>0.52</v>
      </c>
    </row>
    <row r="1832" spans="1:2" x14ac:dyDescent="0.35">
      <c r="A1832">
        <v>115</v>
      </c>
      <c r="B1832" t="s">
        <v>23</v>
      </c>
    </row>
    <row r="1833" spans="1:2" x14ac:dyDescent="0.35">
      <c r="A1833">
        <v>115</v>
      </c>
      <c r="B1833">
        <v>-0.36</v>
      </c>
    </row>
    <row r="1834" spans="1:2" x14ac:dyDescent="0.35">
      <c r="A1834">
        <v>115</v>
      </c>
      <c r="B1834" t="s">
        <v>24</v>
      </c>
    </row>
    <row r="1835" spans="1:2" x14ac:dyDescent="0.35">
      <c r="A1835">
        <v>115</v>
      </c>
      <c r="B1835">
        <v>2.1549999999999998</v>
      </c>
    </row>
    <row r="1836" spans="1:2" x14ac:dyDescent="0.35">
      <c r="A1836">
        <v>115</v>
      </c>
      <c r="B1836" t="s">
        <v>35</v>
      </c>
    </row>
    <row r="1837" spans="1:2" x14ac:dyDescent="0.35">
      <c r="A1837">
        <v>115</v>
      </c>
      <c r="B1837">
        <v>0.60599999999999998</v>
      </c>
    </row>
    <row r="1838" spans="1:2" x14ac:dyDescent="0.35">
      <c r="A1838">
        <v>115</v>
      </c>
      <c r="B1838" t="s">
        <v>36</v>
      </c>
    </row>
    <row r="1839" spans="1:2" x14ac:dyDescent="0.35">
      <c r="A1839">
        <v>115</v>
      </c>
      <c r="B1839">
        <v>0.36699999999999999</v>
      </c>
    </row>
    <row r="1840" spans="1:2" x14ac:dyDescent="0.35">
      <c r="A1840">
        <v>115</v>
      </c>
      <c r="B1840" t="s">
        <v>37</v>
      </c>
    </row>
    <row r="1841" spans="1:2" x14ac:dyDescent="0.35">
      <c r="A1841">
        <v>115</v>
      </c>
      <c r="B1841">
        <v>-0.48199999999999998</v>
      </c>
    </row>
    <row r="1842" spans="1:2" x14ac:dyDescent="0.35">
      <c r="A1842">
        <v>115</v>
      </c>
      <c r="B1842" t="s">
        <v>38</v>
      </c>
    </row>
    <row r="1843" spans="1:2" x14ac:dyDescent="0.35">
      <c r="A1843">
        <v>115</v>
      </c>
      <c r="B1843">
        <v>0.59299999999999997</v>
      </c>
    </row>
    <row r="1844" spans="1:2" x14ac:dyDescent="0.35">
      <c r="A1844">
        <v>115</v>
      </c>
      <c r="B1844" t="s">
        <v>39</v>
      </c>
    </row>
    <row r="1845" spans="1:2" x14ac:dyDescent="0.35">
      <c r="A1845">
        <v>115</v>
      </c>
      <c r="B1845">
        <v>-0.10299999999999999</v>
      </c>
    </row>
    <row r="1846" spans="1:2" x14ac:dyDescent="0.35">
      <c r="A1846">
        <v>115</v>
      </c>
      <c r="B1846" t="s">
        <v>40</v>
      </c>
    </row>
    <row r="1847" spans="1:2" x14ac:dyDescent="0.35">
      <c r="A1847">
        <v>115</v>
      </c>
      <c r="B1847" s="4">
        <v>0</v>
      </c>
    </row>
    <row r="1848" spans="1:2" x14ac:dyDescent="0.35">
      <c r="A1848">
        <v>115</v>
      </c>
      <c r="B1848" t="s">
        <v>41</v>
      </c>
    </row>
    <row r="1849" spans="1:2" x14ac:dyDescent="0.35">
      <c r="A1849">
        <v>115</v>
      </c>
      <c r="B1849" s="4">
        <v>19000000</v>
      </c>
    </row>
    <row r="1850" spans="1:2" x14ac:dyDescent="0.35">
      <c r="A1850">
        <v>115</v>
      </c>
      <c r="B1850" t="s">
        <v>42</v>
      </c>
    </row>
    <row r="1851" spans="1:2" x14ac:dyDescent="0.35">
      <c r="A1851">
        <v>115</v>
      </c>
      <c r="B1851" t="s">
        <v>44</v>
      </c>
    </row>
    <row r="1852" spans="1:2" x14ac:dyDescent="0.35">
      <c r="A1852">
        <v>116</v>
      </c>
      <c r="B1852" t="s">
        <v>27</v>
      </c>
    </row>
    <row r="1853" spans="1:2" x14ac:dyDescent="0.35">
      <c r="A1853">
        <v>116</v>
      </c>
      <c r="B1853" s="2">
        <v>9.3880000000000005E-2</v>
      </c>
    </row>
    <row r="1854" spans="1:2" x14ac:dyDescent="0.35">
      <c r="A1854">
        <v>116</v>
      </c>
      <c r="B1854" t="s">
        <v>1</v>
      </c>
    </row>
    <row r="1855" spans="1:2" x14ac:dyDescent="0.35">
      <c r="A1855">
        <v>116</v>
      </c>
      <c r="B1855">
        <v>-0.36699999999999999</v>
      </c>
    </row>
    <row r="1856" spans="1:2" x14ac:dyDescent="0.35">
      <c r="A1856">
        <v>116</v>
      </c>
      <c r="B1856" t="s">
        <v>28</v>
      </c>
    </row>
    <row r="1857" spans="1:2" x14ac:dyDescent="0.35">
      <c r="A1857">
        <v>116</v>
      </c>
      <c r="B1857">
        <v>459</v>
      </c>
    </row>
    <row r="1858" spans="1:2" x14ac:dyDescent="0.35">
      <c r="A1858">
        <v>116</v>
      </c>
      <c r="B1858" t="s">
        <v>25</v>
      </c>
    </row>
    <row r="1859" spans="1:2" x14ac:dyDescent="0.35">
      <c r="A1859">
        <v>116</v>
      </c>
      <c r="B1859" s="2">
        <v>4.1099999999999998E-2</v>
      </c>
    </row>
    <row r="1860" spans="1:2" x14ac:dyDescent="0.35">
      <c r="A1860">
        <v>116</v>
      </c>
      <c r="B1860" t="s">
        <v>29</v>
      </c>
    </row>
    <row r="1861" spans="1:2" x14ac:dyDescent="0.35">
      <c r="A1861">
        <v>116</v>
      </c>
      <c r="B1861" s="2">
        <v>-7.9299999999999995E-2</v>
      </c>
    </row>
    <row r="1862" spans="1:2" x14ac:dyDescent="0.35">
      <c r="A1862">
        <v>116</v>
      </c>
      <c r="B1862" t="s">
        <v>30</v>
      </c>
    </row>
    <row r="1863" spans="1:2" x14ac:dyDescent="0.35">
      <c r="A1863">
        <v>116</v>
      </c>
      <c r="B1863" s="2">
        <v>-0.46013999999999999</v>
      </c>
    </row>
    <row r="1864" spans="1:2" x14ac:dyDescent="0.35">
      <c r="A1864">
        <v>116</v>
      </c>
      <c r="B1864" t="s">
        <v>8</v>
      </c>
    </row>
    <row r="1865" spans="1:2" x14ac:dyDescent="0.35">
      <c r="A1865">
        <v>116</v>
      </c>
      <c r="B1865" s="2">
        <v>0.59299999999999997</v>
      </c>
    </row>
    <row r="1866" spans="1:2" x14ac:dyDescent="0.35">
      <c r="A1866">
        <v>116</v>
      </c>
      <c r="B1866" t="s">
        <v>31</v>
      </c>
    </row>
    <row r="1867" spans="1:2" x14ac:dyDescent="0.35">
      <c r="A1867">
        <v>116</v>
      </c>
      <c r="B1867">
        <v>-0.29099999999999998</v>
      </c>
    </row>
    <row r="1868" spans="1:2" x14ac:dyDescent="0.35">
      <c r="A1868">
        <v>116</v>
      </c>
      <c r="B1868" t="s">
        <v>32</v>
      </c>
    </row>
    <row r="1869" spans="1:2" x14ac:dyDescent="0.35">
      <c r="A1869">
        <v>116</v>
      </c>
      <c r="B1869" s="2">
        <v>-0.32754</v>
      </c>
    </row>
    <row r="1870" spans="1:2" x14ac:dyDescent="0.35">
      <c r="A1870">
        <v>116</v>
      </c>
      <c r="B1870" t="s">
        <v>33</v>
      </c>
    </row>
    <row r="1871" spans="1:2" x14ac:dyDescent="0.35">
      <c r="A1871">
        <v>116</v>
      </c>
      <c r="B1871" s="3">
        <v>0.53</v>
      </c>
    </row>
    <row r="1872" spans="1:2" x14ac:dyDescent="0.35">
      <c r="A1872">
        <v>116</v>
      </c>
      <c r="B1872" t="s">
        <v>34</v>
      </c>
    </row>
    <row r="1873" spans="1:2" x14ac:dyDescent="0.35">
      <c r="A1873">
        <v>116</v>
      </c>
      <c r="B1873" s="3">
        <v>0.47</v>
      </c>
    </row>
    <row r="1874" spans="1:2" x14ac:dyDescent="0.35">
      <c r="A1874">
        <v>116</v>
      </c>
      <c r="B1874" t="s">
        <v>26</v>
      </c>
    </row>
    <row r="1875" spans="1:2" x14ac:dyDescent="0.35">
      <c r="A1875">
        <v>116</v>
      </c>
      <c r="B1875">
        <v>0.52</v>
      </c>
    </row>
    <row r="1876" spans="1:2" x14ac:dyDescent="0.35">
      <c r="A1876">
        <v>116</v>
      </c>
      <c r="B1876" t="s">
        <v>23</v>
      </c>
    </row>
    <row r="1877" spans="1:2" x14ac:dyDescent="0.35">
      <c r="A1877">
        <v>116</v>
      </c>
      <c r="B1877">
        <v>-0.36</v>
      </c>
    </row>
    <row r="1878" spans="1:2" x14ac:dyDescent="0.35">
      <c r="A1878">
        <v>116</v>
      </c>
      <c r="B1878" t="s">
        <v>24</v>
      </c>
    </row>
    <row r="1879" spans="1:2" x14ac:dyDescent="0.35">
      <c r="A1879">
        <v>116</v>
      </c>
      <c r="B1879">
        <v>2.1549999999999998</v>
      </c>
    </row>
    <row r="1880" spans="1:2" x14ac:dyDescent="0.35">
      <c r="A1880">
        <v>116</v>
      </c>
      <c r="B1880" t="s">
        <v>35</v>
      </c>
    </row>
    <row r="1881" spans="1:2" x14ac:dyDescent="0.35">
      <c r="A1881">
        <v>116</v>
      </c>
      <c r="B1881">
        <v>0.60599999999999998</v>
      </c>
    </row>
    <row r="1882" spans="1:2" x14ac:dyDescent="0.35">
      <c r="A1882">
        <v>116</v>
      </c>
      <c r="B1882" t="s">
        <v>36</v>
      </c>
    </row>
    <row r="1883" spans="1:2" x14ac:dyDescent="0.35">
      <c r="A1883">
        <v>116</v>
      </c>
      <c r="B1883">
        <v>0.36699999999999999</v>
      </c>
    </row>
    <row r="1884" spans="1:2" x14ac:dyDescent="0.35">
      <c r="A1884">
        <v>116</v>
      </c>
      <c r="B1884" t="s">
        <v>37</v>
      </c>
    </row>
    <row r="1885" spans="1:2" x14ac:dyDescent="0.35">
      <c r="A1885">
        <v>116</v>
      </c>
      <c r="B1885">
        <v>-0.48199999999999998</v>
      </c>
    </row>
    <row r="1886" spans="1:2" x14ac:dyDescent="0.35">
      <c r="A1886">
        <v>116</v>
      </c>
      <c r="B1886" t="s">
        <v>38</v>
      </c>
    </row>
    <row r="1887" spans="1:2" x14ac:dyDescent="0.35">
      <c r="A1887">
        <v>116</v>
      </c>
      <c r="B1887">
        <v>0.59299999999999997</v>
      </c>
    </row>
    <row r="1888" spans="1:2" x14ac:dyDescent="0.35">
      <c r="A1888">
        <v>116</v>
      </c>
      <c r="B1888" t="s">
        <v>39</v>
      </c>
    </row>
    <row r="1889" spans="1:2" x14ac:dyDescent="0.35">
      <c r="A1889">
        <v>116</v>
      </c>
      <c r="B1889">
        <v>-0.10299999999999999</v>
      </c>
    </row>
    <row r="1890" spans="1:2" x14ac:dyDescent="0.35">
      <c r="A1890">
        <v>116</v>
      </c>
      <c r="B1890" t="s">
        <v>40</v>
      </c>
    </row>
    <row r="1891" spans="1:2" x14ac:dyDescent="0.35">
      <c r="A1891">
        <v>116</v>
      </c>
      <c r="B1891" s="4">
        <v>0</v>
      </c>
    </row>
    <row r="1892" spans="1:2" x14ac:dyDescent="0.35">
      <c r="A1892">
        <v>116</v>
      </c>
      <c r="B1892" t="s">
        <v>41</v>
      </c>
    </row>
    <row r="1893" spans="1:2" x14ac:dyDescent="0.35">
      <c r="A1893">
        <v>116</v>
      </c>
      <c r="B1893" s="4">
        <v>19000000</v>
      </c>
    </row>
    <row r="1894" spans="1:2" x14ac:dyDescent="0.35">
      <c r="A1894">
        <v>116</v>
      </c>
      <c r="B1894" t="s">
        <v>42</v>
      </c>
    </row>
    <row r="1895" spans="1:2" x14ac:dyDescent="0.35">
      <c r="A1895">
        <v>116</v>
      </c>
      <c r="B1895" t="s">
        <v>44</v>
      </c>
    </row>
    <row r="1896" spans="1:2" x14ac:dyDescent="0.35">
      <c r="A1896">
        <v>117</v>
      </c>
      <c r="B1896" t="s">
        <v>27</v>
      </c>
    </row>
    <row r="1897" spans="1:2" x14ac:dyDescent="0.35">
      <c r="A1897">
        <v>117</v>
      </c>
      <c r="B1897" s="2">
        <v>9.3880000000000005E-2</v>
      </c>
    </row>
    <row r="1898" spans="1:2" x14ac:dyDescent="0.35">
      <c r="A1898">
        <v>117</v>
      </c>
      <c r="B1898" t="s">
        <v>1</v>
      </c>
    </row>
    <row r="1899" spans="1:2" x14ac:dyDescent="0.35">
      <c r="A1899">
        <v>117</v>
      </c>
      <c r="B1899">
        <v>-0.36699999999999999</v>
      </c>
    </row>
    <row r="1900" spans="1:2" x14ac:dyDescent="0.35">
      <c r="A1900">
        <v>117</v>
      </c>
      <c r="B1900" t="s">
        <v>28</v>
      </c>
    </row>
    <row r="1901" spans="1:2" x14ac:dyDescent="0.35">
      <c r="A1901">
        <v>117</v>
      </c>
      <c r="B1901">
        <v>459</v>
      </c>
    </row>
    <row r="1902" spans="1:2" x14ac:dyDescent="0.35">
      <c r="A1902">
        <v>117</v>
      </c>
      <c r="B1902" t="s">
        <v>25</v>
      </c>
    </row>
    <row r="1903" spans="1:2" x14ac:dyDescent="0.35">
      <c r="A1903">
        <v>117</v>
      </c>
      <c r="B1903" s="2">
        <v>4.1099999999999998E-2</v>
      </c>
    </row>
    <row r="1904" spans="1:2" x14ac:dyDescent="0.35">
      <c r="A1904">
        <v>117</v>
      </c>
      <c r="B1904" t="s">
        <v>29</v>
      </c>
    </row>
    <row r="1905" spans="1:2" x14ac:dyDescent="0.35">
      <c r="A1905">
        <v>117</v>
      </c>
      <c r="B1905" s="2">
        <v>-7.9299999999999995E-2</v>
      </c>
    </row>
    <row r="1906" spans="1:2" x14ac:dyDescent="0.35">
      <c r="A1906">
        <v>117</v>
      </c>
      <c r="B1906" t="s">
        <v>30</v>
      </c>
    </row>
    <row r="1907" spans="1:2" x14ac:dyDescent="0.35">
      <c r="A1907">
        <v>117</v>
      </c>
      <c r="B1907" s="2">
        <v>-0.46013999999999999</v>
      </c>
    </row>
    <row r="1908" spans="1:2" x14ac:dyDescent="0.35">
      <c r="A1908">
        <v>117</v>
      </c>
      <c r="B1908" t="s">
        <v>8</v>
      </c>
    </row>
    <row r="1909" spans="1:2" x14ac:dyDescent="0.35">
      <c r="A1909">
        <v>117</v>
      </c>
      <c r="B1909" s="2">
        <v>0.59299999999999997</v>
      </c>
    </row>
    <row r="1910" spans="1:2" x14ac:dyDescent="0.35">
      <c r="A1910">
        <v>117</v>
      </c>
      <c r="B1910" t="s">
        <v>31</v>
      </c>
    </row>
    <row r="1911" spans="1:2" x14ac:dyDescent="0.35">
      <c r="A1911">
        <v>117</v>
      </c>
      <c r="B1911">
        <v>-0.29099999999999998</v>
      </c>
    </row>
    <row r="1912" spans="1:2" x14ac:dyDescent="0.35">
      <c r="A1912">
        <v>117</v>
      </c>
      <c r="B1912" t="s">
        <v>32</v>
      </c>
    </row>
    <row r="1913" spans="1:2" x14ac:dyDescent="0.35">
      <c r="A1913">
        <v>117</v>
      </c>
      <c r="B1913" s="2">
        <v>-0.32754</v>
      </c>
    </row>
    <row r="1914" spans="1:2" x14ac:dyDescent="0.35">
      <c r="A1914">
        <v>117</v>
      </c>
      <c r="B1914" t="s">
        <v>33</v>
      </c>
    </row>
    <row r="1915" spans="1:2" x14ac:dyDescent="0.35">
      <c r="A1915">
        <v>117</v>
      </c>
      <c r="B1915" s="3">
        <v>0.53</v>
      </c>
    </row>
    <row r="1916" spans="1:2" x14ac:dyDescent="0.35">
      <c r="A1916">
        <v>117</v>
      </c>
      <c r="B1916" t="s">
        <v>34</v>
      </c>
    </row>
    <row r="1917" spans="1:2" x14ac:dyDescent="0.35">
      <c r="A1917">
        <v>117</v>
      </c>
      <c r="B1917" s="3">
        <v>0.47</v>
      </c>
    </row>
    <row r="1918" spans="1:2" x14ac:dyDescent="0.35">
      <c r="A1918">
        <v>117</v>
      </c>
      <c r="B1918" t="s">
        <v>26</v>
      </c>
    </row>
    <row r="1919" spans="1:2" x14ac:dyDescent="0.35">
      <c r="A1919">
        <v>117</v>
      </c>
      <c r="B1919">
        <v>0.52</v>
      </c>
    </row>
    <row r="1920" spans="1:2" x14ac:dyDescent="0.35">
      <c r="A1920">
        <v>117</v>
      </c>
      <c r="B1920" t="s">
        <v>23</v>
      </c>
    </row>
    <row r="1921" spans="1:2" x14ac:dyDescent="0.35">
      <c r="A1921">
        <v>117</v>
      </c>
      <c r="B1921">
        <v>-0.36</v>
      </c>
    </row>
    <row r="1922" spans="1:2" x14ac:dyDescent="0.35">
      <c r="A1922">
        <v>117</v>
      </c>
      <c r="B1922" t="s">
        <v>24</v>
      </c>
    </row>
    <row r="1923" spans="1:2" x14ac:dyDescent="0.35">
      <c r="A1923">
        <v>117</v>
      </c>
      <c r="B1923">
        <v>2.1549999999999998</v>
      </c>
    </row>
    <row r="1924" spans="1:2" x14ac:dyDescent="0.35">
      <c r="A1924">
        <v>117</v>
      </c>
      <c r="B1924" t="s">
        <v>35</v>
      </c>
    </row>
    <row r="1925" spans="1:2" x14ac:dyDescent="0.35">
      <c r="A1925">
        <v>117</v>
      </c>
      <c r="B1925">
        <v>0.60599999999999998</v>
      </c>
    </row>
    <row r="1926" spans="1:2" x14ac:dyDescent="0.35">
      <c r="A1926">
        <v>117</v>
      </c>
      <c r="B1926" t="s">
        <v>36</v>
      </c>
    </row>
    <row r="1927" spans="1:2" x14ac:dyDescent="0.35">
      <c r="A1927">
        <v>117</v>
      </c>
      <c r="B1927">
        <v>0.36699999999999999</v>
      </c>
    </row>
    <row r="1928" spans="1:2" x14ac:dyDescent="0.35">
      <c r="A1928">
        <v>117</v>
      </c>
      <c r="B1928" t="s">
        <v>37</v>
      </c>
    </row>
    <row r="1929" spans="1:2" x14ac:dyDescent="0.35">
      <c r="A1929">
        <v>117</v>
      </c>
      <c r="B1929">
        <v>-0.48199999999999998</v>
      </c>
    </row>
    <row r="1930" spans="1:2" x14ac:dyDescent="0.35">
      <c r="A1930">
        <v>117</v>
      </c>
      <c r="B1930" t="s">
        <v>38</v>
      </c>
    </row>
    <row r="1931" spans="1:2" x14ac:dyDescent="0.35">
      <c r="A1931">
        <v>117</v>
      </c>
      <c r="B1931">
        <v>0.59299999999999997</v>
      </c>
    </row>
    <row r="1932" spans="1:2" x14ac:dyDescent="0.35">
      <c r="A1932">
        <v>117</v>
      </c>
      <c r="B1932" t="s">
        <v>39</v>
      </c>
    </row>
    <row r="1933" spans="1:2" x14ac:dyDescent="0.35">
      <c r="A1933">
        <v>117</v>
      </c>
      <c r="B1933">
        <v>-0.10299999999999999</v>
      </c>
    </row>
    <row r="1934" spans="1:2" x14ac:dyDescent="0.35">
      <c r="A1934">
        <v>117</v>
      </c>
      <c r="B1934" t="s">
        <v>40</v>
      </c>
    </row>
    <row r="1935" spans="1:2" x14ac:dyDescent="0.35">
      <c r="A1935">
        <v>117</v>
      </c>
      <c r="B1935" s="4">
        <v>0</v>
      </c>
    </row>
    <row r="1936" spans="1:2" x14ac:dyDescent="0.35">
      <c r="A1936">
        <v>117</v>
      </c>
      <c r="B1936" t="s">
        <v>41</v>
      </c>
    </row>
    <row r="1937" spans="1:2" x14ac:dyDescent="0.35">
      <c r="A1937">
        <v>117</v>
      </c>
      <c r="B1937" s="4">
        <v>19000000</v>
      </c>
    </row>
    <row r="1938" spans="1:2" x14ac:dyDescent="0.35">
      <c r="A1938">
        <v>117</v>
      </c>
      <c r="B1938" t="s">
        <v>42</v>
      </c>
    </row>
    <row r="1939" spans="1:2" x14ac:dyDescent="0.35">
      <c r="A1939">
        <v>117</v>
      </c>
      <c r="B1939" t="s">
        <v>44</v>
      </c>
    </row>
    <row r="1940" spans="1:2" x14ac:dyDescent="0.35">
      <c r="A1940">
        <v>136</v>
      </c>
      <c r="B1940" t="s">
        <v>27</v>
      </c>
    </row>
    <row r="1941" spans="1:2" x14ac:dyDescent="0.35">
      <c r="A1941">
        <v>136</v>
      </c>
      <c r="B1941" s="2">
        <v>9.3880000000000005E-2</v>
      </c>
    </row>
    <row r="1942" spans="1:2" x14ac:dyDescent="0.35">
      <c r="A1942">
        <v>136</v>
      </c>
      <c r="B1942" t="s">
        <v>1</v>
      </c>
    </row>
    <row r="1943" spans="1:2" x14ac:dyDescent="0.35">
      <c r="A1943">
        <v>136</v>
      </c>
      <c r="B1943">
        <v>-0.36699999999999999</v>
      </c>
    </row>
    <row r="1944" spans="1:2" x14ac:dyDescent="0.35">
      <c r="A1944">
        <v>136</v>
      </c>
      <c r="B1944" t="s">
        <v>28</v>
      </c>
    </row>
    <row r="1945" spans="1:2" x14ac:dyDescent="0.35">
      <c r="A1945">
        <v>136</v>
      </c>
      <c r="B1945">
        <v>459</v>
      </c>
    </row>
    <row r="1946" spans="1:2" x14ac:dyDescent="0.35">
      <c r="A1946">
        <v>136</v>
      </c>
      <c r="B1946" t="s">
        <v>25</v>
      </c>
    </row>
    <row r="1947" spans="1:2" x14ac:dyDescent="0.35">
      <c r="A1947">
        <v>136</v>
      </c>
      <c r="B1947" s="2">
        <v>4.1099999999999998E-2</v>
      </c>
    </row>
    <row r="1948" spans="1:2" x14ac:dyDescent="0.35">
      <c r="A1948">
        <v>136</v>
      </c>
      <c r="B1948" t="s">
        <v>29</v>
      </c>
    </row>
    <row r="1949" spans="1:2" x14ac:dyDescent="0.35">
      <c r="A1949">
        <v>136</v>
      </c>
      <c r="B1949" s="2">
        <v>-7.9299999999999995E-2</v>
      </c>
    </row>
    <row r="1950" spans="1:2" x14ac:dyDescent="0.35">
      <c r="A1950">
        <v>136</v>
      </c>
      <c r="B1950" t="s">
        <v>30</v>
      </c>
    </row>
    <row r="1951" spans="1:2" x14ac:dyDescent="0.35">
      <c r="A1951">
        <v>136</v>
      </c>
      <c r="B1951" s="2">
        <v>-0.46013999999999999</v>
      </c>
    </row>
    <row r="1952" spans="1:2" x14ac:dyDescent="0.35">
      <c r="A1952">
        <v>136</v>
      </c>
      <c r="B1952" t="s">
        <v>8</v>
      </c>
    </row>
    <row r="1953" spans="1:2" x14ac:dyDescent="0.35">
      <c r="A1953">
        <v>136</v>
      </c>
      <c r="B1953" s="2">
        <v>0.59299999999999997</v>
      </c>
    </row>
    <row r="1954" spans="1:2" x14ac:dyDescent="0.35">
      <c r="A1954">
        <v>136</v>
      </c>
      <c r="B1954" t="s">
        <v>31</v>
      </c>
    </row>
    <row r="1955" spans="1:2" x14ac:dyDescent="0.35">
      <c r="A1955">
        <v>136</v>
      </c>
      <c r="B1955">
        <v>-0.29099999999999998</v>
      </c>
    </row>
    <row r="1956" spans="1:2" x14ac:dyDescent="0.35">
      <c r="A1956">
        <v>136</v>
      </c>
      <c r="B1956" t="s">
        <v>32</v>
      </c>
    </row>
    <row r="1957" spans="1:2" x14ac:dyDescent="0.35">
      <c r="A1957">
        <v>136</v>
      </c>
      <c r="B1957" s="2">
        <v>-0.32754</v>
      </c>
    </row>
    <row r="1958" spans="1:2" x14ac:dyDescent="0.35">
      <c r="A1958">
        <v>136</v>
      </c>
      <c r="B1958" t="s">
        <v>33</v>
      </c>
    </row>
    <row r="1959" spans="1:2" x14ac:dyDescent="0.35">
      <c r="A1959">
        <v>136</v>
      </c>
      <c r="B1959" s="3">
        <v>0.53</v>
      </c>
    </row>
    <row r="1960" spans="1:2" x14ac:dyDescent="0.35">
      <c r="A1960">
        <v>136</v>
      </c>
      <c r="B1960" t="s">
        <v>34</v>
      </c>
    </row>
    <row r="1961" spans="1:2" x14ac:dyDescent="0.35">
      <c r="A1961">
        <v>136</v>
      </c>
      <c r="B1961" s="3">
        <v>0.47</v>
      </c>
    </row>
    <row r="1962" spans="1:2" x14ac:dyDescent="0.35">
      <c r="A1962">
        <v>136</v>
      </c>
      <c r="B1962" t="s">
        <v>26</v>
      </c>
    </row>
    <row r="1963" spans="1:2" x14ac:dyDescent="0.35">
      <c r="A1963">
        <v>136</v>
      </c>
      <c r="B1963">
        <v>0.52</v>
      </c>
    </row>
    <row r="1964" spans="1:2" x14ac:dyDescent="0.35">
      <c r="A1964">
        <v>136</v>
      </c>
      <c r="B1964" t="s">
        <v>23</v>
      </c>
    </row>
    <row r="1965" spans="1:2" x14ac:dyDescent="0.35">
      <c r="A1965">
        <v>136</v>
      </c>
      <c r="B1965">
        <v>-0.36</v>
      </c>
    </row>
    <row r="1966" spans="1:2" x14ac:dyDescent="0.35">
      <c r="A1966">
        <v>136</v>
      </c>
      <c r="B1966" t="s">
        <v>24</v>
      </c>
    </row>
    <row r="1967" spans="1:2" x14ac:dyDescent="0.35">
      <c r="A1967">
        <v>136</v>
      </c>
      <c r="B1967">
        <v>2.1549999999999998</v>
      </c>
    </row>
    <row r="1968" spans="1:2" x14ac:dyDescent="0.35">
      <c r="A1968">
        <v>136</v>
      </c>
      <c r="B1968" t="s">
        <v>35</v>
      </c>
    </row>
    <row r="1969" spans="1:2" x14ac:dyDescent="0.35">
      <c r="A1969">
        <v>136</v>
      </c>
      <c r="B1969">
        <v>0.60599999999999998</v>
      </c>
    </row>
    <row r="1970" spans="1:2" x14ac:dyDescent="0.35">
      <c r="A1970">
        <v>136</v>
      </c>
      <c r="B1970" t="s">
        <v>36</v>
      </c>
    </row>
    <row r="1971" spans="1:2" x14ac:dyDescent="0.35">
      <c r="A1971">
        <v>136</v>
      </c>
      <c r="B1971">
        <v>0.36699999999999999</v>
      </c>
    </row>
    <row r="1972" spans="1:2" x14ac:dyDescent="0.35">
      <c r="A1972">
        <v>136</v>
      </c>
      <c r="B1972" t="s">
        <v>37</v>
      </c>
    </row>
    <row r="1973" spans="1:2" x14ac:dyDescent="0.35">
      <c r="A1973">
        <v>136</v>
      </c>
      <c r="B1973">
        <v>-0.48199999999999998</v>
      </c>
    </row>
    <row r="1974" spans="1:2" x14ac:dyDescent="0.35">
      <c r="A1974">
        <v>136</v>
      </c>
      <c r="B1974" t="s">
        <v>38</v>
      </c>
    </row>
    <row r="1975" spans="1:2" x14ac:dyDescent="0.35">
      <c r="A1975">
        <v>136</v>
      </c>
      <c r="B1975">
        <v>0.59299999999999997</v>
      </c>
    </row>
    <row r="1976" spans="1:2" x14ac:dyDescent="0.35">
      <c r="A1976">
        <v>136</v>
      </c>
      <c r="B1976" t="s">
        <v>39</v>
      </c>
    </row>
    <row r="1977" spans="1:2" x14ac:dyDescent="0.35">
      <c r="A1977">
        <v>136</v>
      </c>
      <c r="B1977">
        <v>-0.10299999999999999</v>
      </c>
    </row>
    <row r="1978" spans="1:2" x14ac:dyDescent="0.35">
      <c r="A1978">
        <v>136</v>
      </c>
      <c r="B1978" t="s">
        <v>40</v>
      </c>
    </row>
    <row r="1979" spans="1:2" x14ac:dyDescent="0.35">
      <c r="A1979">
        <v>136</v>
      </c>
      <c r="B1979" s="4">
        <v>0</v>
      </c>
    </row>
    <row r="1980" spans="1:2" x14ac:dyDescent="0.35">
      <c r="A1980">
        <v>136</v>
      </c>
      <c r="B1980" t="s">
        <v>41</v>
      </c>
    </row>
    <row r="1981" spans="1:2" x14ac:dyDescent="0.35">
      <c r="A1981">
        <v>136</v>
      </c>
      <c r="B1981" s="4">
        <v>19000000</v>
      </c>
    </row>
    <row r="1982" spans="1:2" x14ac:dyDescent="0.35">
      <c r="A1982">
        <v>136</v>
      </c>
      <c r="B1982" t="s">
        <v>42</v>
      </c>
    </row>
    <row r="1983" spans="1:2" x14ac:dyDescent="0.35">
      <c r="A1983">
        <v>136</v>
      </c>
      <c r="B1983" t="s">
        <v>44</v>
      </c>
    </row>
    <row r="1984" spans="1:2" x14ac:dyDescent="0.35">
      <c r="A1984">
        <v>137</v>
      </c>
      <c r="B1984" t="s">
        <v>27</v>
      </c>
    </row>
    <row r="1985" spans="1:2" x14ac:dyDescent="0.35">
      <c r="A1985">
        <v>137</v>
      </c>
      <c r="B1985" s="2">
        <v>9.3880000000000005E-2</v>
      </c>
    </row>
    <row r="1986" spans="1:2" x14ac:dyDescent="0.35">
      <c r="A1986">
        <v>137</v>
      </c>
      <c r="B1986" t="s">
        <v>1</v>
      </c>
    </row>
    <row r="1987" spans="1:2" x14ac:dyDescent="0.35">
      <c r="A1987">
        <v>137</v>
      </c>
      <c r="B1987">
        <v>-0.36699999999999999</v>
      </c>
    </row>
    <row r="1988" spans="1:2" x14ac:dyDescent="0.35">
      <c r="A1988">
        <v>137</v>
      </c>
      <c r="B1988" t="s">
        <v>28</v>
      </c>
    </row>
    <row r="1989" spans="1:2" x14ac:dyDescent="0.35">
      <c r="A1989">
        <v>137</v>
      </c>
      <c r="B1989">
        <v>459</v>
      </c>
    </row>
    <row r="1990" spans="1:2" x14ac:dyDescent="0.35">
      <c r="A1990">
        <v>137</v>
      </c>
      <c r="B1990" t="s">
        <v>25</v>
      </c>
    </row>
    <row r="1991" spans="1:2" x14ac:dyDescent="0.35">
      <c r="A1991">
        <v>137</v>
      </c>
      <c r="B1991" s="2">
        <v>4.1099999999999998E-2</v>
      </c>
    </row>
    <row r="1992" spans="1:2" x14ac:dyDescent="0.35">
      <c r="A1992">
        <v>137</v>
      </c>
      <c r="B1992" t="s">
        <v>29</v>
      </c>
    </row>
    <row r="1993" spans="1:2" x14ac:dyDescent="0.35">
      <c r="A1993">
        <v>137</v>
      </c>
      <c r="B1993" s="2">
        <v>-7.9299999999999995E-2</v>
      </c>
    </row>
    <row r="1994" spans="1:2" x14ac:dyDescent="0.35">
      <c r="A1994">
        <v>137</v>
      </c>
      <c r="B1994" t="s">
        <v>30</v>
      </c>
    </row>
    <row r="1995" spans="1:2" x14ac:dyDescent="0.35">
      <c r="A1995">
        <v>137</v>
      </c>
      <c r="B1995" s="2">
        <v>-0.46013999999999999</v>
      </c>
    </row>
    <row r="1996" spans="1:2" x14ac:dyDescent="0.35">
      <c r="A1996">
        <v>137</v>
      </c>
      <c r="B1996" t="s">
        <v>8</v>
      </c>
    </row>
    <row r="1997" spans="1:2" x14ac:dyDescent="0.35">
      <c r="A1997">
        <v>137</v>
      </c>
      <c r="B1997" s="2">
        <v>0.59299999999999997</v>
      </c>
    </row>
    <row r="1998" spans="1:2" x14ac:dyDescent="0.35">
      <c r="A1998">
        <v>137</v>
      </c>
      <c r="B1998" t="s">
        <v>31</v>
      </c>
    </row>
    <row r="1999" spans="1:2" x14ac:dyDescent="0.35">
      <c r="A1999">
        <v>137</v>
      </c>
      <c r="B1999">
        <v>-0.29099999999999998</v>
      </c>
    </row>
    <row r="2000" spans="1:2" x14ac:dyDescent="0.35">
      <c r="A2000">
        <v>137</v>
      </c>
      <c r="B2000" t="s">
        <v>32</v>
      </c>
    </row>
    <row r="2001" spans="1:2" x14ac:dyDescent="0.35">
      <c r="A2001">
        <v>137</v>
      </c>
      <c r="B2001" s="2">
        <v>-0.32754</v>
      </c>
    </row>
    <row r="2002" spans="1:2" x14ac:dyDescent="0.35">
      <c r="A2002">
        <v>137</v>
      </c>
      <c r="B2002" t="s">
        <v>33</v>
      </c>
    </row>
    <row r="2003" spans="1:2" x14ac:dyDescent="0.35">
      <c r="A2003">
        <v>137</v>
      </c>
      <c r="B2003" s="3">
        <v>0.53</v>
      </c>
    </row>
    <row r="2004" spans="1:2" x14ac:dyDescent="0.35">
      <c r="A2004">
        <v>137</v>
      </c>
      <c r="B2004" t="s">
        <v>34</v>
      </c>
    </row>
    <row r="2005" spans="1:2" x14ac:dyDescent="0.35">
      <c r="A2005">
        <v>137</v>
      </c>
      <c r="B2005" s="3">
        <v>0.47</v>
      </c>
    </row>
    <row r="2006" spans="1:2" x14ac:dyDescent="0.35">
      <c r="A2006">
        <v>137</v>
      </c>
      <c r="B2006" t="s">
        <v>26</v>
      </c>
    </row>
    <row r="2007" spans="1:2" x14ac:dyDescent="0.35">
      <c r="A2007">
        <v>137</v>
      </c>
      <c r="B2007">
        <v>0.52</v>
      </c>
    </row>
    <row r="2008" spans="1:2" x14ac:dyDescent="0.35">
      <c r="A2008">
        <v>137</v>
      </c>
      <c r="B2008" t="s">
        <v>23</v>
      </c>
    </row>
    <row r="2009" spans="1:2" x14ac:dyDescent="0.35">
      <c r="A2009">
        <v>137</v>
      </c>
      <c r="B2009">
        <v>-0.36</v>
      </c>
    </row>
    <row r="2010" spans="1:2" x14ac:dyDescent="0.35">
      <c r="A2010">
        <v>137</v>
      </c>
      <c r="B2010" t="s">
        <v>24</v>
      </c>
    </row>
    <row r="2011" spans="1:2" x14ac:dyDescent="0.35">
      <c r="A2011">
        <v>137</v>
      </c>
      <c r="B2011">
        <v>2.1549999999999998</v>
      </c>
    </row>
    <row r="2012" spans="1:2" x14ac:dyDescent="0.35">
      <c r="A2012">
        <v>137</v>
      </c>
      <c r="B2012" t="s">
        <v>35</v>
      </c>
    </row>
    <row r="2013" spans="1:2" x14ac:dyDescent="0.35">
      <c r="A2013">
        <v>137</v>
      </c>
      <c r="B2013">
        <v>0.60599999999999998</v>
      </c>
    </row>
    <row r="2014" spans="1:2" x14ac:dyDescent="0.35">
      <c r="A2014">
        <v>137</v>
      </c>
      <c r="B2014" t="s">
        <v>36</v>
      </c>
    </row>
    <row r="2015" spans="1:2" x14ac:dyDescent="0.35">
      <c r="A2015">
        <v>137</v>
      </c>
      <c r="B2015">
        <v>0.36699999999999999</v>
      </c>
    </row>
    <row r="2016" spans="1:2" x14ac:dyDescent="0.35">
      <c r="A2016">
        <v>137</v>
      </c>
      <c r="B2016" t="s">
        <v>37</v>
      </c>
    </row>
    <row r="2017" spans="1:2" x14ac:dyDescent="0.35">
      <c r="A2017">
        <v>137</v>
      </c>
      <c r="B2017">
        <v>-0.48199999999999998</v>
      </c>
    </row>
    <row r="2018" spans="1:2" x14ac:dyDescent="0.35">
      <c r="A2018">
        <v>137</v>
      </c>
      <c r="B2018" t="s">
        <v>38</v>
      </c>
    </row>
    <row r="2019" spans="1:2" x14ac:dyDescent="0.35">
      <c r="A2019">
        <v>137</v>
      </c>
      <c r="B2019">
        <v>0.59299999999999997</v>
      </c>
    </row>
    <row r="2020" spans="1:2" x14ac:dyDescent="0.35">
      <c r="A2020">
        <v>137</v>
      </c>
      <c r="B2020" t="s">
        <v>39</v>
      </c>
    </row>
    <row r="2021" spans="1:2" x14ac:dyDescent="0.35">
      <c r="A2021">
        <v>137</v>
      </c>
      <c r="B2021">
        <v>-0.10299999999999999</v>
      </c>
    </row>
    <row r="2022" spans="1:2" x14ac:dyDescent="0.35">
      <c r="A2022">
        <v>137</v>
      </c>
      <c r="B2022" t="s">
        <v>40</v>
      </c>
    </row>
    <row r="2023" spans="1:2" x14ac:dyDescent="0.35">
      <c r="A2023">
        <v>137</v>
      </c>
      <c r="B2023" s="4">
        <v>0</v>
      </c>
    </row>
    <row r="2024" spans="1:2" x14ac:dyDescent="0.35">
      <c r="A2024">
        <v>137</v>
      </c>
      <c r="B2024" t="s">
        <v>41</v>
      </c>
    </row>
    <row r="2025" spans="1:2" x14ac:dyDescent="0.35">
      <c r="A2025">
        <v>137</v>
      </c>
      <c r="B2025" s="4">
        <v>19000000</v>
      </c>
    </row>
    <row r="2026" spans="1:2" x14ac:dyDescent="0.35">
      <c r="A2026">
        <v>137</v>
      </c>
      <c r="B2026" t="s">
        <v>42</v>
      </c>
    </row>
    <row r="2027" spans="1:2" x14ac:dyDescent="0.35">
      <c r="A2027">
        <v>137</v>
      </c>
      <c r="B2027" t="s">
        <v>44</v>
      </c>
    </row>
    <row r="2028" spans="1:2" x14ac:dyDescent="0.35">
      <c r="A2028">
        <v>138</v>
      </c>
      <c r="B2028" t="s">
        <v>27</v>
      </c>
    </row>
    <row r="2029" spans="1:2" x14ac:dyDescent="0.35">
      <c r="A2029">
        <v>138</v>
      </c>
      <c r="B2029" s="2">
        <v>9.3880000000000005E-2</v>
      </c>
    </row>
    <row r="2030" spans="1:2" x14ac:dyDescent="0.35">
      <c r="A2030">
        <v>138</v>
      </c>
      <c r="B2030" t="s">
        <v>1</v>
      </c>
    </row>
    <row r="2031" spans="1:2" x14ac:dyDescent="0.35">
      <c r="A2031">
        <v>138</v>
      </c>
      <c r="B2031">
        <v>-0.36699999999999999</v>
      </c>
    </row>
    <row r="2032" spans="1:2" x14ac:dyDescent="0.35">
      <c r="A2032">
        <v>138</v>
      </c>
      <c r="B2032" t="s">
        <v>28</v>
      </c>
    </row>
    <row r="2033" spans="1:2" x14ac:dyDescent="0.35">
      <c r="A2033">
        <v>138</v>
      </c>
      <c r="B2033">
        <v>459</v>
      </c>
    </row>
    <row r="2034" spans="1:2" x14ac:dyDescent="0.35">
      <c r="A2034">
        <v>138</v>
      </c>
      <c r="B2034" t="s">
        <v>25</v>
      </c>
    </row>
    <row r="2035" spans="1:2" x14ac:dyDescent="0.35">
      <c r="A2035">
        <v>138</v>
      </c>
      <c r="B2035" s="2">
        <v>4.1099999999999998E-2</v>
      </c>
    </row>
    <row r="2036" spans="1:2" x14ac:dyDescent="0.35">
      <c r="A2036">
        <v>138</v>
      </c>
      <c r="B2036" t="s">
        <v>29</v>
      </c>
    </row>
    <row r="2037" spans="1:2" x14ac:dyDescent="0.35">
      <c r="A2037">
        <v>138</v>
      </c>
      <c r="B2037" s="2">
        <v>-7.9299999999999995E-2</v>
      </c>
    </row>
    <row r="2038" spans="1:2" x14ac:dyDescent="0.35">
      <c r="A2038">
        <v>138</v>
      </c>
      <c r="B2038" t="s">
        <v>30</v>
      </c>
    </row>
    <row r="2039" spans="1:2" x14ac:dyDescent="0.35">
      <c r="A2039">
        <v>138</v>
      </c>
      <c r="B2039" s="2">
        <v>-0.46013999999999999</v>
      </c>
    </row>
    <row r="2040" spans="1:2" x14ac:dyDescent="0.35">
      <c r="A2040">
        <v>138</v>
      </c>
      <c r="B2040" t="s">
        <v>8</v>
      </c>
    </row>
    <row r="2041" spans="1:2" x14ac:dyDescent="0.35">
      <c r="A2041">
        <v>138</v>
      </c>
      <c r="B2041" s="2">
        <v>0.59299999999999997</v>
      </c>
    </row>
    <row r="2042" spans="1:2" x14ac:dyDescent="0.35">
      <c r="A2042">
        <v>138</v>
      </c>
      <c r="B2042" t="s">
        <v>31</v>
      </c>
    </row>
    <row r="2043" spans="1:2" x14ac:dyDescent="0.35">
      <c r="A2043">
        <v>138</v>
      </c>
      <c r="B2043">
        <v>-0.29099999999999998</v>
      </c>
    </row>
    <row r="2044" spans="1:2" x14ac:dyDescent="0.35">
      <c r="A2044">
        <v>138</v>
      </c>
      <c r="B2044" t="s">
        <v>32</v>
      </c>
    </row>
    <row r="2045" spans="1:2" x14ac:dyDescent="0.35">
      <c r="A2045">
        <v>138</v>
      </c>
      <c r="B2045" s="2">
        <v>-0.32754</v>
      </c>
    </row>
    <row r="2046" spans="1:2" x14ac:dyDescent="0.35">
      <c r="A2046">
        <v>138</v>
      </c>
      <c r="B2046" t="s">
        <v>33</v>
      </c>
    </row>
    <row r="2047" spans="1:2" x14ac:dyDescent="0.35">
      <c r="A2047">
        <v>138</v>
      </c>
      <c r="B2047" s="3">
        <v>0.53</v>
      </c>
    </row>
    <row r="2048" spans="1:2" x14ac:dyDescent="0.35">
      <c r="A2048">
        <v>138</v>
      </c>
      <c r="B2048" t="s">
        <v>34</v>
      </c>
    </row>
    <row r="2049" spans="1:2" x14ac:dyDescent="0.35">
      <c r="A2049">
        <v>138</v>
      </c>
      <c r="B2049" s="3">
        <v>0.47</v>
      </c>
    </row>
    <row r="2050" spans="1:2" x14ac:dyDescent="0.35">
      <c r="A2050">
        <v>138</v>
      </c>
      <c r="B2050" t="s">
        <v>26</v>
      </c>
    </row>
    <row r="2051" spans="1:2" x14ac:dyDescent="0.35">
      <c r="A2051">
        <v>138</v>
      </c>
      <c r="B2051">
        <v>0.52</v>
      </c>
    </row>
    <row r="2052" spans="1:2" x14ac:dyDescent="0.35">
      <c r="A2052">
        <v>138</v>
      </c>
      <c r="B2052" t="s">
        <v>23</v>
      </c>
    </row>
    <row r="2053" spans="1:2" x14ac:dyDescent="0.35">
      <c r="A2053">
        <v>138</v>
      </c>
      <c r="B2053">
        <v>-0.36</v>
      </c>
    </row>
    <row r="2054" spans="1:2" x14ac:dyDescent="0.35">
      <c r="A2054">
        <v>138</v>
      </c>
      <c r="B2054" t="s">
        <v>24</v>
      </c>
    </row>
    <row r="2055" spans="1:2" x14ac:dyDescent="0.35">
      <c r="A2055">
        <v>138</v>
      </c>
      <c r="B2055">
        <v>2.1549999999999998</v>
      </c>
    </row>
    <row r="2056" spans="1:2" x14ac:dyDescent="0.35">
      <c r="A2056">
        <v>138</v>
      </c>
      <c r="B2056" t="s">
        <v>35</v>
      </c>
    </row>
    <row r="2057" spans="1:2" x14ac:dyDescent="0.35">
      <c r="A2057">
        <v>138</v>
      </c>
      <c r="B2057">
        <v>0.60599999999999998</v>
      </c>
    </row>
    <row r="2058" spans="1:2" x14ac:dyDescent="0.35">
      <c r="A2058">
        <v>138</v>
      </c>
      <c r="B2058" t="s">
        <v>36</v>
      </c>
    </row>
    <row r="2059" spans="1:2" x14ac:dyDescent="0.35">
      <c r="A2059">
        <v>138</v>
      </c>
      <c r="B2059">
        <v>0.36699999999999999</v>
      </c>
    </row>
    <row r="2060" spans="1:2" x14ac:dyDescent="0.35">
      <c r="A2060">
        <v>138</v>
      </c>
      <c r="B2060" t="s">
        <v>37</v>
      </c>
    </row>
    <row r="2061" spans="1:2" x14ac:dyDescent="0.35">
      <c r="A2061">
        <v>138</v>
      </c>
      <c r="B2061">
        <v>-0.48199999999999998</v>
      </c>
    </row>
    <row r="2062" spans="1:2" x14ac:dyDescent="0.35">
      <c r="A2062">
        <v>138</v>
      </c>
      <c r="B2062" t="s">
        <v>38</v>
      </c>
    </row>
    <row r="2063" spans="1:2" x14ac:dyDescent="0.35">
      <c r="A2063">
        <v>138</v>
      </c>
      <c r="B2063">
        <v>0.59299999999999997</v>
      </c>
    </row>
    <row r="2064" spans="1:2" x14ac:dyDescent="0.35">
      <c r="A2064">
        <v>138</v>
      </c>
      <c r="B2064" t="s">
        <v>39</v>
      </c>
    </row>
    <row r="2065" spans="1:2" x14ac:dyDescent="0.35">
      <c r="A2065">
        <v>138</v>
      </c>
      <c r="B2065">
        <v>-0.10299999999999999</v>
      </c>
    </row>
    <row r="2066" spans="1:2" x14ac:dyDescent="0.35">
      <c r="A2066">
        <v>138</v>
      </c>
      <c r="B2066" t="s">
        <v>40</v>
      </c>
    </row>
    <row r="2067" spans="1:2" x14ac:dyDescent="0.35">
      <c r="A2067">
        <v>138</v>
      </c>
      <c r="B2067" s="4">
        <v>0</v>
      </c>
    </row>
    <row r="2068" spans="1:2" x14ac:dyDescent="0.35">
      <c r="A2068">
        <v>138</v>
      </c>
      <c r="B2068" t="s">
        <v>41</v>
      </c>
    </row>
    <row r="2069" spans="1:2" x14ac:dyDescent="0.35">
      <c r="A2069">
        <v>138</v>
      </c>
      <c r="B2069" s="4">
        <v>19000000</v>
      </c>
    </row>
    <row r="2070" spans="1:2" x14ac:dyDescent="0.35">
      <c r="A2070">
        <v>138</v>
      </c>
      <c r="B2070" t="s">
        <v>42</v>
      </c>
    </row>
    <row r="2071" spans="1:2" x14ac:dyDescent="0.35">
      <c r="A2071">
        <v>138</v>
      </c>
      <c r="B2071" t="s">
        <v>44</v>
      </c>
    </row>
    <row r="2072" spans="1:2" x14ac:dyDescent="0.35">
      <c r="A2072">
        <v>139</v>
      </c>
      <c r="B2072" t="s">
        <v>27</v>
      </c>
    </row>
    <row r="2073" spans="1:2" x14ac:dyDescent="0.35">
      <c r="A2073">
        <v>139</v>
      </c>
      <c r="B2073" s="2">
        <v>9.3880000000000005E-2</v>
      </c>
    </row>
    <row r="2074" spans="1:2" x14ac:dyDescent="0.35">
      <c r="A2074">
        <v>139</v>
      </c>
      <c r="B2074" t="s">
        <v>1</v>
      </c>
    </row>
    <row r="2075" spans="1:2" x14ac:dyDescent="0.35">
      <c r="A2075">
        <v>139</v>
      </c>
      <c r="B2075">
        <v>-0.36699999999999999</v>
      </c>
    </row>
    <row r="2076" spans="1:2" x14ac:dyDescent="0.35">
      <c r="A2076">
        <v>139</v>
      </c>
      <c r="B2076" t="s">
        <v>28</v>
      </c>
    </row>
    <row r="2077" spans="1:2" x14ac:dyDescent="0.35">
      <c r="A2077">
        <v>139</v>
      </c>
      <c r="B2077">
        <v>459</v>
      </c>
    </row>
    <row r="2078" spans="1:2" x14ac:dyDescent="0.35">
      <c r="A2078">
        <v>139</v>
      </c>
      <c r="B2078" t="s">
        <v>25</v>
      </c>
    </row>
    <row r="2079" spans="1:2" x14ac:dyDescent="0.35">
      <c r="A2079">
        <v>139</v>
      </c>
      <c r="B2079" s="2">
        <v>4.1099999999999998E-2</v>
      </c>
    </row>
    <row r="2080" spans="1:2" x14ac:dyDescent="0.35">
      <c r="A2080">
        <v>139</v>
      </c>
      <c r="B2080" t="s">
        <v>29</v>
      </c>
    </row>
    <row r="2081" spans="1:2" x14ac:dyDescent="0.35">
      <c r="A2081">
        <v>139</v>
      </c>
      <c r="B2081" s="2">
        <v>-7.9299999999999995E-2</v>
      </c>
    </row>
    <row r="2082" spans="1:2" x14ac:dyDescent="0.35">
      <c r="A2082">
        <v>139</v>
      </c>
      <c r="B2082" t="s">
        <v>30</v>
      </c>
    </row>
    <row r="2083" spans="1:2" x14ac:dyDescent="0.35">
      <c r="A2083">
        <v>139</v>
      </c>
      <c r="B2083" s="2">
        <v>-0.46013999999999999</v>
      </c>
    </row>
    <row r="2084" spans="1:2" x14ac:dyDescent="0.35">
      <c r="A2084">
        <v>139</v>
      </c>
      <c r="B2084" t="s">
        <v>8</v>
      </c>
    </row>
    <row r="2085" spans="1:2" x14ac:dyDescent="0.35">
      <c r="A2085">
        <v>139</v>
      </c>
      <c r="B2085" s="2">
        <v>0.59299999999999997</v>
      </c>
    </row>
    <row r="2086" spans="1:2" x14ac:dyDescent="0.35">
      <c r="A2086">
        <v>139</v>
      </c>
      <c r="B2086" t="s">
        <v>31</v>
      </c>
    </row>
    <row r="2087" spans="1:2" x14ac:dyDescent="0.35">
      <c r="A2087">
        <v>139</v>
      </c>
      <c r="B2087">
        <v>-0.29099999999999998</v>
      </c>
    </row>
    <row r="2088" spans="1:2" x14ac:dyDescent="0.35">
      <c r="A2088">
        <v>139</v>
      </c>
      <c r="B2088" t="s">
        <v>32</v>
      </c>
    </row>
    <row r="2089" spans="1:2" x14ac:dyDescent="0.35">
      <c r="A2089">
        <v>139</v>
      </c>
      <c r="B2089" s="2">
        <v>-0.32754</v>
      </c>
    </row>
    <row r="2090" spans="1:2" x14ac:dyDescent="0.35">
      <c r="A2090">
        <v>139</v>
      </c>
      <c r="B2090" t="s">
        <v>33</v>
      </c>
    </row>
    <row r="2091" spans="1:2" x14ac:dyDescent="0.35">
      <c r="A2091">
        <v>139</v>
      </c>
      <c r="B2091" s="3">
        <v>0.53</v>
      </c>
    </row>
    <row r="2092" spans="1:2" x14ac:dyDescent="0.35">
      <c r="A2092">
        <v>139</v>
      </c>
      <c r="B2092" t="s">
        <v>34</v>
      </c>
    </row>
    <row r="2093" spans="1:2" x14ac:dyDescent="0.35">
      <c r="A2093">
        <v>139</v>
      </c>
      <c r="B2093" s="3">
        <v>0.47</v>
      </c>
    </row>
    <row r="2094" spans="1:2" x14ac:dyDescent="0.35">
      <c r="A2094">
        <v>139</v>
      </c>
      <c r="B2094" t="s">
        <v>26</v>
      </c>
    </row>
    <row r="2095" spans="1:2" x14ac:dyDescent="0.35">
      <c r="A2095">
        <v>139</v>
      </c>
      <c r="B2095">
        <v>0.52</v>
      </c>
    </row>
    <row r="2096" spans="1:2" x14ac:dyDescent="0.35">
      <c r="A2096">
        <v>139</v>
      </c>
      <c r="B2096" t="s">
        <v>23</v>
      </c>
    </row>
    <row r="2097" spans="1:2" x14ac:dyDescent="0.35">
      <c r="A2097">
        <v>139</v>
      </c>
      <c r="B2097">
        <v>-0.36</v>
      </c>
    </row>
    <row r="2098" spans="1:2" x14ac:dyDescent="0.35">
      <c r="A2098">
        <v>139</v>
      </c>
      <c r="B2098" t="s">
        <v>24</v>
      </c>
    </row>
    <row r="2099" spans="1:2" x14ac:dyDescent="0.35">
      <c r="A2099">
        <v>139</v>
      </c>
      <c r="B2099">
        <v>2.1549999999999998</v>
      </c>
    </row>
    <row r="2100" spans="1:2" x14ac:dyDescent="0.35">
      <c r="A2100">
        <v>139</v>
      </c>
      <c r="B2100" t="s">
        <v>35</v>
      </c>
    </row>
    <row r="2101" spans="1:2" x14ac:dyDescent="0.35">
      <c r="A2101">
        <v>139</v>
      </c>
      <c r="B2101">
        <v>0.60599999999999998</v>
      </c>
    </row>
    <row r="2102" spans="1:2" x14ac:dyDescent="0.35">
      <c r="A2102">
        <v>139</v>
      </c>
      <c r="B2102" t="s">
        <v>36</v>
      </c>
    </row>
    <row r="2103" spans="1:2" x14ac:dyDescent="0.35">
      <c r="A2103">
        <v>139</v>
      </c>
      <c r="B2103">
        <v>0.36699999999999999</v>
      </c>
    </row>
    <row r="2104" spans="1:2" x14ac:dyDescent="0.35">
      <c r="A2104">
        <v>139</v>
      </c>
      <c r="B2104" t="s">
        <v>37</v>
      </c>
    </row>
    <row r="2105" spans="1:2" x14ac:dyDescent="0.35">
      <c r="A2105">
        <v>139</v>
      </c>
      <c r="B2105">
        <v>-0.48199999999999998</v>
      </c>
    </row>
    <row r="2106" spans="1:2" x14ac:dyDescent="0.35">
      <c r="A2106">
        <v>139</v>
      </c>
      <c r="B2106" t="s">
        <v>38</v>
      </c>
    </row>
    <row r="2107" spans="1:2" x14ac:dyDescent="0.35">
      <c r="A2107">
        <v>139</v>
      </c>
      <c r="B2107">
        <v>0.59299999999999997</v>
      </c>
    </row>
    <row r="2108" spans="1:2" x14ac:dyDescent="0.35">
      <c r="A2108">
        <v>139</v>
      </c>
      <c r="B2108" t="s">
        <v>39</v>
      </c>
    </row>
    <row r="2109" spans="1:2" x14ac:dyDescent="0.35">
      <c r="A2109">
        <v>139</v>
      </c>
      <c r="B2109">
        <v>-0.10299999999999999</v>
      </c>
    </row>
    <row r="2110" spans="1:2" x14ac:dyDescent="0.35">
      <c r="A2110">
        <v>139</v>
      </c>
      <c r="B2110" t="s">
        <v>40</v>
      </c>
    </row>
    <row r="2111" spans="1:2" x14ac:dyDescent="0.35">
      <c r="A2111">
        <v>139</v>
      </c>
      <c r="B2111" s="4">
        <v>0</v>
      </c>
    </row>
    <row r="2112" spans="1:2" x14ac:dyDescent="0.35">
      <c r="A2112">
        <v>139</v>
      </c>
      <c r="B2112" t="s">
        <v>41</v>
      </c>
    </row>
    <row r="2113" spans="1:2" x14ac:dyDescent="0.35">
      <c r="A2113">
        <v>139</v>
      </c>
      <c r="B2113" s="4">
        <v>19000000</v>
      </c>
    </row>
    <row r="2114" spans="1:2" x14ac:dyDescent="0.35">
      <c r="A2114">
        <v>139</v>
      </c>
      <c r="B2114" t="s">
        <v>42</v>
      </c>
    </row>
    <row r="2115" spans="1:2" x14ac:dyDescent="0.35">
      <c r="A2115">
        <v>139</v>
      </c>
      <c r="B2115" t="s">
        <v>44</v>
      </c>
    </row>
    <row r="2116" spans="1:2" x14ac:dyDescent="0.35">
      <c r="A2116">
        <v>140</v>
      </c>
      <c r="B2116" t="s">
        <v>27</v>
      </c>
    </row>
    <row r="2117" spans="1:2" x14ac:dyDescent="0.35">
      <c r="A2117">
        <v>140</v>
      </c>
      <c r="B2117" s="2">
        <v>9.3880000000000005E-2</v>
      </c>
    </row>
    <row r="2118" spans="1:2" x14ac:dyDescent="0.35">
      <c r="A2118">
        <v>140</v>
      </c>
      <c r="B2118" t="s">
        <v>1</v>
      </c>
    </row>
    <row r="2119" spans="1:2" x14ac:dyDescent="0.35">
      <c r="A2119">
        <v>140</v>
      </c>
      <c r="B2119">
        <v>-0.36699999999999999</v>
      </c>
    </row>
    <row r="2120" spans="1:2" x14ac:dyDescent="0.35">
      <c r="A2120">
        <v>140</v>
      </c>
      <c r="B2120" t="s">
        <v>28</v>
      </c>
    </row>
    <row r="2121" spans="1:2" x14ac:dyDescent="0.35">
      <c r="A2121">
        <v>140</v>
      </c>
      <c r="B2121">
        <v>459</v>
      </c>
    </row>
    <row r="2122" spans="1:2" x14ac:dyDescent="0.35">
      <c r="A2122">
        <v>140</v>
      </c>
      <c r="B2122" t="s">
        <v>25</v>
      </c>
    </row>
    <row r="2123" spans="1:2" x14ac:dyDescent="0.35">
      <c r="A2123">
        <v>140</v>
      </c>
      <c r="B2123" s="2">
        <v>4.1099999999999998E-2</v>
      </c>
    </row>
    <row r="2124" spans="1:2" x14ac:dyDescent="0.35">
      <c r="A2124">
        <v>140</v>
      </c>
      <c r="B2124" t="s">
        <v>29</v>
      </c>
    </row>
    <row r="2125" spans="1:2" x14ac:dyDescent="0.35">
      <c r="A2125">
        <v>140</v>
      </c>
      <c r="B2125" s="2">
        <v>-7.9299999999999995E-2</v>
      </c>
    </row>
    <row r="2126" spans="1:2" x14ac:dyDescent="0.35">
      <c r="A2126">
        <v>140</v>
      </c>
      <c r="B2126" t="s">
        <v>30</v>
      </c>
    </row>
    <row r="2127" spans="1:2" x14ac:dyDescent="0.35">
      <c r="A2127">
        <v>140</v>
      </c>
      <c r="B2127" s="2">
        <v>-0.46013999999999999</v>
      </c>
    </row>
    <row r="2128" spans="1:2" x14ac:dyDescent="0.35">
      <c r="A2128">
        <v>140</v>
      </c>
      <c r="B2128" t="s">
        <v>8</v>
      </c>
    </row>
    <row r="2129" spans="1:2" x14ac:dyDescent="0.35">
      <c r="A2129">
        <v>140</v>
      </c>
      <c r="B2129" s="2">
        <v>0.59299999999999997</v>
      </c>
    </row>
    <row r="2130" spans="1:2" x14ac:dyDescent="0.35">
      <c r="A2130">
        <v>140</v>
      </c>
      <c r="B2130" t="s">
        <v>31</v>
      </c>
    </row>
    <row r="2131" spans="1:2" x14ac:dyDescent="0.35">
      <c r="A2131">
        <v>140</v>
      </c>
      <c r="B2131">
        <v>-0.29099999999999998</v>
      </c>
    </row>
    <row r="2132" spans="1:2" x14ac:dyDescent="0.35">
      <c r="A2132">
        <v>140</v>
      </c>
      <c r="B2132" t="s">
        <v>32</v>
      </c>
    </row>
    <row r="2133" spans="1:2" x14ac:dyDescent="0.35">
      <c r="A2133">
        <v>140</v>
      </c>
      <c r="B2133" s="2">
        <v>-0.32754</v>
      </c>
    </row>
    <row r="2134" spans="1:2" x14ac:dyDescent="0.35">
      <c r="A2134">
        <v>140</v>
      </c>
      <c r="B2134" t="s">
        <v>33</v>
      </c>
    </row>
    <row r="2135" spans="1:2" x14ac:dyDescent="0.35">
      <c r="A2135">
        <v>140</v>
      </c>
      <c r="B2135" s="3">
        <v>0.53</v>
      </c>
    </row>
    <row r="2136" spans="1:2" x14ac:dyDescent="0.35">
      <c r="A2136">
        <v>140</v>
      </c>
      <c r="B2136" t="s">
        <v>34</v>
      </c>
    </row>
    <row r="2137" spans="1:2" x14ac:dyDescent="0.35">
      <c r="A2137">
        <v>140</v>
      </c>
      <c r="B2137" s="3">
        <v>0.47</v>
      </c>
    </row>
    <row r="2138" spans="1:2" x14ac:dyDescent="0.35">
      <c r="A2138">
        <v>140</v>
      </c>
      <c r="B2138" t="s">
        <v>26</v>
      </c>
    </row>
    <row r="2139" spans="1:2" x14ac:dyDescent="0.35">
      <c r="A2139">
        <v>140</v>
      </c>
      <c r="B2139">
        <v>0.52</v>
      </c>
    </row>
    <row r="2140" spans="1:2" x14ac:dyDescent="0.35">
      <c r="A2140">
        <v>140</v>
      </c>
      <c r="B2140" t="s">
        <v>23</v>
      </c>
    </row>
    <row r="2141" spans="1:2" x14ac:dyDescent="0.35">
      <c r="A2141">
        <v>140</v>
      </c>
      <c r="B2141">
        <v>-0.36</v>
      </c>
    </row>
    <row r="2142" spans="1:2" x14ac:dyDescent="0.35">
      <c r="A2142">
        <v>140</v>
      </c>
      <c r="B2142" t="s">
        <v>24</v>
      </c>
    </row>
    <row r="2143" spans="1:2" x14ac:dyDescent="0.35">
      <c r="A2143">
        <v>140</v>
      </c>
      <c r="B2143">
        <v>2.1549999999999998</v>
      </c>
    </row>
    <row r="2144" spans="1:2" x14ac:dyDescent="0.35">
      <c r="A2144">
        <v>140</v>
      </c>
      <c r="B2144" t="s">
        <v>35</v>
      </c>
    </row>
    <row r="2145" spans="1:2" x14ac:dyDescent="0.35">
      <c r="A2145">
        <v>140</v>
      </c>
      <c r="B2145">
        <v>0.60599999999999998</v>
      </c>
    </row>
    <row r="2146" spans="1:2" x14ac:dyDescent="0.35">
      <c r="A2146">
        <v>140</v>
      </c>
      <c r="B2146" t="s">
        <v>36</v>
      </c>
    </row>
    <row r="2147" spans="1:2" x14ac:dyDescent="0.35">
      <c r="A2147">
        <v>140</v>
      </c>
      <c r="B2147">
        <v>0.36699999999999999</v>
      </c>
    </row>
    <row r="2148" spans="1:2" x14ac:dyDescent="0.35">
      <c r="A2148">
        <v>140</v>
      </c>
      <c r="B2148" t="s">
        <v>37</v>
      </c>
    </row>
    <row r="2149" spans="1:2" x14ac:dyDescent="0.35">
      <c r="A2149">
        <v>140</v>
      </c>
      <c r="B2149">
        <v>-0.48199999999999998</v>
      </c>
    </row>
    <row r="2150" spans="1:2" x14ac:dyDescent="0.35">
      <c r="A2150">
        <v>140</v>
      </c>
      <c r="B2150" t="s">
        <v>38</v>
      </c>
    </row>
    <row r="2151" spans="1:2" x14ac:dyDescent="0.35">
      <c r="A2151">
        <v>140</v>
      </c>
      <c r="B2151">
        <v>0.59299999999999997</v>
      </c>
    </row>
    <row r="2152" spans="1:2" x14ac:dyDescent="0.35">
      <c r="A2152">
        <v>140</v>
      </c>
      <c r="B2152" t="s">
        <v>39</v>
      </c>
    </row>
    <row r="2153" spans="1:2" x14ac:dyDescent="0.35">
      <c r="A2153">
        <v>140</v>
      </c>
      <c r="B2153">
        <v>-0.10299999999999999</v>
      </c>
    </row>
    <row r="2154" spans="1:2" x14ac:dyDescent="0.35">
      <c r="A2154">
        <v>140</v>
      </c>
      <c r="B2154" t="s">
        <v>40</v>
      </c>
    </row>
    <row r="2155" spans="1:2" x14ac:dyDescent="0.35">
      <c r="A2155">
        <v>140</v>
      </c>
      <c r="B2155" s="4">
        <v>0</v>
      </c>
    </row>
    <row r="2156" spans="1:2" x14ac:dyDescent="0.35">
      <c r="A2156">
        <v>140</v>
      </c>
      <c r="B2156" t="s">
        <v>41</v>
      </c>
    </row>
    <row r="2157" spans="1:2" x14ac:dyDescent="0.35">
      <c r="A2157">
        <v>140</v>
      </c>
      <c r="B2157" s="4">
        <v>19000000</v>
      </c>
    </row>
    <row r="2158" spans="1:2" x14ac:dyDescent="0.35">
      <c r="A2158">
        <v>140</v>
      </c>
      <c r="B2158" t="s">
        <v>42</v>
      </c>
    </row>
    <row r="2159" spans="1:2" x14ac:dyDescent="0.35">
      <c r="A2159">
        <v>140</v>
      </c>
      <c r="B2159" t="s">
        <v>44</v>
      </c>
    </row>
    <row r="2160" spans="1:2" x14ac:dyDescent="0.35">
      <c r="A2160">
        <v>141</v>
      </c>
      <c r="B2160" t="s">
        <v>27</v>
      </c>
    </row>
    <row r="2161" spans="1:2" x14ac:dyDescent="0.35">
      <c r="A2161">
        <v>141</v>
      </c>
      <c r="B2161" s="2">
        <v>9.3880000000000005E-2</v>
      </c>
    </row>
    <row r="2162" spans="1:2" x14ac:dyDescent="0.35">
      <c r="A2162">
        <v>141</v>
      </c>
      <c r="B2162" t="s">
        <v>1</v>
      </c>
    </row>
    <row r="2163" spans="1:2" x14ac:dyDescent="0.35">
      <c r="A2163">
        <v>141</v>
      </c>
      <c r="B2163">
        <v>-0.36699999999999999</v>
      </c>
    </row>
    <row r="2164" spans="1:2" x14ac:dyDescent="0.35">
      <c r="A2164">
        <v>141</v>
      </c>
      <c r="B2164" t="s">
        <v>28</v>
      </c>
    </row>
    <row r="2165" spans="1:2" x14ac:dyDescent="0.35">
      <c r="A2165">
        <v>141</v>
      </c>
      <c r="B2165">
        <v>459</v>
      </c>
    </row>
    <row r="2166" spans="1:2" x14ac:dyDescent="0.35">
      <c r="A2166">
        <v>141</v>
      </c>
      <c r="B2166" t="s">
        <v>25</v>
      </c>
    </row>
    <row r="2167" spans="1:2" x14ac:dyDescent="0.35">
      <c r="A2167">
        <v>141</v>
      </c>
      <c r="B2167" s="2">
        <v>4.1099999999999998E-2</v>
      </c>
    </row>
    <row r="2168" spans="1:2" x14ac:dyDescent="0.35">
      <c r="A2168">
        <v>141</v>
      </c>
      <c r="B2168" t="s">
        <v>29</v>
      </c>
    </row>
    <row r="2169" spans="1:2" x14ac:dyDescent="0.35">
      <c r="A2169">
        <v>141</v>
      </c>
      <c r="B2169" s="2">
        <v>-7.9299999999999995E-2</v>
      </c>
    </row>
    <row r="2170" spans="1:2" x14ac:dyDescent="0.35">
      <c r="A2170">
        <v>141</v>
      </c>
      <c r="B2170" t="s">
        <v>30</v>
      </c>
    </row>
    <row r="2171" spans="1:2" x14ac:dyDescent="0.35">
      <c r="A2171">
        <v>141</v>
      </c>
      <c r="B2171" s="2">
        <v>-0.46013999999999999</v>
      </c>
    </row>
    <row r="2172" spans="1:2" x14ac:dyDescent="0.35">
      <c r="A2172">
        <v>141</v>
      </c>
      <c r="B2172" t="s">
        <v>8</v>
      </c>
    </row>
    <row r="2173" spans="1:2" x14ac:dyDescent="0.35">
      <c r="A2173">
        <v>141</v>
      </c>
      <c r="B2173" s="2">
        <v>0.59299999999999997</v>
      </c>
    </row>
    <row r="2174" spans="1:2" x14ac:dyDescent="0.35">
      <c r="A2174">
        <v>141</v>
      </c>
      <c r="B2174" t="s">
        <v>31</v>
      </c>
    </row>
    <row r="2175" spans="1:2" x14ac:dyDescent="0.35">
      <c r="A2175">
        <v>141</v>
      </c>
      <c r="B2175">
        <v>-0.29099999999999998</v>
      </c>
    </row>
    <row r="2176" spans="1:2" x14ac:dyDescent="0.35">
      <c r="A2176">
        <v>141</v>
      </c>
      <c r="B2176" t="s">
        <v>32</v>
      </c>
    </row>
    <row r="2177" spans="1:2" x14ac:dyDescent="0.35">
      <c r="A2177">
        <v>141</v>
      </c>
      <c r="B2177" s="2">
        <v>-0.32754</v>
      </c>
    </row>
    <row r="2178" spans="1:2" x14ac:dyDescent="0.35">
      <c r="A2178">
        <v>141</v>
      </c>
      <c r="B2178" t="s">
        <v>33</v>
      </c>
    </row>
    <row r="2179" spans="1:2" x14ac:dyDescent="0.35">
      <c r="A2179">
        <v>141</v>
      </c>
      <c r="B2179" s="3">
        <v>0.53</v>
      </c>
    </row>
    <row r="2180" spans="1:2" x14ac:dyDescent="0.35">
      <c r="A2180">
        <v>141</v>
      </c>
      <c r="B2180" t="s">
        <v>34</v>
      </c>
    </row>
    <row r="2181" spans="1:2" x14ac:dyDescent="0.35">
      <c r="A2181">
        <v>141</v>
      </c>
      <c r="B2181" s="3">
        <v>0.47</v>
      </c>
    </row>
    <row r="2182" spans="1:2" x14ac:dyDescent="0.35">
      <c r="A2182">
        <v>141</v>
      </c>
      <c r="B2182" t="s">
        <v>26</v>
      </c>
    </row>
    <row r="2183" spans="1:2" x14ac:dyDescent="0.35">
      <c r="A2183">
        <v>141</v>
      </c>
      <c r="B2183">
        <v>0.52</v>
      </c>
    </row>
    <row r="2184" spans="1:2" x14ac:dyDescent="0.35">
      <c r="A2184">
        <v>141</v>
      </c>
      <c r="B2184" t="s">
        <v>23</v>
      </c>
    </row>
    <row r="2185" spans="1:2" x14ac:dyDescent="0.35">
      <c r="A2185">
        <v>141</v>
      </c>
      <c r="B2185">
        <v>-0.36</v>
      </c>
    </row>
    <row r="2186" spans="1:2" x14ac:dyDescent="0.35">
      <c r="A2186">
        <v>141</v>
      </c>
      <c r="B2186" t="s">
        <v>24</v>
      </c>
    </row>
    <row r="2187" spans="1:2" x14ac:dyDescent="0.35">
      <c r="A2187">
        <v>141</v>
      </c>
      <c r="B2187">
        <v>2.1549999999999998</v>
      </c>
    </row>
    <row r="2188" spans="1:2" x14ac:dyDescent="0.35">
      <c r="A2188">
        <v>141</v>
      </c>
      <c r="B2188" t="s">
        <v>35</v>
      </c>
    </row>
    <row r="2189" spans="1:2" x14ac:dyDescent="0.35">
      <c r="A2189">
        <v>141</v>
      </c>
      <c r="B2189">
        <v>0.60599999999999998</v>
      </c>
    </row>
    <row r="2190" spans="1:2" x14ac:dyDescent="0.35">
      <c r="A2190">
        <v>141</v>
      </c>
      <c r="B2190" t="s">
        <v>36</v>
      </c>
    </row>
    <row r="2191" spans="1:2" x14ac:dyDescent="0.35">
      <c r="A2191">
        <v>141</v>
      </c>
      <c r="B2191">
        <v>0.36699999999999999</v>
      </c>
    </row>
    <row r="2192" spans="1:2" x14ac:dyDescent="0.35">
      <c r="A2192">
        <v>141</v>
      </c>
      <c r="B2192" t="s">
        <v>37</v>
      </c>
    </row>
    <row r="2193" spans="1:2" x14ac:dyDescent="0.35">
      <c r="A2193">
        <v>141</v>
      </c>
      <c r="B2193">
        <v>-0.48199999999999998</v>
      </c>
    </row>
    <row r="2194" spans="1:2" x14ac:dyDescent="0.35">
      <c r="A2194">
        <v>141</v>
      </c>
      <c r="B2194" t="s">
        <v>38</v>
      </c>
    </row>
    <row r="2195" spans="1:2" x14ac:dyDescent="0.35">
      <c r="A2195">
        <v>141</v>
      </c>
      <c r="B2195">
        <v>0.59299999999999997</v>
      </c>
    </row>
    <row r="2196" spans="1:2" x14ac:dyDescent="0.35">
      <c r="A2196">
        <v>141</v>
      </c>
      <c r="B2196" t="s">
        <v>39</v>
      </c>
    </row>
    <row r="2197" spans="1:2" x14ac:dyDescent="0.35">
      <c r="A2197">
        <v>141</v>
      </c>
      <c r="B2197">
        <v>-0.10299999999999999</v>
      </c>
    </row>
    <row r="2198" spans="1:2" x14ac:dyDescent="0.35">
      <c r="A2198">
        <v>141</v>
      </c>
      <c r="B2198" t="s">
        <v>40</v>
      </c>
    </row>
    <row r="2199" spans="1:2" x14ac:dyDescent="0.35">
      <c r="A2199">
        <v>141</v>
      </c>
      <c r="B2199" s="4">
        <v>0</v>
      </c>
    </row>
    <row r="2200" spans="1:2" x14ac:dyDescent="0.35">
      <c r="A2200">
        <v>141</v>
      </c>
      <c r="B2200" t="s">
        <v>41</v>
      </c>
    </row>
    <row r="2201" spans="1:2" x14ac:dyDescent="0.35">
      <c r="A2201">
        <v>141</v>
      </c>
      <c r="B2201" s="4">
        <v>19000000</v>
      </c>
    </row>
    <row r="2202" spans="1:2" x14ac:dyDescent="0.35">
      <c r="A2202">
        <v>141</v>
      </c>
      <c r="B2202" t="s">
        <v>42</v>
      </c>
    </row>
    <row r="2203" spans="1:2" x14ac:dyDescent="0.35">
      <c r="A2203">
        <v>141</v>
      </c>
      <c r="B2203" t="s">
        <v>44</v>
      </c>
    </row>
    <row r="2204" spans="1:2" x14ac:dyDescent="0.35">
      <c r="A2204">
        <v>142</v>
      </c>
      <c r="B2204" t="s">
        <v>27</v>
      </c>
    </row>
    <row r="2205" spans="1:2" x14ac:dyDescent="0.35">
      <c r="A2205">
        <v>142</v>
      </c>
      <c r="B2205" s="2">
        <v>9.3880000000000005E-2</v>
      </c>
    </row>
    <row r="2206" spans="1:2" x14ac:dyDescent="0.35">
      <c r="A2206">
        <v>142</v>
      </c>
      <c r="B2206" t="s">
        <v>1</v>
      </c>
    </row>
    <row r="2207" spans="1:2" x14ac:dyDescent="0.35">
      <c r="A2207">
        <v>142</v>
      </c>
      <c r="B2207">
        <v>-0.36699999999999999</v>
      </c>
    </row>
    <row r="2208" spans="1:2" x14ac:dyDescent="0.35">
      <c r="A2208">
        <v>142</v>
      </c>
      <c r="B2208" t="s">
        <v>28</v>
      </c>
    </row>
    <row r="2209" spans="1:2" x14ac:dyDescent="0.35">
      <c r="A2209">
        <v>142</v>
      </c>
      <c r="B2209">
        <v>459</v>
      </c>
    </row>
    <row r="2210" spans="1:2" x14ac:dyDescent="0.35">
      <c r="A2210">
        <v>142</v>
      </c>
      <c r="B2210" t="s">
        <v>25</v>
      </c>
    </row>
    <row r="2211" spans="1:2" x14ac:dyDescent="0.35">
      <c r="A2211">
        <v>142</v>
      </c>
      <c r="B2211" s="2">
        <v>4.1099999999999998E-2</v>
      </c>
    </row>
    <row r="2212" spans="1:2" x14ac:dyDescent="0.35">
      <c r="A2212">
        <v>142</v>
      </c>
      <c r="B2212" t="s">
        <v>29</v>
      </c>
    </row>
    <row r="2213" spans="1:2" x14ac:dyDescent="0.35">
      <c r="A2213">
        <v>142</v>
      </c>
      <c r="B2213" s="2">
        <v>-7.9299999999999995E-2</v>
      </c>
    </row>
    <row r="2214" spans="1:2" x14ac:dyDescent="0.35">
      <c r="A2214">
        <v>142</v>
      </c>
      <c r="B2214" t="s">
        <v>30</v>
      </c>
    </row>
    <row r="2215" spans="1:2" x14ac:dyDescent="0.35">
      <c r="A2215">
        <v>142</v>
      </c>
      <c r="B2215" s="2">
        <v>-0.46013999999999999</v>
      </c>
    </row>
    <row r="2216" spans="1:2" x14ac:dyDescent="0.35">
      <c r="A2216">
        <v>142</v>
      </c>
      <c r="B2216" t="s">
        <v>8</v>
      </c>
    </row>
    <row r="2217" spans="1:2" x14ac:dyDescent="0.35">
      <c r="A2217">
        <v>142</v>
      </c>
      <c r="B2217" s="2">
        <v>0.59299999999999997</v>
      </c>
    </row>
    <row r="2218" spans="1:2" x14ac:dyDescent="0.35">
      <c r="A2218">
        <v>142</v>
      </c>
      <c r="B2218" t="s">
        <v>31</v>
      </c>
    </row>
    <row r="2219" spans="1:2" x14ac:dyDescent="0.35">
      <c r="A2219">
        <v>142</v>
      </c>
      <c r="B2219">
        <v>-0.29099999999999998</v>
      </c>
    </row>
    <row r="2220" spans="1:2" x14ac:dyDescent="0.35">
      <c r="A2220">
        <v>142</v>
      </c>
      <c r="B2220" t="s">
        <v>32</v>
      </c>
    </row>
    <row r="2221" spans="1:2" x14ac:dyDescent="0.35">
      <c r="A2221">
        <v>142</v>
      </c>
      <c r="B2221" s="2">
        <v>-0.32754</v>
      </c>
    </row>
    <row r="2222" spans="1:2" x14ac:dyDescent="0.35">
      <c r="A2222">
        <v>142</v>
      </c>
      <c r="B2222" t="s">
        <v>33</v>
      </c>
    </row>
    <row r="2223" spans="1:2" x14ac:dyDescent="0.35">
      <c r="A2223">
        <v>142</v>
      </c>
      <c r="B2223" s="3">
        <v>0.53</v>
      </c>
    </row>
    <row r="2224" spans="1:2" x14ac:dyDescent="0.35">
      <c r="A2224">
        <v>142</v>
      </c>
      <c r="B2224" t="s">
        <v>34</v>
      </c>
    </row>
    <row r="2225" spans="1:2" x14ac:dyDescent="0.35">
      <c r="A2225">
        <v>142</v>
      </c>
      <c r="B2225" s="3">
        <v>0.47</v>
      </c>
    </row>
    <row r="2226" spans="1:2" x14ac:dyDescent="0.35">
      <c r="A2226">
        <v>142</v>
      </c>
      <c r="B2226" t="s">
        <v>26</v>
      </c>
    </row>
    <row r="2227" spans="1:2" x14ac:dyDescent="0.35">
      <c r="A2227">
        <v>142</v>
      </c>
      <c r="B2227">
        <v>0.52</v>
      </c>
    </row>
    <row r="2228" spans="1:2" x14ac:dyDescent="0.35">
      <c r="A2228">
        <v>142</v>
      </c>
      <c r="B2228" t="s">
        <v>23</v>
      </c>
    </row>
    <row r="2229" spans="1:2" x14ac:dyDescent="0.35">
      <c r="A2229">
        <v>142</v>
      </c>
      <c r="B2229">
        <v>-0.36</v>
      </c>
    </row>
    <row r="2230" spans="1:2" x14ac:dyDescent="0.35">
      <c r="A2230">
        <v>142</v>
      </c>
      <c r="B2230" t="s">
        <v>24</v>
      </c>
    </row>
    <row r="2231" spans="1:2" x14ac:dyDescent="0.35">
      <c r="A2231">
        <v>142</v>
      </c>
      <c r="B2231">
        <v>2.1549999999999998</v>
      </c>
    </row>
    <row r="2232" spans="1:2" x14ac:dyDescent="0.35">
      <c r="A2232">
        <v>142</v>
      </c>
      <c r="B2232" t="s">
        <v>35</v>
      </c>
    </row>
    <row r="2233" spans="1:2" x14ac:dyDescent="0.35">
      <c r="A2233">
        <v>142</v>
      </c>
      <c r="B2233">
        <v>0.60599999999999998</v>
      </c>
    </row>
    <row r="2234" spans="1:2" x14ac:dyDescent="0.35">
      <c r="A2234">
        <v>142</v>
      </c>
      <c r="B2234" t="s">
        <v>36</v>
      </c>
    </row>
    <row r="2235" spans="1:2" x14ac:dyDescent="0.35">
      <c r="A2235">
        <v>142</v>
      </c>
      <c r="B2235">
        <v>0.36699999999999999</v>
      </c>
    </row>
    <row r="2236" spans="1:2" x14ac:dyDescent="0.35">
      <c r="A2236">
        <v>142</v>
      </c>
      <c r="B2236" t="s">
        <v>37</v>
      </c>
    </row>
    <row r="2237" spans="1:2" x14ac:dyDescent="0.35">
      <c r="A2237">
        <v>142</v>
      </c>
      <c r="B2237">
        <v>-0.48199999999999998</v>
      </c>
    </row>
    <row r="2238" spans="1:2" x14ac:dyDescent="0.35">
      <c r="A2238">
        <v>142</v>
      </c>
      <c r="B2238" t="s">
        <v>38</v>
      </c>
    </row>
    <row r="2239" spans="1:2" x14ac:dyDescent="0.35">
      <c r="A2239">
        <v>142</v>
      </c>
      <c r="B2239">
        <v>0.59299999999999997</v>
      </c>
    </row>
    <row r="2240" spans="1:2" x14ac:dyDescent="0.35">
      <c r="A2240">
        <v>142</v>
      </c>
      <c r="B2240" t="s">
        <v>39</v>
      </c>
    </row>
    <row r="2241" spans="1:2" x14ac:dyDescent="0.35">
      <c r="A2241">
        <v>142</v>
      </c>
      <c r="B2241">
        <v>-0.10299999999999999</v>
      </c>
    </row>
    <row r="2242" spans="1:2" x14ac:dyDescent="0.35">
      <c r="A2242">
        <v>142</v>
      </c>
      <c r="B2242" t="s">
        <v>40</v>
      </c>
    </row>
    <row r="2243" spans="1:2" x14ac:dyDescent="0.35">
      <c r="A2243">
        <v>142</v>
      </c>
      <c r="B2243" s="4">
        <v>0</v>
      </c>
    </row>
    <row r="2244" spans="1:2" x14ac:dyDescent="0.35">
      <c r="A2244">
        <v>142</v>
      </c>
      <c r="B2244" t="s">
        <v>41</v>
      </c>
    </row>
    <row r="2245" spans="1:2" x14ac:dyDescent="0.35">
      <c r="A2245">
        <v>142</v>
      </c>
      <c r="B2245" s="4">
        <v>19000000</v>
      </c>
    </row>
    <row r="2246" spans="1:2" x14ac:dyDescent="0.35">
      <c r="A2246">
        <v>142</v>
      </c>
      <c r="B2246" t="s">
        <v>42</v>
      </c>
    </row>
    <row r="2247" spans="1:2" x14ac:dyDescent="0.35">
      <c r="A2247">
        <v>142</v>
      </c>
      <c r="B2247" t="s">
        <v>44</v>
      </c>
    </row>
    <row r="2248" spans="1:2" x14ac:dyDescent="0.35">
      <c r="A2248">
        <v>143</v>
      </c>
      <c r="B2248" t="s">
        <v>27</v>
      </c>
    </row>
    <row r="2249" spans="1:2" x14ac:dyDescent="0.35">
      <c r="A2249">
        <v>143</v>
      </c>
      <c r="B2249" s="2">
        <v>9.3880000000000005E-2</v>
      </c>
    </row>
    <row r="2250" spans="1:2" x14ac:dyDescent="0.35">
      <c r="A2250">
        <v>143</v>
      </c>
      <c r="B2250" t="s">
        <v>1</v>
      </c>
    </row>
    <row r="2251" spans="1:2" x14ac:dyDescent="0.35">
      <c r="A2251">
        <v>143</v>
      </c>
      <c r="B2251">
        <v>-0.36699999999999999</v>
      </c>
    </row>
    <row r="2252" spans="1:2" x14ac:dyDescent="0.35">
      <c r="A2252">
        <v>143</v>
      </c>
      <c r="B2252" t="s">
        <v>28</v>
      </c>
    </row>
    <row r="2253" spans="1:2" x14ac:dyDescent="0.35">
      <c r="A2253">
        <v>143</v>
      </c>
      <c r="B2253">
        <v>459</v>
      </c>
    </row>
    <row r="2254" spans="1:2" x14ac:dyDescent="0.35">
      <c r="A2254">
        <v>143</v>
      </c>
      <c r="B2254" t="s">
        <v>25</v>
      </c>
    </row>
    <row r="2255" spans="1:2" x14ac:dyDescent="0.35">
      <c r="A2255">
        <v>143</v>
      </c>
      <c r="B2255" s="2">
        <v>4.1099999999999998E-2</v>
      </c>
    </row>
    <row r="2256" spans="1:2" x14ac:dyDescent="0.35">
      <c r="A2256">
        <v>143</v>
      </c>
      <c r="B2256" t="s">
        <v>29</v>
      </c>
    </row>
    <row r="2257" spans="1:2" x14ac:dyDescent="0.35">
      <c r="A2257">
        <v>143</v>
      </c>
      <c r="B2257" s="2">
        <v>-7.9299999999999995E-2</v>
      </c>
    </row>
    <row r="2258" spans="1:2" x14ac:dyDescent="0.35">
      <c r="A2258">
        <v>143</v>
      </c>
      <c r="B2258" t="s">
        <v>30</v>
      </c>
    </row>
    <row r="2259" spans="1:2" x14ac:dyDescent="0.35">
      <c r="A2259">
        <v>143</v>
      </c>
      <c r="B2259" s="2">
        <v>-0.46013999999999999</v>
      </c>
    </row>
    <row r="2260" spans="1:2" x14ac:dyDescent="0.35">
      <c r="A2260">
        <v>143</v>
      </c>
      <c r="B2260" t="s">
        <v>8</v>
      </c>
    </row>
    <row r="2261" spans="1:2" x14ac:dyDescent="0.35">
      <c r="A2261">
        <v>143</v>
      </c>
      <c r="B2261" s="2">
        <v>0.59299999999999997</v>
      </c>
    </row>
    <row r="2262" spans="1:2" x14ac:dyDescent="0.35">
      <c r="A2262">
        <v>143</v>
      </c>
      <c r="B2262" t="s">
        <v>31</v>
      </c>
    </row>
    <row r="2263" spans="1:2" x14ac:dyDescent="0.35">
      <c r="A2263">
        <v>143</v>
      </c>
      <c r="B2263">
        <v>-0.29099999999999998</v>
      </c>
    </row>
    <row r="2264" spans="1:2" x14ac:dyDescent="0.35">
      <c r="A2264">
        <v>143</v>
      </c>
      <c r="B2264" t="s">
        <v>32</v>
      </c>
    </row>
    <row r="2265" spans="1:2" x14ac:dyDescent="0.35">
      <c r="A2265">
        <v>143</v>
      </c>
      <c r="B2265" s="2">
        <v>-0.32754</v>
      </c>
    </row>
    <row r="2266" spans="1:2" x14ac:dyDescent="0.35">
      <c r="A2266">
        <v>143</v>
      </c>
      <c r="B2266" t="s">
        <v>33</v>
      </c>
    </row>
    <row r="2267" spans="1:2" x14ac:dyDescent="0.35">
      <c r="A2267">
        <v>143</v>
      </c>
      <c r="B2267" s="3">
        <v>0.53</v>
      </c>
    </row>
    <row r="2268" spans="1:2" x14ac:dyDescent="0.35">
      <c r="A2268">
        <v>143</v>
      </c>
      <c r="B2268" t="s">
        <v>34</v>
      </c>
    </row>
    <row r="2269" spans="1:2" x14ac:dyDescent="0.35">
      <c r="A2269">
        <v>143</v>
      </c>
      <c r="B2269" s="3">
        <v>0.47</v>
      </c>
    </row>
    <row r="2270" spans="1:2" x14ac:dyDescent="0.35">
      <c r="A2270">
        <v>143</v>
      </c>
      <c r="B2270" t="s">
        <v>26</v>
      </c>
    </row>
    <row r="2271" spans="1:2" x14ac:dyDescent="0.35">
      <c r="A2271">
        <v>143</v>
      </c>
      <c r="B2271">
        <v>0.52</v>
      </c>
    </row>
    <row r="2272" spans="1:2" x14ac:dyDescent="0.35">
      <c r="A2272">
        <v>143</v>
      </c>
      <c r="B2272" t="s">
        <v>23</v>
      </c>
    </row>
    <row r="2273" spans="1:2" x14ac:dyDescent="0.35">
      <c r="A2273">
        <v>143</v>
      </c>
      <c r="B2273">
        <v>-0.36</v>
      </c>
    </row>
    <row r="2274" spans="1:2" x14ac:dyDescent="0.35">
      <c r="A2274">
        <v>143</v>
      </c>
      <c r="B2274" t="s">
        <v>24</v>
      </c>
    </row>
    <row r="2275" spans="1:2" x14ac:dyDescent="0.35">
      <c r="A2275">
        <v>143</v>
      </c>
      <c r="B2275">
        <v>2.1549999999999998</v>
      </c>
    </row>
    <row r="2276" spans="1:2" x14ac:dyDescent="0.35">
      <c r="A2276">
        <v>143</v>
      </c>
      <c r="B2276" t="s">
        <v>35</v>
      </c>
    </row>
    <row r="2277" spans="1:2" x14ac:dyDescent="0.35">
      <c r="A2277">
        <v>143</v>
      </c>
      <c r="B2277">
        <v>0.60599999999999998</v>
      </c>
    </row>
    <row r="2278" spans="1:2" x14ac:dyDescent="0.35">
      <c r="A2278">
        <v>143</v>
      </c>
      <c r="B2278" t="s">
        <v>36</v>
      </c>
    </row>
    <row r="2279" spans="1:2" x14ac:dyDescent="0.35">
      <c r="A2279">
        <v>143</v>
      </c>
      <c r="B2279">
        <v>0.36699999999999999</v>
      </c>
    </row>
    <row r="2280" spans="1:2" x14ac:dyDescent="0.35">
      <c r="A2280">
        <v>143</v>
      </c>
      <c r="B2280" t="s">
        <v>37</v>
      </c>
    </row>
    <row r="2281" spans="1:2" x14ac:dyDescent="0.35">
      <c r="A2281">
        <v>143</v>
      </c>
      <c r="B2281">
        <v>-0.48199999999999998</v>
      </c>
    </row>
    <row r="2282" spans="1:2" x14ac:dyDescent="0.35">
      <c r="A2282">
        <v>143</v>
      </c>
      <c r="B2282" t="s">
        <v>38</v>
      </c>
    </row>
    <row r="2283" spans="1:2" x14ac:dyDescent="0.35">
      <c r="A2283">
        <v>143</v>
      </c>
      <c r="B2283">
        <v>0.59299999999999997</v>
      </c>
    </row>
    <row r="2284" spans="1:2" x14ac:dyDescent="0.35">
      <c r="A2284">
        <v>143</v>
      </c>
      <c r="B2284" t="s">
        <v>39</v>
      </c>
    </row>
    <row r="2285" spans="1:2" x14ac:dyDescent="0.35">
      <c r="A2285">
        <v>143</v>
      </c>
      <c r="B2285">
        <v>-0.10299999999999999</v>
      </c>
    </row>
    <row r="2286" spans="1:2" x14ac:dyDescent="0.35">
      <c r="A2286">
        <v>143</v>
      </c>
      <c r="B2286" t="s">
        <v>40</v>
      </c>
    </row>
    <row r="2287" spans="1:2" x14ac:dyDescent="0.35">
      <c r="A2287">
        <v>143</v>
      </c>
      <c r="B2287" s="4">
        <v>0</v>
      </c>
    </row>
    <row r="2288" spans="1:2" x14ac:dyDescent="0.35">
      <c r="A2288">
        <v>143</v>
      </c>
      <c r="B2288" t="s">
        <v>41</v>
      </c>
    </row>
    <row r="2289" spans="1:2" x14ac:dyDescent="0.35">
      <c r="A2289">
        <v>143</v>
      </c>
      <c r="B2289" s="4">
        <v>19000000</v>
      </c>
    </row>
    <row r="2290" spans="1:2" x14ac:dyDescent="0.35">
      <c r="A2290">
        <v>143</v>
      </c>
      <c r="B2290" t="s">
        <v>42</v>
      </c>
    </row>
    <row r="2291" spans="1:2" x14ac:dyDescent="0.35">
      <c r="A2291">
        <v>143</v>
      </c>
      <c r="B2291" t="s">
        <v>44</v>
      </c>
    </row>
    <row r="2292" spans="1:2" x14ac:dyDescent="0.35">
      <c r="A2292">
        <v>144</v>
      </c>
      <c r="B2292" t="s">
        <v>27</v>
      </c>
    </row>
    <row r="2293" spans="1:2" x14ac:dyDescent="0.35">
      <c r="A2293">
        <v>144</v>
      </c>
      <c r="B2293" s="2">
        <v>9.3880000000000005E-2</v>
      </c>
    </row>
    <row r="2294" spans="1:2" x14ac:dyDescent="0.35">
      <c r="A2294">
        <v>144</v>
      </c>
      <c r="B2294" t="s">
        <v>1</v>
      </c>
    </row>
    <row r="2295" spans="1:2" x14ac:dyDescent="0.35">
      <c r="A2295">
        <v>144</v>
      </c>
      <c r="B2295">
        <v>-0.36699999999999999</v>
      </c>
    </row>
    <row r="2296" spans="1:2" x14ac:dyDescent="0.35">
      <c r="A2296">
        <v>144</v>
      </c>
      <c r="B2296" t="s">
        <v>28</v>
      </c>
    </row>
    <row r="2297" spans="1:2" x14ac:dyDescent="0.35">
      <c r="A2297">
        <v>144</v>
      </c>
      <c r="B2297">
        <v>459</v>
      </c>
    </row>
    <row r="2298" spans="1:2" x14ac:dyDescent="0.35">
      <c r="A2298">
        <v>144</v>
      </c>
      <c r="B2298" t="s">
        <v>25</v>
      </c>
    </row>
    <row r="2299" spans="1:2" x14ac:dyDescent="0.35">
      <c r="A2299">
        <v>144</v>
      </c>
      <c r="B2299" s="2">
        <v>4.1099999999999998E-2</v>
      </c>
    </row>
    <row r="2300" spans="1:2" x14ac:dyDescent="0.35">
      <c r="A2300">
        <v>144</v>
      </c>
      <c r="B2300" t="s">
        <v>29</v>
      </c>
    </row>
    <row r="2301" spans="1:2" x14ac:dyDescent="0.35">
      <c r="A2301">
        <v>144</v>
      </c>
      <c r="B2301" s="2">
        <v>-7.9299999999999995E-2</v>
      </c>
    </row>
    <row r="2302" spans="1:2" x14ac:dyDescent="0.35">
      <c r="A2302">
        <v>144</v>
      </c>
      <c r="B2302" t="s">
        <v>30</v>
      </c>
    </row>
    <row r="2303" spans="1:2" x14ac:dyDescent="0.35">
      <c r="A2303">
        <v>144</v>
      </c>
      <c r="B2303" s="2">
        <v>-0.46013999999999999</v>
      </c>
    </row>
    <row r="2304" spans="1:2" x14ac:dyDescent="0.35">
      <c r="A2304">
        <v>144</v>
      </c>
      <c r="B2304" t="s">
        <v>8</v>
      </c>
    </row>
    <row r="2305" spans="1:2" x14ac:dyDescent="0.35">
      <c r="A2305">
        <v>144</v>
      </c>
      <c r="B2305" s="2">
        <v>0.59299999999999997</v>
      </c>
    </row>
    <row r="2306" spans="1:2" x14ac:dyDescent="0.35">
      <c r="A2306">
        <v>144</v>
      </c>
      <c r="B2306" t="s">
        <v>31</v>
      </c>
    </row>
    <row r="2307" spans="1:2" x14ac:dyDescent="0.35">
      <c r="A2307">
        <v>144</v>
      </c>
      <c r="B2307">
        <v>-0.29099999999999998</v>
      </c>
    </row>
    <row r="2308" spans="1:2" x14ac:dyDescent="0.35">
      <c r="A2308">
        <v>144</v>
      </c>
      <c r="B2308" t="s">
        <v>32</v>
      </c>
    </row>
    <row r="2309" spans="1:2" x14ac:dyDescent="0.35">
      <c r="A2309">
        <v>144</v>
      </c>
      <c r="B2309" s="2">
        <v>-0.32754</v>
      </c>
    </row>
    <row r="2310" spans="1:2" x14ac:dyDescent="0.35">
      <c r="A2310">
        <v>144</v>
      </c>
      <c r="B2310" t="s">
        <v>33</v>
      </c>
    </row>
    <row r="2311" spans="1:2" x14ac:dyDescent="0.35">
      <c r="A2311">
        <v>144</v>
      </c>
      <c r="B2311" s="3">
        <v>0.53</v>
      </c>
    </row>
    <row r="2312" spans="1:2" x14ac:dyDescent="0.35">
      <c r="A2312">
        <v>144</v>
      </c>
      <c r="B2312" t="s">
        <v>34</v>
      </c>
    </row>
    <row r="2313" spans="1:2" x14ac:dyDescent="0.35">
      <c r="A2313">
        <v>144</v>
      </c>
      <c r="B2313" s="3">
        <v>0.47</v>
      </c>
    </row>
    <row r="2314" spans="1:2" x14ac:dyDescent="0.35">
      <c r="A2314">
        <v>144</v>
      </c>
      <c r="B2314" t="s">
        <v>26</v>
      </c>
    </row>
    <row r="2315" spans="1:2" x14ac:dyDescent="0.35">
      <c r="A2315">
        <v>144</v>
      </c>
      <c r="B2315">
        <v>0.52</v>
      </c>
    </row>
    <row r="2316" spans="1:2" x14ac:dyDescent="0.35">
      <c r="A2316">
        <v>144</v>
      </c>
      <c r="B2316" t="s">
        <v>23</v>
      </c>
    </row>
    <row r="2317" spans="1:2" x14ac:dyDescent="0.35">
      <c r="A2317">
        <v>144</v>
      </c>
      <c r="B2317">
        <v>-0.36</v>
      </c>
    </row>
    <row r="2318" spans="1:2" x14ac:dyDescent="0.35">
      <c r="A2318">
        <v>144</v>
      </c>
      <c r="B2318" t="s">
        <v>24</v>
      </c>
    </row>
    <row r="2319" spans="1:2" x14ac:dyDescent="0.35">
      <c r="A2319">
        <v>144</v>
      </c>
      <c r="B2319">
        <v>2.1549999999999998</v>
      </c>
    </row>
    <row r="2320" spans="1:2" x14ac:dyDescent="0.35">
      <c r="A2320">
        <v>144</v>
      </c>
      <c r="B2320" t="s">
        <v>35</v>
      </c>
    </row>
    <row r="2321" spans="1:2" x14ac:dyDescent="0.35">
      <c r="A2321">
        <v>144</v>
      </c>
      <c r="B2321">
        <v>0.60599999999999998</v>
      </c>
    </row>
    <row r="2322" spans="1:2" x14ac:dyDescent="0.35">
      <c r="A2322">
        <v>144</v>
      </c>
      <c r="B2322" t="s">
        <v>36</v>
      </c>
    </row>
    <row r="2323" spans="1:2" x14ac:dyDescent="0.35">
      <c r="A2323">
        <v>144</v>
      </c>
      <c r="B2323">
        <v>0.36699999999999999</v>
      </c>
    </row>
    <row r="2324" spans="1:2" x14ac:dyDescent="0.35">
      <c r="A2324">
        <v>144</v>
      </c>
      <c r="B2324" t="s">
        <v>37</v>
      </c>
    </row>
    <row r="2325" spans="1:2" x14ac:dyDescent="0.35">
      <c r="A2325">
        <v>144</v>
      </c>
      <c r="B2325">
        <v>-0.48199999999999998</v>
      </c>
    </row>
    <row r="2326" spans="1:2" x14ac:dyDescent="0.35">
      <c r="A2326">
        <v>144</v>
      </c>
      <c r="B2326" t="s">
        <v>38</v>
      </c>
    </row>
    <row r="2327" spans="1:2" x14ac:dyDescent="0.35">
      <c r="A2327">
        <v>144</v>
      </c>
      <c r="B2327">
        <v>0.59299999999999997</v>
      </c>
    </row>
    <row r="2328" spans="1:2" x14ac:dyDescent="0.35">
      <c r="A2328">
        <v>144</v>
      </c>
      <c r="B2328" t="s">
        <v>39</v>
      </c>
    </row>
    <row r="2329" spans="1:2" x14ac:dyDescent="0.35">
      <c r="A2329">
        <v>144</v>
      </c>
      <c r="B2329">
        <v>-0.10299999999999999</v>
      </c>
    </row>
    <row r="2330" spans="1:2" x14ac:dyDescent="0.35">
      <c r="A2330">
        <v>144</v>
      </c>
      <c r="B2330" t="s">
        <v>40</v>
      </c>
    </row>
    <row r="2331" spans="1:2" x14ac:dyDescent="0.35">
      <c r="A2331">
        <v>144</v>
      </c>
      <c r="B2331" s="4">
        <v>0</v>
      </c>
    </row>
    <row r="2332" spans="1:2" x14ac:dyDescent="0.35">
      <c r="A2332">
        <v>144</v>
      </c>
      <c r="B2332" t="s">
        <v>41</v>
      </c>
    </row>
    <row r="2333" spans="1:2" x14ac:dyDescent="0.35">
      <c r="A2333">
        <v>144</v>
      </c>
      <c r="B2333" s="4">
        <v>19000000</v>
      </c>
    </row>
    <row r="2334" spans="1:2" x14ac:dyDescent="0.35">
      <c r="A2334">
        <v>144</v>
      </c>
      <c r="B2334" t="s">
        <v>42</v>
      </c>
    </row>
    <row r="2335" spans="1:2" x14ac:dyDescent="0.35">
      <c r="A2335">
        <v>144</v>
      </c>
      <c r="B2335" t="s">
        <v>44</v>
      </c>
    </row>
    <row r="2336" spans="1:2" x14ac:dyDescent="0.35">
      <c r="A2336">
        <v>163</v>
      </c>
      <c r="B2336" t="s">
        <v>27</v>
      </c>
    </row>
    <row r="2337" spans="1:2" x14ac:dyDescent="0.35">
      <c r="A2337">
        <v>163</v>
      </c>
      <c r="B2337" s="2">
        <v>9.3880000000000005E-2</v>
      </c>
    </row>
    <row r="2338" spans="1:2" x14ac:dyDescent="0.35">
      <c r="A2338">
        <v>163</v>
      </c>
      <c r="B2338" t="s">
        <v>1</v>
      </c>
    </row>
    <row r="2339" spans="1:2" x14ac:dyDescent="0.35">
      <c r="A2339">
        <v>163</v>
      </c>
      <c r="B2339">
        <v>-0.36699999999999999</v>
      </c>
    </row>
    <row r="2340" spans="1:2" x14ac:dyDescent="0.35">
      <c r="A2340">
        <v>163</v>
      </c>
      <c r="B2340" t="s">
        <v>28</v>
      </c>
    </row>
    <row r="2341" spans="1:2" x14ac:dyDescent="0.35">
      <c r="A2341">
        <v>163</v>
      </c>
      <c r="B2341">
        <v>459</v>
      </c>
    </row>
    <row r="2342" spans="1:2" x14ac:dyDescent="0.35">
      <c r="A2342">
        <v>163</v>
      </c>
      <c r="B2342" t="s">
        <v>25</v>
      </c>
    </row>
    <row r="2343" spans="1:2" x14ac:dyDescent="0.35">
      <c r="A2343">
        <v>163</v>
      </c>
      <c r="B2343" s="2">
        <v>4.1099999999999998E-2</v>
      </c>
    </row>
    <row r="2344" spans="1:2" x14ac:dyDescent="0.35">
      <c r="A2344">
        <v>163</v>
      </c>
      <c r="B2344" t="s">
        <v>29</v>
      </c>
    </row>
    <row r="2345" spans="1:2" x14ac:dyDescent="0.35">
      <c r="A2345">
        <v>163</v>
      </c>
      <c r="B2345" s="2">
        <v>-7.9299999999999995E-2</v>
      </c>
    </row>
    <row r="2346" spans="1:2" x14ac:dyDescent="0.35">
      <c r="A2346">
        <v>163</v>
      </c>
      <c r="B2346" t="s">
        <v>30</v>
      </c>
    </row>
    <row r="2347" spans="1:2" x14ac:dyDescent="0.35">
      <c r="A2347">
        <v>163</v>
      </c>
      <c r="B2347" s="2">
        <v>-0.46013999999999999</v>
      </c>
    </row>
    <row r="2348" spans="1:2" x14ac:dyDescent="0.35">
      <c r="A2348">
        <v>163</v>
      </c>
      <c r="B2348" t="s">
        <v>8</v>
      </c>
    </row>
    <row r="2349" spans="1:2" x14ac:dyDescent="0.35">
      <c r="A2349">
        <v>163</v>
      </c>
      <c r="B2349" s="2">
        <v>0.59299999999999997</v>
      </c>
    </row>
    <row r="2350" spans="1:2" x14ac:dyDescent="0.35">
      <c r="A2350">
        <v>163</v>
      </c>
      <c r="B2350" t="s">
        <v>31</v>
      </c>
    </row>
    <row r="2351" spans="1:2" x14ac:dyDescent="0.35">
      <c r="A2351">
        <v>163</v>
      </c>
      <c r="B2351">
        <v>-0.29099999999999998</v>
      </c>
    </row>
    <row r="2352" spans="1:2" x14ac:dyDescent="0.35">
      <c r="A2352">
        <v>163</v>
      </c>
      <c r="B2352" t="s">
        <v>32</v>
      </c>
    </row>
    <row r="2353" spans="1:2" x14ac:dyDescent="0.35">
      <c r="A2353">
        <v>163</v>
      </c>
      <c r="B2353" s="2">
        <v>-0.32754</v>
      </c>
    </row>
    <row r="2354" spans="1:2" x14ac:dyDescent="0.35">
      <c r="A2354">
        <v>163</v>
      </c>
      <c r="B2354" t="s">
        <v>33</v>
      </c>
    </row>
    <row r="2355" spans="1:2" x14ac:dyDescent="0.35">
      <c r="A2355">
        <v>163</v>
      </c>
      <c r="B2355" s="3">
        <v>0.53</v>
      </c>
    </row>
    <row r="2356" spans="1:2" x14ac:dyDescent="0.35">
      <c r="A2356">
        <v>163</v>
      </c>
      <c r="B2356" t="s">
        <v>34</v>
      </c>
    </row>
    <row r="2357" spans="1:2" x14ac:dyDescent="0.35">
      <c r="A2357">
        <v>163</v>
      </c>
      <c r="B2357" s="3">
        <v>0.47</v>
      </c>
    </row>
    <row r="2358" spans="1:2" x14ac:dyDescent="0.35">
      <c r="A2358">
        <v>163</v>
      </c>
      <c r="B2358" t="s">
        <v>26</v>
      </c>
    </row>
    <row r="2359" spans="1:2" x14ac:dyDescent="0.35">
      <c r="A2359">
        <v>163</v>
      </c>
      <c r="B2359">
        <v>0.52</v>
      </c>
    </row>
    <row r="2360" spans="1:2" x14ac:dyDescent="0.35">
      <c r="A2360">
        <v>163</v>
      </c>
      <c r="B2360" t="s">
        <v>23</v>
      </c>
    </row>
    <row r="2361" spans="1:2" x14ac:dyDescent="0.35">
      <c r="A2361">
        <v>163</v>
      </c>
      <c r="B2361">
        <v>-0.36</v>
      </c>
    </row>
    <row r="2362" spans="1:2" x14ac:dyDescent="0.35">
      <c r="A2362">
        <v>163</v>
      </c>
      <c r="B2362" t="s">
        <v>24</v>
      </c>
    </row>
    <row r="2363" spans="1:2" x14ac:dyDescent="0.35">
      <c r="A2363">
        <v>163</v>
      </c>
      <c r="B2363">
        <v>2.1549999999999998</v>
      </c>
    </row>
    <row r="2364" spans="1:2" x14ac:dyDescent="0.35">
      <c r="A2364">
        <v>163</v>
      </c>
      <c r="B2364" t="s">
        <v>35</v>
      </c>
    </row>
    <row r="2365" spans="1:2" x14ac:dyDescent="0.35">
      <c r="A2365">
        <v>163</v>
      </c>
      <c r="B2365">
        <v>0.60599999999999998</v>
      </c>
    </row>
    <row r="2366" spans="1:2" x14ac:dyDescent="0.35">
      <c r="A2366">
        <v>163</v>
      </c>
      <c r="B2366" t="s">
        <v>36</v>
      </c>
    </row>
    <row r="2367" spans="1:2" x14ac:dyDescent="0.35">
      <c r="A2367">
        <v>163</v>
      </c>
      <c r="B2367">
        <v>0.36699999999999999</v>
      </c>
    </row>
    <row r="2368" spans="1:2" x14ac:dyDescent="0.35">
      <c r="A2368">
        <v>163</v>
      </c>
      <c r="B2368" t="s">
        <v>37</v>
      </c>
    </row>
    <row r="2369" spans="1:2" x14ac:dyDescent="0.35">
      <c r="A2369">
        <v>163</v>
      </c>
      <c r="B2369">
        <v>-0.48199999999999998</v>
      </c>
    </row>
    <row r="2370" spans="1:2" x14ac:dyDescent="0.35">
      <c r="A2370">
        <v>163</v>
      </c>
      <c r="B2370" t="s">
        <v>38</v>
      </c>
    </row>
    <row r="2371" spans="1:2" x14ac:dyDescent="0.35">
      <c r="A2371">
        <v>163</v>
      </c>
      <c r="B2371">
        <v>0.59299999999999997</v>
      </c>
    </row>
    <row r="2372" spans="1:2" x14ac:dyDescent="0.35">
      <c r="A2372">
        <v>163</v>
      </c>
      <c r="B2372" t="s">
        <v>39</v>
      </c>
    </row>
    <row r="2373" spans="1:2" x14ac:dyDescent="0.35">
      <c r="A2373">
        <v>163</v>
      </c>
      <c r="B2373">
        <v>-0.10299999999999999</v>
      </c>
    </row>
    <row r="2374" spans="1:2" x14ac:dyDescent="0.35">
      <c r="A2374">
        <v>163</v>
      </c>
      <c r="B2374" t="s">
        <v>40</v>
      </c>
    </row>
    <row r="2375" spans="1:2" x14ac:dyDescent="0.35">
      <c r="A2375">
        <v>163</v>
      </c>
      <c r="B2375" s="4">
        <v>0</v>
      </c>
    </row>
    <row r="2376" spans="1:2" x14ac:dyDescent="0.35">
      <c r="A2376">
        <v>163</v>
      </c>
      <c r="B2376" t="s">
        <v>41</v>
      </c>
    </row>
    <row r="2377" spans="1:2" x14ac:dyDescent="0.35">
      <c r="A2377">
        <v>163</v>
      </c>
      <c r="B2377" s="4">
        <v>19000000</v>
      </c>
    </row>
    <row r="2378" spans="1:2" x14ac:dyDescent="0.35">
      <c r="A2378">
        <v>163</v>
      </c>
      <c r="B2378" t="s">
        <v>42</v>
      </c>
    </row>
    <row r="2379" spans="1:2" x14ac:dyDescent="0.35">
      <c r="A2379">
        <v>163</v>
      </c>
      <c r="B2379" t="s">
        <v>44</v>
      </c>
    </row>
    <row r="2380" spans="1:2" x14ac:dyDescent="0.35">
      <c r="A2380">
        <v>164</v>
      </c>
      <c r="B2380" t="s">
        <v>27</v>
      </c>
    </row>
    <row r="2381" spans="1:2" x14ac:dyDescent="0.35">
      <c r="A2381">
        <v>164</v>
      </c>
      <c r="B2381" s="2">
        <v>9.3880000000000005E-2</v>
      </c>
    </row>
    <row r="2382" spans="1:2" x14ac:dyDescent="0.35">
      <c r="A2382">
        <v>164</v>
      </c>
      <c r="B2382" t="s">
        <v>1</v>
      </c>
    </row>
    <row r="2383" spans="1:2" x14ac:dyDescent="0.35">
      <c r="A2383">
        <v>164</v>
      </c>
      <c r="B2383">
        <v>-0.36699999999999999</v>
      </c>
    </row>
    <row r="2384" spans="1:2" x14ac:dyDescent="0.35">
      <c r="A2384">
        <v>164</v>
      </c>
      <c r="B2384" t="s">
        <v>28</v>
      </c>
    </row>
    <row r="2385" spans="1:2" x14ac:dyDescent="0.35">
      <c r="A2385">
        <v>164</v>
      </c>
      <c r="B2385">
        <v>459</v>
      </c>
    </row>
    <row r="2386" spans="1:2" x14ac:dyDescent="0.35">
      <c r="A2386">
        <v>164</v>
      </c>
      <c r="B2386" t="s">
        <v>25</v>
      </c>
    </row>
    <row r="2387" spans="1:2" x14ac:dyDescent="0.35">
      <c r="A2387">
        <v>164</v>
      </c>
      <c r="B2387" s="2">
        <v>4.1099999999999998E-2</v>
      </c>
    </row>
    <row r="2388" spans="1:2" x14ac:dyDescent="0.35">
      <c r="A2388">
        <v>164</v>
      </c>
      <c r="B2388" t="s">
        <v>29</v>
      </c>
    </row>
    <row r="2389" spans="1:2" x14ac:dyDescent="0.35">
      <c r="A2389">
        <v>164</v>
      </c>
      <c r="B2389" s="2">
        <v>-7.9299999999999995E-2</v>
      </c>
    </row>
    <row r="2390" spans="1:2" x14ac:dyDescent="0.35">
      <c r="A2390">
        <v>164</v>
      </c>
      <c r="B2390" t="s">
        <v>30</v>
      </c>
    </row>
    <row r="2391" spans="1:2" x14ac:dyDescent="0.35">
      <c r="A2391">
        <v>164</v>
      </c>
      <c r="B2391" s="2">
        <v>-0.46013999999999999</v>
      </c>
    </row>
    <row r="2392" spans="1:2" x14ac:dyDescent="0.35">
      <c r="A2392">
        <v>164</v>
      </c>
      <c r="B2392" t="s">
        <v>8</v>
      </c>
    </row>
    <row r="2393" spans="1:2" x14ac:dyDescent="0.35">
      <c r="A2393">
        <v>164</v>
      </c>
      <c r="B2393" s="2">
        <v>0.59299999999999997</v>
      </c>
    </row>
    <row r="2394" spans="1:2" x14ac:dyDescent="0.35">
      <c r="A2394">
        <v>164</v>
      </c>
      <c r="B2394" t="s">
        <v>31</v>
      </c>
    </row>
    <row r="2395" spans="1:2" x14ac:dyDescent="0.35">
      <c r="A2395">
        <v>164</v>
      </c>
      <c r="B2395">
        <v>-0.29099999999999998</v>
      </c>
    </row>
    <row r="2396" spans="1:2" x14ac:dyDescent="0.35">
      <c r="A2396">
        <v>164</v>
      </c>
      <c r="B2396" t="s">
        <v>32</v>
      </c>
    </row>
    <row r="2397" spans="1:2" x14ac:dyDescent="0.35">
      <c r="A2397">
        <v>164</v>
      </c>
      <c r="B2397" s="2">
        <v>-0.32754</v>
      </c>
    </row>
    <row r="2398" spans="1:2" x14ac:dyDescent="0.35">
      <c r="A2398">
        <v>164</v>
      </c>
      <c r="B2398" t="s">
        <v>33</v>
      </c>
    </row>
    <row r="2399" spans="1:2" x14ac:dyDescent="0.35">
      <c r="A2399">
        <v>164</v>
      </c>
      <c r="B2399" s="3">
        <v>0.53</v>
      </c>
    </row>
    <row r="2400" spans="1:2" x14ac:dyDescent="0.35">
      <c r="A2400">
        <v>164</v>
      </c>
      <c r="B2400" t="s">
        <v>34</v>
      </c>
    </row>
    <row r="2401" spans="1:2" x14ac:dyDescent="0.35">
      <c r="A2401">
        <v>164</v>
      </c>
      <c r="B2401" s="3">
        <v>0.47</v>
      </c>
    </row>
    <row r="2402" spans="1:2" x14ac:dyDescent="0.35">
      <c r="A2402">
        <v>164</v>
      </c>
      <c r="B2402" t="s">
        <v>26</v>
      </c>
    </row>
    <row r="2403" spans="1:2" x14ac:dyDescent="0.35">
      <c r="A2403">
        <v>164</v>
      </c>
      <c r="B2403">
        <v>0.52</v>
      </c>
    </row>
    <row r="2404" spans="1:2" x14ac:dyDescent="0.35">
      <c r="A2404">
        <v>164</v>
      </c>
      <c r="B2404" t="s">
        <v>23</v>
      </c>
    </row>
    <row r="2405" spans="1:2" x14ac:dyDescent="0.35">
      <c r="A2405">
        <v>164</v>
      </c>
      <c r="B2405">
        <v>-0.36</v>
      </c>
    </row>
    <row r="2406" spans="1:2" x14ac:dyDescent="0.35">
      <c r="A2406">
        <v>164</v>
      </c>
      <c r="B2406" t="s">
        <v>24</v>
      </c>
    </row>
    <row r="2407" spans="1:2" x14ac:dyDescent="0.35">
      <c r="A2407">
        <v>164</v>
      </c>
      <c r="B2407">
        <v>2.1549999999999998</v>
      </c>
    </row>
    <row r="2408" spans="1:2" x14ac:dyDescent="0.35">
      <c r="A2408">
        <v>164</v>
      </c>
      <c r="B2408" t="s">
        <v>35</v>
      </c>
    </row>
    <row r="2409" spans="1:2" x14ac:dyDescent="0.35">
      <c r="A2409">
        <v>164</v>
      </c>
      <c r="B2409">
        <v>0.60599999999999998</v>
      </c>
    </row>
    <row r="2410" spans="1:2" x14ac:dyDescent="0.35">
      <c r="A2410">
        <v>164</v>
      </c>
      <c r="B2410" t="s">
        <v>36</v>
      </c>
    </row>
    <row r="2411" spans="1:2" x14ac:dyDescent="0.35">
      <c r="A2411">
        <v>164</v>
      </c>
      <c r="B2411">
        <v>0.36699999999999999</v>
      </c>
    </row>
    <row r="2412" spans="1:2" x14ac:dyDescent="0.35">
      <c r="A2412">
        <v>164</v>
      </c>
      <c r="B2412" t="s">
        <v>37</v>
      </c>
    </row>
    <row r="2413" spans="1:2" x14ac:dyDescent="0.35">
      <c r="A2413">
        <v>164</v>
      </c>
      <c r="B2413">
        <v>-0.48199999999999998</v>
      </c>
    </row>
    <row r="2414" spans="1:2" x14ac:dyDescent="0.35">
      <c r="A2414">
        <v>164</v>
      </c>
      <c r="B2414" t="s">
        <v>38</v>
      </c>
    </row>
    <row r="2415" spans="1:2" x14ac:dyDescent="0.35">
      <c r="A2415">
        <v>164</v>
      </c>
      <c r="B2415">
        <v>0.59299999999999997</v>
      </c>
    </row>
    <row r="2416" spans="1:2" x14ac:dyDescent="0.35">
      <c r="A2416">
        <v>164</v>
      </c>
      <c r="B2416" t="s">
        <v>39</v>
      </c>
    </row>
    <row r="2417" spans="1:2" x14ac:dyDescent="0.35">
      <c r="A2417">
        <v>164</v>
      </c>
      <c r="B2417">
        <v>-0.10299999999999999</v>
      </c>
    </row>
    <row r="2418" spans="1:2" x14ac:dyDescent="0.35">
      <c r="A2418">
        <v>164</v>
      </c>
      <c r="B2418" t="s">
        <v>40</v>
      </c>
    </row>
    <row r="2419" spans="1:2" x14ac:dyDescent="0.35">
      <c r="A2419">
        <v>164</v>
      </c>
      <c r="B2419" s="4">
        <v>0</v>
      </c>
    </row>
    <row r="2420" spans="1:2" x14ac:dyDescent="0.35">
      <c r="A2420">
        <v>164</v>
      </c>
      <c r="B2420" t="s">
        <v>41</v>
      </c>
    </row>
    <row r="2421" spans="1:2" x14ac:dyDescent="0.35">
      <c r="A2421">
        <v>164</v>
      </c>
      <c r="B2421" s="4">
        <v>19000000</v>
      </c>
    </row>
    <row r="2422" spans="1:2" x14ac:dyDescent="0.35">
      <c r="A2422">
        <v>164</v>
      </c>
      <c r="B2422" t="s">
        <v>42</v>
      </c>
    </row>
    <row r="2423" spans="1:2" x14ac:dyDescent="0.35">
      <c r="A2423">
        <v>164</v>
      </c>
      <c r="B2423" t="s">
        <v>44</v>
      </c>
    </row>
    <row r="2424" spans="1:2" x14ac:dyDescent="0.35">
      <c r="A2424">
        <v>165</v>
      </c>
      <c r="B2424" t="s">
        <v>27</v>
      </c>
    </row>
    <row r="2425" spans="1:2" x14ac:dyDescent="0.35">
      <c r="A2425">
        <v>165</v>
      </c>
      <c r="B2425" s="2">
        <v>9.3880000000000005E-2</v>
      </c>
    </row>
    <row r="2426" spans="1:2" x14ac:dyDescent="0.35">
      <c r="A2426">
        <v>165</v>
      </c>
      <c r="B2426" t="s">
        <v>1</v>
      </c>
    </row>
    <row r="2427" spans="1:2" x14ac:dyDescent="0.35">
      <c r="A2427">
        <v>165</v>
      </c>
      <c r="B2427">
        <v>-0.36699999999999999</v>
      </c>
    </row>
    <row r="2428" spans="1:2" x14ac:dyDescent="0.35">
      <c r="A2428">
        <v>165</v>
      </c>
      <c r="B2428" t="s">
        <v>28</v>
      </c>
    </row>
    <row r="2429" spans="1:2" x14ac:dyDescent="0.35">
      <c r="A2429">
        <v>165</v>
      </c>
      <c r="B2429">
        <v>459</v>
      </c>
    </row>
    <row r="2430" spans="1:2" x14ac:dyDescent="0.35">
      <c r="A2430">
        <v>165</v>
      </c>
      <c r="B2430" t="s">
        <v>25</v>
      </c>
    </row>
    <row r="2431" spans="1:2" x14ac:dyDescent="0.35">
      <c r="A2431">
        <v>165</v>
      </c>
      <c r="B2431" s="2">
        <v>4.1099999999999998E-2</v>
      </c>
    </row>
    <row r="2432" spans="1:2" x14ac:dyDescent="0.35">
      <c r="A2432">
        <v>165</v>
      </c>
      <c r="B2432" t="s">
        <v>29</v>
      </c>
    </row>
    <row r="2433" spans="1:2" x14ac:dyDescent="0.35">
      <c r="A2433">
        <v>165</v>
      </c>
      <c r="B2433" s="2">
        <v>-7.9299999999999995E-2</v>
      </c>
    </row>
    <row r="2434" spans="1:2" x14ac:dyDescent="0.35">
      <c r="A2434">
        <v>165</v>
      </c>
      <c r="B2434" t="s">
        <v>30</v>
      </c>
    </row>
    <row r="2435" spans="1:2" x14ac:dyDescent="0.35">
      <c r="A2435">
        <v>165</v>
      </c>
      <c r="B2435" s="2">
        <v>-0.46013999999999999</v>
      </c>
    </row>
    <row r="2436" spans="1:2" x14ac:dyDescent="0.35">
      <c r="A2436">
        <v>165</v>
      </c>
      <c r="B2436" t="s">
        <v>8</v>
      </c>
    </row>
    <row r="2437" spans="1:2" x14ac:dyDescent="0.35">
      <c r="A2437">
        <v>165</v>
      </c>
      <c r="B2437" s="2">
        <v>0.59299999999999997</v>
      </c>
    </row>
    <row r="2438" spans="1:2" x14ac:dyDescent="0.35">
      <c r="A2438">
        <v>165</v>
      </c>
      <c r="B2438" t="s">
        <v>31</v>
      </c>
    </row>
    <row r="2439" spans="1:2" x14ac:dyDescent="0.35">
      <c r="A2439">
        <v>165</v>
      </c>
      <c r="B2439">
        <v>-0.29099999999999998</v>
      </c>
    </row>
    <row r="2440" spans="1:2" x14ac:dyDescent="0.35">
      <c r="A2440">
        <v>165</v>
      </c>
      <c r="B2440" t="s">
        <v>32</v>
      </c>
    </row>
    <row r="2441" spans="1:2" x14ac:dyDescent="0.35">
      <c r="A2441">
        <v>165</v>
      </c>
      <c r="B2441" s="2">
        <v>-0.32754</v>
      </c>
    </row>
    <row r="2442" spans="1:2" x14ac:dyDescent="0.35">
      <c r="A2442">
        <v>165</v>
      </c>
      <c r="B2442" t="s">
        <v>33</v>
      </c>
    </row>
    <row r="2443" spans="1:2" x14ac:dyDescent="0.35">
      <c r="A2443">
        <v>165</v>
      </c>
      <c r="B2443" s="3">
        <v>0.53</v>
      </c>
    </row>
    <row r="2444" spans="1:2" x14ac:dyDescent="0.35">
      <c r="A2444">
        <v>165</v>
      </c>
      <c r="B2444" t="s">
        <v>34</v>
      </c>
    </row>
    <row r="2445" spans="1:2" x14ac:dyDescent="0.35">
      <c r="A2445">
        <v>165</v>
      </c>
      <c r="B2445" s="3">
        <v>0.47</v>
      </c>
    </row>
    <row r="2446" spans="1:2" x14ac:dyDescent="0.35">
      <c r="A2446">
        <v>165</v>
      </c>
      <c r="B2446" t="s">
        <v>26</v>
      </c>
    </row>
    <row r="2447" spans="1:2" x14ac:dyDescent="0.35">
      <c r="A2447">
        <v>165</v>
      </c>
      <c r="B2447">
        <v>0.52</v>
      </c>
    </row>
    <row r="2448" spans="1:2" x14ac:dyDescent="0.35">
      <c r="A2448">
        <v>165</v>
      </c>
      <c r="B2448" t="s">
        <v>23</v>
      </c>
    </row>
    <row r="2449" spans="1:2" x14ac:dyDescent="0.35">
      <c r="A2449">
        <v>165</v>
      </c>
      <c r="B2449">
        <v>-0.36</v>
      </c>
    </row>
    <row r="2450" spans="1:2" x14ac:dyDescent="0.35">
      <c r="A2450">
        <v>165</v>
      </c>
      <c r="B2450" t="s">
        <v>24</v>
      </c>
    </row>
    <row r="2451" spans="1:2" x14ac:dyDescent="0.35">
      <c r="A2451">
        <v>165</v>
      </c>
      <c r="B2451">
        <v>2.1549999999999998</v>
      </c>
    </row>
    <row r="2452" spans="1:2" x14ac:dyDescent="0.35">
      <c r="A2452">
        <v>165</v>
      </c>
      <c r="B2452" t="s">
        <v>35</v>
      </c>
    </row>
    <row r="2453" spans="1:2" x14ac:dyDescent="0.35">
      <c r="A2453">
        <v>165</v>
      </c>
      <c r="B2453">
        <v>0.60599999999999998</v>
      </c>
    </row>
    <row r="2454" spans="1:2" x14ac:dyDescent="0.35">
      <c r="A2454">
        <v>165</v>
      </c>
      <c r="B2454" t="s">
        <v>36</v>
      </c>
    </row>
    <row r="2455" spans="1:2" x14ac:dyDescent="0.35">
      <c r="A2455">
        <v>165</v>
      </c>
      <c r="B2455">
        <v>0.36699999999999999</v>
      </c>
    </row>
    <row r="2456" spans="1:2" x14ac:dyDescent="0.35">
      <c r="A2456">
        <v>165</v>
      </c>
      <c r="B2456" t="s">
        <v>37</v>
      </c>
    </row>
    <row r="2457" spans="1:2" x14ac:dyDescent="0.35">
      <c r="A2457">
        <v>165</v>
      </c>
      <c r="B2457">
        <v>-0.48199999999999998</v>
      </c>
    </row>
    <row r="2458" spans="1:2" x14ac:dyDescent="0.35">
      <c r="A2458">
        <v>165</v>
      </c>
      <c r="B2458" t="s">
        <v>38</v>
      </c>
    </row>
    <row r="2459" spans="1:2" x14ac:dyDescent="0.35">
      <c r="A2459">
        <v>165</v>
      </c>
      <c r="B2459">
        <v>0.59299999999999997</v>
      </c>
    </row>
    <row r="2460" spans="1:2" x14ac:dyDescent="0.35">
      <c r="A2460">
        <v>165</v>
      </c>
      <c r="B2460" t="s">
        <v>39</v>
      </c>
    </row>
    <row r="2461" spans="1:2" x14ac:dyDescent="0.35">
      <c r="A2461">
        <v>165</v>
      </c>
      <c r="B2461">
        <v>-0.10299999999999999</v>
      </c>
    </row>
    <row r="2462" spans="1:2" x14ac:dyDescent="0.35">
      <c r="A2462">
        <v>165</v>
      </c>
      <c r="B2462" t="s">
        <v>40</v>
      </c>
    </row>
    <row r="2463" spans="1:2" x14ac:dyDescent="0.35">
      <c r="A2463">
        <v>165</v>
      </c>
      <c r="B2463" s="4">
        <v>0</v>
      </c>
    </row>
    <row r="2464" spans="1:2" x14ac:dyDescent="0.35">
      <c r="A2464">
        <v>165</v>
      </c>
      <c r="B2464" t="s">
        <v>41</v>
      </c>
    </row>
    <row r="2465" spans="1:2" x14ac:dyDescent="0.35">
      <c r="A2465">
        <v>165</v>
      </c>
      <c r="B2465" s="4">
        <v>19000000</v>
      </c>
    </row>
    <row r="2466" spans="1:2" x14ac:dyDescent="0.35">
      <c r="A2466">
        <v>165</v>
      </c>
      <c r="B2466" t="s">
        <v>42</v>
      </c>
    </row>
    <row r="2467" spans="1:2" x14ac:dyDescent="0.35">
      <c r="A2467">
        <v>165</v>
      </c>
      <c r="B2467" t="s">
        <v>44</v>
      </c>
    </row>
    <row r="2468" spans="1:2" x14ac:dyDescent="0.35">
      <c r="A2468">
        <v>166</v>
      </c>
      <c r="B2468" t="s">
        <v>27</v>
      </c>
    </row>
    <row r="2469" spans="1:2" x14ac:dyDescent="0.35">
      <c r="A2469">
        <v>166</v>
      </c>
      <c r="B2469" s="2">
        <v>9.3880000000000005E-2</v>
      </c>
    </row>
    <row r="2470" spans="1:2" x14ac:dyDescent="0.35">
      <c r="A2470">
        <v>166</v>
      </c>
      <c r="B2470" t="s">
        <v>1</v>
      </c>
    </row>
    <row r="2471" spans="1:2" x14ac:dyDescent="0.35">
      <c r="A2471">
        <v>166</v>
      </c>
      <c r="B2471">
        <v>-0.36699999999999999</v>
      </c>
    </row>
    <row r="2472" spans="1:2" x14ac:dyDescent="0.35">
      <c r="A2472">
        <v>166</v>
      </c>
      <c r="B2472" t="s">
        <v>28</v>
      </c>
    </row>
    <row r="2473" spans="1:2" x14ac:dyDescent="0.35">
      <c r="A2473">
        <v>166</v>
      </c>
      <c r="B2473">
        <v>459</v>
      </c>
    </row>
    <row r="2474" spans="1:2" x14ac:dyDescent="0.35">
      <c r="A2474">
        <v>166</v>
      </c>
      <c r="B2474" t="s">
        <v>25</v>
      </c>
    </row>
    <row r="2475" spans="1:2" x14ac:dyDescent="0.35">
      <c r="A2475">
        <v>166</v>
      </c>
      <c r="B2475" s="2">
        <v>4.1099999999999998E-2</v>
      </c>
    </row>
    <row r="2476" spans="1:2" x14ac:dyDescent="0.35">
      <c r="A2476">
        <v>166</v>
      </c>
      <c r="B2476" t="s">
        <v>29</v>
      </c>
    </row>
    <row r="2477" spans="1:2" x14ac:dyDescent="0.35">
      <c r="A2477">
        <v>166</v>
      </c>
      <c r="B2477" s="2">
        <v>-7.9299999999999995E-2</v>
      </c>
    </row>
    <row r="2478" spans="1:2" x14ac:dyDescent="0.35">
      <c r="A2478">
        <v>166</v>
      </c>
      <c r="B2478" t="s">
        <v>30</v>
      </c>
    </row>
    <row r="2479" spans="1:2" x14ac:dyDescent="0.35">
      <c r="A2479">
        <v>166</v>
      </c>
      <c r="B2479" s="2">
        <v>-0.46013999999999999</v>
      </c>
    </row>
    <row r="2480" spans="1:2" x14ac:dyDescent="0.35">
      <c r="A2480">
        <v>166</v>
      </c>
      <c r="B2480" t="s">
        <v>8</v>
      </c>
    </row>
    <row r="2481" spans="1:2" x14ac:dyDescent="0.35">
      <c r="A2481">
        <v>166</v>
      </c>
      <c r="B2481" s="2">
        <v>0.59299999999999997</v>
      </c>
    </row>
    <row r="2482" spans="1:2" x14ac:dyDescent="0.35">
      <c r="A2482">
        <v>166</v>
      </c>
      <c r="B2482" t="s">
        <v>31</v>
      </c>
    </row>
    <row r="2483" spans="1:2" x14ac:dyDescent="0.35">
      <c r="A2483">
        <v>166</v>
      </c>
      <c r="B2483">
        <v>-0.29099999999999998</v>
      </c>
    </row>
    <row r="2484" spans="1:2" x14ac:dyDescent="0.35">
      <c r="A2484">
        <v>166</v>
      </c>
      <c r="B2484" t="s">
        <v>32</v>
      </c>
    </row>
    <row r="2485" spans="1:2" x14ac:dyDescent="0.35">
      <c r="A2485">
        <v>166</v>
      </c>
      <c r="B2485" s="2">
        <v>-0.32754</v>
      </c>
    </row>
    <row r="2486" spans="1:2" x14ac:dyDescent="0.35">
      <c r="A2486">
        <v>166</v>
      </c>
      <c r="B2486" t="s">
        <v>33</v>
      </c>
    </row>
    <row r="2487" spans="1:2" x14ac:dyDescent="0.35">
      <c r="A2487">
        <v>166</v>
      </c>
      <c r="B2487" s="3">
        <v>0.53</v>
      </c>
    </row>
    <row r="2488" spans="1:2" x14ac:dyDescent="0.35">
      <c r="A2488">
        <v>166</v>
      </c>
      <c r="B2488" t="s">
        <v>34</v>
      </c>
    </row>
    <row r="2489" spans="1:2" x14ac:dyDescent="0.35">
      <c r="A2489">
        <v>166</v>
      </c>
      <c r="B2489" s="3">
        <v>0.47</v>
      </c>
    </row>
    <row r="2490" spans="1:2" x14ac:dyDescent="0.35">
      <c r="A2490">
        <v>166</v>
      </c>
      <c r="B2490" t="s">
        <v>26</v>
      </c>
    </row>
    <row r="2491" spans="1:2" x14ac:dyDescent="0.35">
      <c r="A2491">
        <v>166</v>
      </c>
      <c r="B2491">
        <v>0.52</v>
      </c>
    </row>
    <row r="2492" spans="1:2" x14ac:dyDescent="0.35">
      <c r="A2492">
        <v>166</v>
      </c>
      <c r="B2492" t="s">
        <v>23</v>
      </c>
    </row>
    <row r="2493" spans="1:2" x14ac:dyDescent="0.35">
      <c r="A2493">
        <v>166</v>
      </c>
      <c r="B2493">
        <v>-0.36</v>
      </c>
    </row>
    <row r="2494" spans="1:2" x14ac:dyDescent="0.35">
      <c r="A2494">
        <v>166</v>
      </c>
      <c r="B2494" t="s">
        <v>24</v>
      </c>
    </row>
    <row r="2495" spans="1:2" x14ac:dyDescent="0.35">
      <c r="A2495">
        <v>166</v>
      </c>
      <c r="B2495">
        <v>2.1549999999999998</v>
      </c>
    </row>
    <row r="2496" spans="1:2" x14ac:dyDescent="0.35">
      <c r="A2496">
        <v>166</v>
      </c>
      <c r="B2496" t="s">
        <v>35</v>
      </c>
    </row>
    <row r="2497" spans="1:2" x14ac:dyDescent="0.35">
      <c r="A2497">
        <v>166</v>
      </c>
      <c r="B2497">
        <v>0.60599999999999998</v>
      </c>
    </row>
    <row r="2498" spans="1:2" x14ac:dyDescent="0.35">
      <c r="A2498">
        <v>166</v>
      </c>
      <c r="B2498" t="s">
        <v>36</v>
      </c>
    </row>
    <row r="2499" spans="1:2" x14ac:dyDescent="0.35">
      <c r="A2499">
        <v>166</v>
      </c>
      <c r="B2499">
        <v>0.36699999999999999</v>
      </c>
    </row>
    <row r="2500" spans="1:2" x14ac:dyDescent="0.35">
      <c r="A2500">
        <v>166</v>
      </c>
      <c r="B2500" t="s">
        <v>37</v>
      </c>
    </row>
    <row r="2501" spans="1:2" x14ac:dyDescent="0.35">
      <c r="A2501">
        <v>166</v>
      </c>
      <c r="B2501">
        <v>-0.48199999999999998</v>
      </c>
    </row>
    <row r="2502" spans="1:2" x14ac:dyDescent="0.35">
      <c r="A2502">
        <v>166</v>
      </c>
      <c r="B2502" t="s">
        <v>38</v>
      </c>
    </row>
    <row r="2503" spans="1:2" x14ac:dyDescent="0.35">
      <c r="A2503">
        <v>166</v>
      </c>
      <c r="B2503">
        <v>0.59299999999999997</v>
      </c>
    </row>
    <row r="2504" spans="1:2" x14ac:dyDescent="0.35">
      <c r="A2504">
        <v>166</v>
      </c>
      <c r="B2504" t="s">
        <v>39</v>
      </c>
    </row>
    <row r="2505" spans="1:2" x14ac:dyDescent="0.35">
      <c r="A2505">
        <v>166</v>
      </c>
      <c r="B2505">
        <v>-0.10299999999999999</v>
      </c>
    </row>
    <row r="2506" spans="1:2" x14ac:dyDescent="0.35">
      <c r="A2506">
        <v>166</v>
      </c>
      <c r="B2506" t="s">
        <v>40</v>
      </c>
    </row>
    <row r="2507" spans="1:2" x14ac:dyDescent="0.35">
      <c r="A2507">
        <v>166</v>
      </c>
      <c r="B2507" s="4">
        <v>0</v>
      </c>
    </row>
    <row r="2508" spans="1:2" x14ac:dyDescent="0.35">
      <c r="A2508">
        <v>166</v>
      </c>
      <c r="B2508" t="s">
        <v>41</v>
      </c>
    </row>
    <row r="2509" spans="1:2" x14ac:dyDescent="0.35">
      <c r="A2509">
        <v>166</v>
      </c>
      <c r="B2509" s="4">
        <v>19000000</v>
      </c>
    </row>
    <row r="2510" spans="1:2" x14ac:dyDescent="0.35">
      <c r="A2510">
        <v>166</v>
      </c>
      <c r="B2510" t="s">
        <v>42</v>
      </c>
    </row>
    <row r="2511" spans="1:2" x14ac:dyDescent="0.35">
      <c r="A2511">
        <v>166</v>
      </c>
      <c r="B2511" t="s">
        <v>44</v>
      </c>
    </row>
    <row r="2512" spans="1:2" x14ac:dyDescent="0.35">
      <c r="A2512">
        <v>167</v>
      </c>
      <c r="B2512" t="s">
        <v>27</v>
      </c>
    </row>
    <row r="2513" spans="1:2" x14ac:dyDescent="0.35">
      <c r="A2513">
        <v>167</v>
      </c>
      <c r="B2513" s="2">
        <v>9.3880000000000005E-2</v>
      </c>
    </row>
    <row r="2514" spans="1:2" x14ac:dyDescent="0.35">
      <c r="A2514">
        <v>167</v>
      </c>
      <c r="B2514" t="s">
        <v>1</v>
      </c>
    </row>
    <row r="2515" spans="1:2" x14ac:dyDescent="0.35">
      <c r="A2515">
        <v>167</v>
      </c>
      <c r="B2515">
        <v>-0.36699999999999999</v>
      </c>
    </row>
    <row r="2516" spans="1:2" x14ac:dyDescent="0.35">
      <c r="A2516">
        <v>167</v>
      </c>
      <c r="B2516" t="s">
        <v>28</v>
      </c>
    </row>
    <row r="2517" spans="1:2" x14ac:dyDescent="0.35">
      <c r="A2517">
        <v>167</v>
      </c>
      <c r="B2517">
        <v>459</v>
      </c>
    </row>
    <row r="2518" spans="1:2" x14ac:dyDescent="0.35">
      <c r="A2518">
        <v>167</v>
      </c>
      <c r="B2518" t="s">
        <v>25</v>
      </c>
    </row>
    <row r="2519" spans="1:2" x14ac:dyDescent="0.35">
      <c r="A2519">
        <v>167</v>
      </c>
      <c r="B2519" s="2">
        <v>4.1099999999999998E-2</v>
      </c>
    </row>
    <row r="2520" spans="1:2" x14ac:dyDescent="0.35">
      <c r="A2520">
        <v>167</v>
      </c>
      <c r="B2520" t="s">
        <v>29</v>
      </c>
    </row>
    <row r="2521" spans="1:2" x14ac:dyDescent="0.35">
      <c r="A2521">
        <v>167</v>
      </c>
      <c r="B2521" s="2">
        <v>-7.9299999999999995E-2</v>
      </c>
    </row>
    <row r="2522" spans="1:2" x14ac:dyDescent="0.35">
      <c r="A2522">
        <v>167</v>
      </c>
      <c r="B2522" t="s">
        <v>30</v>
      </c>
    </row>
    <row r="2523" spans="1:2" x14ac:dyDescent="0.35">
      <c r="A2523">
        <v>167</v>
      </c>
      <c r="B2523" s="2">
        <v>-0.46013999999999999</v>
      </c>
    </row>
    <row r="2524" spans="1:2" x14ac:dyDescent="0.35">
      <c r="A2524">
        <v>167</v>
      </c>
      <c r="B2524" t="s">
        <v>8</v>
      </c>
    </row>
    <row r="2525" spans="1:2" x14ac:dyDescent="0.35">
      <c r="A2525">
        <v>167</v>
      </c>
      <c r="B2525" s="2">
        <v>0.59299999999999997</v>
      </c>
    </row>
    <row r="2526" spans="1:2" x14ac:dyDescent="0.35">
      <c r="A2526">
        <v>167</v>
      </c>
      <c r="B2526" t="s">
        <v>31</v>
      </c>
    </row>
    <row r="2527" spans="1:2" x14ac:dyDescent="0.35">
      <c r="A2527">
        <v>167</v>
      </c>
      <c r="B2527">
        <v>-0.29099999999999998</v>
      </c>
    </row>
    <row r="2528" spans="1:2" x14ac:dyDescent="0.35">
      <c r="A2528">
        <v>167</v>
      </c>
      <c r="B2528" t="s">
        <v>32</v>
      </c>
    </row>
    <row r="2529" spans="1:2" x14ac:dyDescent="0.35">
      <c r="A2529">
        <v>167</v>
      </c>
      <c r="B2529" s="2">
        <v>-0.32754</v>
      </c>
    </row>
    <row r="2530" spans="1:2" x14ac:dyDescent="0.35">
      <c r="A2530">
        <v>167</v>
      </c>
      <c r="B2530" t="s">
        <v>33</v>
      </c>
    </row>
    <row r="2531" spans="1:2" x14ac:dyDescent="0.35">
      <c r="A2531">
        <v>167</v>
      </c>
      <c r="B2531" s="3">
        <v>0.53</v>
      </c>
    </row>
    <row r="2532" spans="1:2" x14ac:dyDescent="0.35">
      <c r="A2532">
        <v>167</v>
      </c>
      <c r="B2532" t="s">
        <v>34</v>
      </c>
    </row>
    <row r="2533" spans="1:2" x14ac:dyDescent="0.35">
      <c r="A2533">
        <v>167</v>
      </c>
      <c r="B2533" s="3">
        <v>0.47</v>
      </c>
    </row>
    <row r="2534" spans="1:2" x14ac:dyDescent="0.35">
      <c r="A2534">
        <v>167</v>
      </c>
      <c r="B2534" t="s">
        <v>26</v>
      </c>
    </row>
    <row r="2535" spans="1:2" x14ac:dyDescent="0.35">
      <c r="A2535">
        <v>167</v>
      </c>
      <c r="B2535">
        <v>0.52</v>
      </c>
    </row>
    <row r="2536" spans="1:2" x14ac:dyDescent="0.35">
      <c r="A2536">
        <v>167</v>
      </c>
      <c r="B2536" t="s">
        <v>23</v>
      </c>
    </row>
    <row r="2537" spans="1:2" x14ac:dyDescent="0.35">
      <c r="A2537">
        <v>167</v>
      </c>
      <c r="B2537">
        <v>-0.36</v>
      </c>
    </row>
    <row r="2538" spans="1:2" x14ac:dyDescent="0.35">
      <c r="A2538">
        <v>167</v>
      </c>
      <c r="B2538" t="s">
        <v>24</v>
      </c>
    </row>
    <row r="2539" spans="1:2" x14ac:dyDescent="0.35">
      <c r="A2539">
        <v>167</v>
      </c>
      <c r="B2539">
        <v>2.1549999999999998</v>
      </c>
    </row>
    <row r="2540" spans="1:2" x14ac:dyDescent="0.35">
      <c r="A2540">
        <v>167</v>
      </c>
      <c r="B2540" t="s">
        <v>35</v>
      </c>
    </row>
    <row r="2541" spans="1:2" x14ac:dyDescent="0.35">
      <c r="A2541">
        <v>167</v>
      </c>
      <c r="B2541">
        <v>0.60599999999999998</v>
      </c>
    </row>
    <row r="2542" spans="1:2" x14ac:dyDescent="0.35">
      <c r="A2542">
        <v>167</v>
      </c>
      <c r="B2542" t="s">
        <v>36</v>
      </c>
    </row>
    <row r="2543" spans="1:2" x14ac:dyDescent="0.35">
      <c r="A2543">
        <v>167</v>
      </c>
      <c r="B2543">
        <v>0.36699999999999999</v>
      </c>
    </row>
    <row r="2544" spans="1:2" x14ac:dyDescent="0.35">
      <c r="A2544">
        <v>167</v>
      </c>
      <c r="B2544" t="s">
        <v>37</v>
      </c>
    </row>
    <row r="2545" spans="1:2" x14ac:dyDescent="0.35">
      <c r="A2545">
        <v>167</v>
      </c>
      <c r="B2545">
        <v>-0.48199999999999998</v>
      </c>
    </row>
    <row r="2546" spans="1:2" x14ac:dyDescent="0.35">
      <c r="A2546">
        <v>167</v>
      </c>
      <c r="B2546" t="s">
        <v>38</v>
      </c>
    </row>
    <row r="2547" spans="1:2" x14ac:dyDescent="0.35">
      <c r="A2547">
        <v>167</v>
      </c>
      <c r="B2547">
        <v>0.59299999999999997</v>
      </c>
    </row>
    <row r="2548" spans="1:2" x14ac:dyDescent="0.35">
      <c r="A2548">
        <v>167</v>
      </c>
      <c r="B2548" t="s">
        <v>39</v>
      </c>
    </row>
    <row r="2549" spans="1:2" x14ac:dyDescent="0.35">
      <c r="A2549">
        <v>167</v>
      </c>
      <c r="B2549">
        <v>-0.10299999999999999</v>
      </c>
    </row>
    <row r="2550" spans="1:2" x14ac:dyDescent="0.35">
      <c r="A2550">
        <v>167</v>
      </c>
      <c r="B2550" t="s">
        <v>40</v>
      </c>
    </row>
    <row r="2551" spans="1:2" x14ac:dyDescent="0.35">
      <c r="A2551">
        <v>167</v>
      </c>
      <c r="B2551" s="4">
        <v>0</v>
      </c>
    </row>
    <row r="2552" spans="1:2" x14ac:dyDescent="0.35">
      <c r="A2552">
        <v>167</v>
      </c>
      <c r="B2552" t="s">
        <v>41</v>
      </c>
    </row>
    <row r="2553" spans="1:2" x14ac:dyDescent="0.35">
      <c r="A2553">
        <v>167</v>
      </c>
      <c r="B2553" s="4">
        <v>19000000</v>
      </c>
    </row>
    <row r="2554" spans="1:2" x14ac:dyDescent="0.35">
      <c r="A2554">
        <v>167</v>
      </c>
      <c r="B2554" t="s">
        <v>42</v>
      </c>
    </row>
    <row r="2555" spans="1:2" x14ac:dyDescent="0.35">
      <c r="A2555">
        <v>167</v>
      </c>
      <c r="B2555" t="s">
        <v>44</v>
      </c>
    </row>
    <row r="2556" spans="1:2" x14ac:dyDescent="0.35">
      <c r="A2556">
        <v>168</v>
      </c>
      <c r="B2556" t="s">
        <v>27</v>
      </c>
    </row>
    <row r="2557" spans="1:2" x14ac:dyDescent="0.35">
      <c r="A2557">
        <v>168</v>
      </c>
      <c r="B2557" s="2">
        <v>9.3880000000000005E-2</v>
      </c>
    </row>
    <row r="2558" spans="1:2" x14ac:dyDescent="0.35">
      <c r="A2558">
        <v>168</v>
      </c>
      <c r="B2558" t="s">
        <v>1</v>
      </c>
    </row>
    <row r="2559" spans="1:2" x14ac:dyDescent="0.35">
      <c r="A2559">
        <v>168</v>
      </c>
      <c r="B2559">
        <v>-0.36699999999999999</v>
      </c>
    </row>
    <row r="2560" spans="1:2" x14ac:dyDescent="0.35">
      <c r="A2560">
        <v>168</v>
      </c>
      <c r="B2560" t="s">
        <v>28</v>
      </c>
    </row>
    <row r="2561" spans="1:2" x14ac:dyDescent="0.35">
      <c r="A2561">
        <v>168</v>
      </c>
      <c r="B2561">
        <v>459</v>
      </c>
    </row>
    <row r="2562" spans="1:2" x14ac:dyDescent="0.35">
      <c r="A2562">
        <v>168</v>
      </c>
      <c r="B2562" t="s">
        <v>25</v>
      </c>
    </row>
    <row r="2563" spans="1:2" x14ac:dyDescent="0.35">
      <c r="A2563">
        <v>168</v>
      </c>
      <c r="B2563" s="2">
        <v>4.1099999999999998E-2</v>
      </c>
    </row>
    <row r="2564" spans="1:2" x14ac:dyDescent="0.35">
      <c r="A2564">
        <v>168</v>
      </c>
      <c r="B2564" t="s">
        <v>29</v>
      </c>
    </row>
    <row r="2565" spans="1:2" x14ac:dyDescent="0.35">
      <c r="A2565">
        <v>168</v>
      </c>
      <c r="B2565" s="2">
        <v>-7.9299999999999995E-2</v>
      </c>
    </row>
    <row r="2566" spans="1:2" x14ac:dyDescent="0.35">
      <c r="A2566">
        <v>168</v>
      </c>
      <c r="B2566" t="s">
        <v>30</v>
      </c>
    </row>
    <row r="2567" spans="1:2" x14ac:dyDescent="0.35">
      <c r="A2567">
        <v>168</v>
      </c>
      <c r="B2567" s="2">
        <v>-0.46013999999999999</v>
      </c>
    </row>
    <row r="2568" spans="1:2" x14ac:dyDescent="0.35">
      <c r="A2568">
        <v>168</v>
      </c>
      <c r="B2568" t="s">
        <v>8</v>
      </c>
    </row>
    <row r="2569" spans="1:2" x14ac:dyDescent="0.35">
      <c r="A2569">
        <v>168</v>
      </c>
      <c r="B2569" s="2">
        <v>0.59299999999999997</v>
      </c>
    </row>
    <row r="2570" spans="1:2" x14ac:dyDescent="0.35">
      <c r="A2570">
        <v>168</v>
      </c>
      <c r="B2570" t="s">
        <v>31</v>
      </c>
    </row>
    <row r="2571" spans="1:2" x14ac:dyDescent="0.35">
      <c r="A2571">
        <v>168</v>
      </c>
      <c r="B2571">
        <v>-0.29099999999999998</v>
      </c>
    </row>
    <row r="2572" spans="1:2" x14ac:dyDescent="0.35">
      <c r="A2572">
        <v>168</v>
      </c>
      <c r="B2572" t="s">
        <v>32</v>
      </c>
    </row>
    <row r="2573" spans="1:2" x14ac:dyDescent="0.35">
      <c r="A2573">
        <v>168</v>
      </c>
      <c r="B2573" s="2">
        <v>-0.32754</v>
      </c>
    </row>
    <row r="2574" spans="1:2" x14ac:dyDescent="0.35">
      <c r="A2574">
        <v>168</v>
      </c>
      <c r="B2574" t="s">
        <v>33</v>
      </c>
    </row>
    <row r="2575" spans="1:2" x14ac:dyDescent="0.35">
      <c r="A2575">
        <v>168</v>
      </c>
      <c r="B2575" s="3">
        <v>0.53</v>
      </c>
    </row>
    <row r="2576" spans="1:2" x14ac:dyDescent="0.35">
      <c r="A2576">
        <v>168</v>
      </c>
      <c r="B2576" t="s">
        <v>34</v>
      </c>
    </row>
    <row r="2577" spans="1:2" x14ac:dyDescent="0.35">
      <c r="A2577">
        <v>168</v>
      </c>
      <c r="B2577" s="3">
        <v>0.47</v>
      </c>
    </row>
    <row r="2578" spans="1:2" x14ac:dyDescent="0.35">
      <c r="A2578">
        <v>168</v>
      </c>
      <c r="B2578" t="s">
        <v>26</v>
      </c>
    </row>
    <row r="2579" spans="1:2" x14ac:dyDescent="0.35">
      <c r="A2579">
        <v>168</v>
      </c>
      <c r="B2579">
        <v>0.52</v>
      </c>
    </row>
    <row r="2580" spans="1:2" x14ac:dyDescent="0.35">
      <c r="A2580">
        <v>168</v>
      </c>
      <c r="B2580" t="s">
        <v>23</v>
      </c>
    </row>
    <row r="2581" spans="1:2" x14ac:dyDescent="0.35">
      <c r="A2581">
        <v>168</v>
      </c>
      <c r="B2581">
        <v>-0.36</v>
      </c>
    </row>
    <row r="2582" spans="1:2" x14ac:dyDescent="0.35">
      <c r="A2582">
        <v>168</v>
      </c>
      <c r="B2582" t="s">
        <v>24</v>
      </c>
    </row>
    <row r="2583" spans="1:2" x14ac:dyDescent="0.35">
      <c r="A2583">
        <v>168</v>
      </c>
      <c r="B2583">
        <v>2.1549999999999998</v>
      </c>
    </row>
    <row r="2584" spans="1:2" x14ac:dyDescent="0.35">
      <c r="A2584">
        <v>168</v>
      </c>
      <c r="B2584" t="s">
        <v>35</v>
      </c>
    </row>
    <row r="2585" spans="1:2" x14ac:dyDescent="0.35">
      <c r="A2585">
        <v>168</v>
      </c>
      <c r="B2585">
        <v>0.60599999999999998</v>
      </c>
    </row>
    <row r="2586" spans="1:2" x14ac:dyDescent="0.35">
      <c r="A2586">
        <v>168</v>
      </c>
      <c r="B2586" t="s">
        <v>36</v>
      </c>
    </row>
    <row r="2587" spans="1:2" x14ac:dyDescent="0.35">
      <c r="A2587">
        <v>168</v>
      </c>
      <c r="B2587">
        <v>0.36699999999999999</v>
      </c>
    </row>
    <row r="2588" spans="1:2" x14ac:dyDescent="0.35">
      <c r="A2588">
        <v>168</v>
      </c>
      <c r="B2588" t="s">
        <v>37</v>
      </c>
    </row>
    <row r="2589" spans="1:2" x14ac:dyDescent="0.35">
      <c r="A2589">
        <v>168</v>
      </c>
      <c r="B2589">
        <v>-0.48199999999999998</v>
      </c>
    </row>
    <row r="2590" spans="1:2" x14ac:dyDescent="0.35">
      <c r="A2590">
        <v>168</v>
      </c>
      <c r="B2590" t="s">
        <v>38</v>
      </c>
    </row>
    <row r="2591" spans="1:2" x14ac:dyDescent="0.35">
      <c r="A2591">
        <v>168</v>
      </c>
      <c r="B2591">
        <v>0.59299999999999997</v>
      </c>
    </row>
    <row r="2592" spans="1:2" x14ac:dyDescent="0.35">
      <c r="A2592">
        <v>168</v>
      </c>
      <c r="B2592" t="s">
        <v>39</v>
      </c>
    </row>
    <row r="2593" spans="1:2" x14ac:dyDescent="0.35">
      <c r="A2593">
        <v>168</v>
      </c>
      <c r="B2593">
        <v>-0.10299999999999999</v>
      </c>
    </row>
    <row r="2594" spans="1:2" x14ac:dyDescent="0.35">
      <c r="A2594">
        <v>168</v>
      </c>
      <c r="B2594" t="s">
        <v>40</v>
      </c>
    </row>
    <row r="2595" spans="1:2" x14ac:dyDescent="0.35">
      <c r="A2595">
        <v>168</v>
      </c>
      <c r="B2595" s="4">
        <v>0</v>
      </c>
    </row>
    <row r="2596" spans="1:2" x14ac:dyDescent="0.35">
      <c r="A2596">
        <v>168</v>
      </c>
      <c r="B2596" t="s">
        <v>41</v>
      </c>
    </row>
    <row r="2597" spans="1:2" x14ac:dyDescent="0.35">
      <c r="A2597">
        <v>168</v>
      </c>
      <c r="B2597" s="4">
        <v>19000000</v>
      </c>
    </row>
    <row r="2598" spans="1:2" x14ac:dyDescent="0.35">
      <c r="A2598">
        <v>168</v>
      </c>
      <c r="B2598" t="s">
        <v>42</v>
      </c>
    </row>
    <row r="2599" spans="1:2" x14ac:dyDescent="0.35">
      <c r="A2599">
        <v>168</v>
      </c>
      <c r="B2599" t="s">
        <v>44</v>
      </c>
    </row>
    <row r="2600" spans="1:2" x14ac:dyDescent="0.35">
      <c r="A2600">
        <v>169</v>
      </c>
      <c r="B2600" t="s">
        <v>27</v>
      </c>
    </row>
    <row r="2601" spans="1:2" x14ac:dyDescent="0.35">
      <c r="A2601">
        <v>169</v>
      </c>
      <c r="B2601" s="2">
        <v>9.3880000000000005E-2</v>
      </c>
    </row>
    <row r="2602" spans="1:2" x14ac:dyDescent="0.35">
      <c r="A2602">
        <v>169</v>
      </c>
      <c r="B2602" t="s">
        <v>1</v>
      </c>
    </row>
    <row r="2603" spans="1:2" x14ac:dyDescent="0.35">
      <c r="A2603">
        <v>169</v>
      </c>
      <c r="B2603">
        <v>-0.36699999999999999</v>
      </c>
    </row>
    <row r="2604" spans="1:2" x14ac:dyDescent="0.35">
      <c r="A2604">
        <v>169</v>
      </c>
      <c r="B2604" t="s">
        <v>28</v>
      </c>
    </row>
    <row r="2605" spans="1:2" x14ac:dyDescent="0.35">
      <c r="A2605">
        <v>169</v>
      </c>
      <c r="B2605">
        <v>459</v>
      </c>
    </row>
    <row r="2606" spans="1:2" x14ac:dyDescent="0.35">
      <c r="A2606">
        <v>169</v>
      </c>
      <c r="B2606" t="s">
        <v>25</v>
      </c>
    </row>
    <row r="2607" spans="1:2" x14ac:dyDescent="0.35">
      <c r="A2607">
        <v>169</v>
      </c>
      <c r="B2607" s="2">
        <v>4.1099999999999998E-2</v>
      </c>
    </row>
    <row r="2608" spans="1:2" x14ac:dyDescent="0.35">
      <c r="A2608">
        <v>169</v>
      </c>
      <c r="B2608" t="s">
        <v>29</v>
      </c>
    </row>
    <row r="2609" spans="1:2" x14ac:dyDescent="0.35">
      <c r="A2609">
        <v>169</v>
      </c>
      <c r="B2609" s="2">
        <v>-7.9299999999999995E-2</v>
      </c>
    </row>
    <row r="2610" spans="1:2" x14ac:dyDescent="0.35">
      <c r="A2610">
        <v>169</v>
      </c>
      <c r="B2610" t="s">
        <v>30</v>
      </c>
    </row>
    <row r="2611" spans="1:2" x14ac:dyDescent="0.35">
      <c r="A2611">
        <v>169</v>
      </c>
      <c r="B2611" s="2">
        <v>-0.46013999999999999</v>
      </c>
    </row>
    <row r="2612" spans="1:2" x14ac:dyDescent="0.35">
      <c r="A2612">
        <v>169</v>
      </c>
      <c r="B2612" t="s">
        <v>8</v>
      </c>
    </row>
    <row r="2613" spans="1:2" x14ac:dyDescent="0.35">
      <c r="A2613">
        <v>169</v>
      </c>
      <c r="B2613" s="2">
        <v>0.59299999999999997</v>
      </c>
    </row>
    <row r="2614" spans="1:2" x14ac:dyDescent="0.35">
      <c r="A2614">
        <v>169</v>
      </c>
      <c r="B2614" t="s">
        <v>31</v>
      </c>
    </row>
    <row r="2615" spans="1:2" x14ac:dyDescent="0.35">
      <c r="A2615">
        <v>169</v>
      </c>
      <c r="B2615">
        <v>-0.29099999999999998</v>
      </c>
    </row>
    <row r="2616" spans="1:2" x14ac:dyDescent="0.35">
      <c r="A2616">
        <v>169</v>
      </c>
      <c r="B2616" t="s">
        <v>32</v>
      </c>
    </row>
    <row r="2617" spans="1:2" x14ac:dyDescent="0.35">
      <c r="A2617">
        <v>169</v>
      </c>
      <c r="B2617" s="2">
        <v>-0.32754</v>
      </c>
    </row>
    <row r="2618" spans="1:2" x14ac:dyDescent="0.35">
      <c r="A2618">
        <v>169</v>
      </c>
      <c r="B2618" t="s">
        <v>33</v>
      </c>
    </row>
    <row r="2619" spans="1:2" x14ac:dyDescent="0.35">
      <c r="A2619">
        <v>169</v>
      </c>
      <c r="B2619" s="3">
        <v>0.53</v>
      </c>
    </row>
    <row r="2620" spans="1:2" x14ac:dyDescent="0.35">
      <c r="A2620">
        <v>169</v>
      </c>
      <c r="B2620" t="s">
        <v>34</v>
      </c>
    </row>
    <row r="2621" spans="1:2" x14ac:dyDescent="0.35">
      <c r="A2621">
        <v>169</v>
      </c>
      <c r="B2621" s="3">
        <v>0.47</v>
      </c>
    </row>
    <row r="2622" spans="1:2" x14ac:dyDescent="0.35">
      <c r="A2622">
        <v>169</v>
      </c>
      <c r="B2622" t="s">
        <v>26</v>
      </c>
    </row>
    <row r="2623" spans="1:2" x14ac:dyDescent="0.35">
      <c r="A2623">
        <v>169</v>
      </c>
      <c r="B2623">
        <v>0.52</v>
      </c>
    </row>
    <row r="2624" spans="1:2" x14ac:dyDescent="0.35">
      <c r="A2624">
        <v>169</v>
      </c>
      <c r="B2624" t="s">
        <v>23</v>
      </c>
    </row>
    <row r="2625" spans="1:2" x14ac:dyDescent="0.35">
      <c r="A2625">
        <v>169</v>
      </c>
      <c r="B2625">
        <v>-0.36</v>
      </c>
    </row>
    <row r="2626" spans="1:2" x14ac:dyDescent="0.35">
      <c r="A2626">
        <v>169</v>
      </c>
      <c r="B2626" t="s">
        <v>24</v>
      </c>
    </row>
    <row r="2627" spans="1:2" x14ac:dyDescent="0.35">
      <c r="A2627">
        <v>169</v>
      </c>
      <c r="B2627">
        <v>2.1549999999999998</v>
      </c>
    </row>
    <row r="2628" spans="1:2" x14ac:dyDescent="0.35">
      <c r="A2628">
        <v>169</v>
      </c>
      <c r="B2628" t="s">
        <v>35</v>
      </c>
    </row>
    <row r="2629" spans="1:2" x14ac:dyDescent="0.35">
      <c r="A2629">
        <v>169</v>
      </c>
      <c r="B2629">
        <v>0.60599999999999998</v>
      </c>
    </row>
    <row r="2630" spans="1:2" x14ac:dyDescent="0.35">
      <c r="A2630">
        <v>169</v>
      </c>
      <c r="B2630" t="s">
        <v>36</v>
      </c>
    </row>
    <row r="2631" spans="1:2" x14ac:dyDescent="0.35">
      <c r="A2631">
        <v>169</v>
      </c>
      <c r="B2631">
        <v>0.36699999999999999</v>
      </c>
    </row>
    <row r="2632" spans="1:2" x14ac:dyDescent="0.35">
      <c r="A2632">
        <v>169</v>
      </c>
      <c r="B2632" t="s">
        <v>37</v>
      </c>
    </row>
    <row r="2633" spans="1:2" x14ac:dyDescent="0.35">
      <c r="A2633">
        <v>169</v>
      </c>
      <c r="B2633">
        <v>-0.48199999999999998</v>
      </c>
    </row>
    <row r="2634" spans="1:2" x14ac:dyDescent="0.35">
      <c r="A2634">
        <v>169</v>
      </c>
      <c r="B2634" t="s">
        <v>38</v>
      </c>
    </row>
    <row r="2635" spans="1:2" x14ac:dyDescent="0.35">
      <c r="A2635">
        <v>169</v>
      </c>
      <c r="B2635">
        <v>0.59299999999999997</v>
      </c>
    </row>
    <row r="2636" spans="1:2" x14ac:dyDescent="0.35">
      <c r="A2636">
        <v>169</v>
      </c>
      <c r="B2636" t="s">
        <v>39</v>
      </c>
    </row>
    <row r="2637" spans="1:2" x14ac:dyDescent="0.35">
      <c r="A2637">
        <v>169</v>
      </c>
      <c r="B2637">
        <v>-0.10299999999999999</v>
      </c>
    </row>
    <row r="2638" spans="1:2" x14ac:dyDescent="0.35">
      <c r="A2638">
        <v>169</v>
      </c>
      <c r="B2638" t="s">
        <v>40</v>
      </c>
    </row>
    <row r="2639" spans="1:2" x14ac:dyDescent="0.35">
      <c r="A2639">
        <v>169</v>
      </c>
      <c r="B2639" s="4">
        <v>0</v>
      </c>
    </row>
    <row r="2640" spans="1:2" x14ac:dyDescent="0.35">
      <c r="A2640">
        <v>169</v>
      </c>
      <c r="B2640" t="s">
        <v>41</v>
      </c>
    </row>
    <row r="2641" spans="1:2" x14ac:dyDescent="0.35">
      <c r="A2641">
        <v>169</v>
      </c>
      <c r="B2641" s="4">
        <v>19000000</v>
      </c>
    </row>
    <row r="2642" spans="1:2" x14ac:dyDescent="0.35">
      <c r="A2642">
        <v>169</v>
      </c>
      <c r="B2642" t="s">
        <v>42</v>
      </c>
    </row>
    <row r="2643" spans="1:2" x14ac:dyDescent="0.35">
      <c r="A2643">
        <v>169</v>
      </c>
      <c r="B2643" t="s">
        <v>44</v>
      </c>
    </row>
    <row r="2644" spans="1:2" x14ac:dyDescent="0.35">
      <c r="A2644">
        <v>170</v>
      </c>
      <c r="B2644" t="s">
        <v>27</v>
      </c>
    </row>
    <row r="2645" spans="1:2" x14ac:dyDescent="0.35">
      <c r="A2645">
        <v>170</v>
      </c>
      <c r="B2645" s="2">
        <v>9.3880000000000005E-2</v>
      </c>
    </row>
    <row r="2646" spans="1:2" x14ac:dyDescent="0.35">
      <c r="A2646">
        <v>170</v>
      </c>
      <c r="B2646" t="s">
        <v>1</v>
      </c>
    </row>
    <row r="2647" spans="1:2" x14ac:dyDescent="0.35">
      <c r="A2647">
        <v>170</v>
      </c>
      <c r="B2647">
        <v>-0.36699999999999999</v>
      </c>
    </row>
    <row r="2648" spans="1:2" x14ac:dyDescent="0.35">
      <c r="A2648">
        <v>170</v>
      </c>
      <c r="B2648" t="s">
        <v>28</v>
      </c>
    </row>
    <row r="2649" spans="1:2" x14ac:dyDescent="0.35">
      <c r="A2649">
        <v>170</v>
      </c>
      <c r="B2649">
        <v>459</v>
      </c>
    </row>
    <row r="2650" spans="1:2" x14ac:dyDescent="0.35">
      <c r="A2650">
        <v>170</v>
      </c>
      <c r="B2650" t="s">
        <v>25</v>
      </c>
    </row>
    <row r="2651" spans="1:2" x14ac:dyDescent="0.35">
      <c r="A2651">
        <v>170</v>
      </c>
      <c r="B2651" s="2">
        <v>4.1099999999999998E-2</v>
      </c>
    </row>
    <row r="2652" spans="1:2" x14ac:dyDescent="0.35">
      <c r="A2652">
        <v>170</v>
      </c>
      <c r="B2652" t="s">
        <v>29</v>
      </c>
    </row>
    <row r="2653" spans="1:2" x14ac:dyDescent="0.35">
      <c r="A2653">
        <v>170</v>
      </c>
      <c r="B2653" s="2">
        <v>-7.9299999999999995E-2</v>
      </c>
    </row>
    <row r="2654" spans="1:2" x14ac:dyDescent="0.35">
      <c r="A2654">
        <v>170</v>
      </c>
      <c r="B2654" t="s">
        <v>30</v>
      </c>
    </row>
    <row r="2655" spans="1:2" x14ac:dyDescent="0.35">
      <c r="A2655">
        <v>170</v>
      </c>
      <c r="B2655" s="2">
        <v>-0.46013999999999999</v>
      </c>
    </row>
    <row r="2656" spans="1:2" x14ac:dyDescent="0.35">
      <c r="A2656">
        <v>170</v>
      </c>
      <c r="B2656" t="s">
        <v>8</v>
      </c>
    </row>
    <row r="2657" spans="1:2" x14ac:dyDescent="0.35">
      <c r="A2657">
        <v>170</v>
      </c>
      <c r="B2657" s="2">
        <v>0.59299999999999997</v>
      </c>
    </row>
    <row r="2658" spans="1:2" x14ac:dyDescent="0.35">
      <c r="A2658">
        <v>170</v>
      </c>
      <c r="B2658" t="s">
        <v>31</v>
      </c>
    </row>
    <row r="2659" spans="1:2" x14ac:dyDescent="0.35">
      <c r="A2659">
        <v>170</v>
      </c>
      <c r="B2659">
        <v>-0.29099999999999998</v>
      </c>
    </row>
    <row r="2660" spans="1:2" x14ac:dyDescent="0.35">
      <c r="A2660">
        <v>170</v>
      </c>
      <c r="B2660" t="s">
        <v>32</v>
      </c>
    </row>
    <row r="2661" spans="1:2" x14ac:dyDescent="0.35">
      <c r="A2661">
        <v>170</v>
      </c>
      <c r="B2661" s="2">
        <v>-0.32754</v>
      </c>
    </row>
    <row r="2662" spans="1:2" x14ac:dyDescent="0.35">
      <c r="A2662">
        <v>170</v>
      </c>
      <c r="B2662" t="s">
        <v>33</v>
      </c>
    </row>
    <row r="2663" spans="1:2" x14ac:dyDescent="0.35">
      <c r="A2663">
        <v>170</v>
      </c>
      <c r="B2663" s="3">
        <v>0.53</v>
      </c>
    </row>
    <row r="2664" spans="1:2" x14ac:dyDescent="0.35">
      <c r="A2664">
        <v>170</v>
      </c>
      <c r="B2664" t="s">
        <v>34</v>
      </c>
    </row>
    <row r="2665" spans="1:2" x14ac:dyDescent="0.35">
      <c r="A2665">
        <v>170</v>
      </c>
      <c r="B2665" s="3">
        <v>0.47</v>
      </c>
    </row>
    <row r="2666" spans="1:2" x14ac:dyDescent="0.35">
      <c r="A2666">
        <v>170</v>
      </c>
      <c r="B2666" t="s">
        <v>26</v>
      </c>
    </row>
    <row r="2667" spans="1:2" x14ac:dyDescent="0.35">
      <c r="A2667">
        <v>170</v>
      </c>
      <c r="B2667">
        <v>0.52</v>
      </c>
    </row>
    <row r="2668" spans="1:2" x14ac:dyDescent="0.35">
      <c r="A2668">
        <v>170</v>
      </c>
      <c r="B2668" t="s">
        <v>23</v>
      </c>
    </row>
    <row r="2669" spans="1:2" x14ac:dyDescent="0.35">
      <c r="A2669">
        <v>170</v>
      </c>
      <c r="B2669">
        <v>-0.36</v>
      </c>
    </row>
    <row r="2670" spans="1:2" x14ac:dyDescent="0.35">
      <c r="A2670">
        <v>170</v>
      </c>
      <c r="B2670" t="s">
        <v>24</v>
      </c>
    </row>
    <row r="2671" spans="1:2" x14ac:dyDescent="0.35">
      <c r="A2671">
        <v>170</v>
      </c>
      <c r="B2671">
        <v>2.1549999999999998</v>
      </c>
    </row>
    <row r="2672" spans="1:2" x14ac:dyDescent="0.35">
      <c r="A2672">
        <v>170</v>
      </c>
      <c r="B2672" t="s">
        <v>35</v>
      </c>
    </row>
    <row r="2673" spans="1:2" x14ac:dyDescent="0.35">
      <c r="A2673">
        <v>170</v>
      </c>
      <c r="B2673">
        <v>0.60599999999999998</v>
      </c>
    </row>
    <row r="2674" spans="1:2" x14ac:dyDescent="0.35">
      <c r="A2674">
        <v>170</v>
      </c>
      <c r="B2674" t="s">
        <v>36</v>
      </c>
    </row>
    <row r="2675" spans="1:2" x14ac:dyDescent="0.35">
      <c r="A2675">
        <v>170</v>
      </c>
      <c r="B2675">
        <v>0.36699999999999999</v>
      </c>
    </row>
    <row r="2676" spans="1:2" x14ac:dyDescent="0.35">
      <c r="A2676">
        <v>170</v>
      </c>
      <c r="B2676" t="s">
        <v>37</v>
      </c>
    </row>
    <row r="2677" spans="1:2" x14ac:dyDescent="0.35">
      <c r="A2677">
        <v>170</v>
      </c>
      <c r="B2677">
        <v>-0.48199999999999998</v>
      </c>
    </row>
    <row r="2678" spans="1:2" x14ac:dyDescent="0.35">
      <c r="A2678">
        <v>170</v>
      </c>
      <c r="B2678" t="s">
        <v>38</v>
      </c>
    </row>
    <row r="2679" spans="1:2" x14ac:dyDescent="0.35">
      <c r="A2679">
        <v>170</v>
      </c>
      <c r="B2679">
        <v>0.59299999999999997</v>
      </c>
    </row>
    <row r="2680" spans="1:2" x14ac:dyDescent="0.35">
      <c r="A2680">
        <v>170</v>
      </c>
      <c r="B2680" t="s">
        <v>39</v>
      </c>
    </row>
    <row r="2681" spans="1:2" x14ac:dyDescent="0.35">
      <c r="A2681">
        <v>170</v>
      </c>
      <c r="B2681">
        <v>-0.10299999999999999</v>
      </c>
    </row>
    <row r="2682" spans="1:2" x14ac:dyDescent="0.35">
      <c r="A2682">
        <v>170</v>
      </c>
      <c r="B2682" t="s">
        <v>40</v>
      </c>
    </row>
    <row r="2683" spans="1:2" x14ac:dyDescent="0.35">
      <c r="A2683">
        <v>170</v>
      </c>
      <c r="B2683" s="4">
        <v>0</v>
      </c>
    </row>
    <row r="2684" spans="1:2" x14ac:dyDescent="0.35">
      <c r="A2684">
        <v>170</v>
      </c>
      <c r="B2684" t="s">
        <v>41</v>
      </c>
    </row>
    <row r="2685" spans="1:2" x14ac:dyDescent="0.35">
      <c r="A2685">
        <v>170</v>
      </c>
      <c r="B2685" s="4">
        <v>19000000</v>
      </c>
    </row>
    <row r="2686" spans="1:2" x14ac:dyDescent="0.35">
      <c r="A2686">
        <v>170</v>
      </c>
      <c r="B2686" t="s">
        <v>42</v>
      </c>
    </row>
    <row r="2687" spans="1:2" x14ac:dyDescent="0.35">
      <c r="A2687">
        <v>170</v>
      </c>
      <c r="B2687" t="s">
        <v>44</v>
      </c>
    </row>
    <row r="2688" spans="1:2" x14ac:dyDescent="0.35">
      <c r="A2688">
        <v>171</v>
      </c>
      <c r="B2688" t="s">
        <v>27</v>
      </c>
    </row>
    <row r="2689" spans="1:2" x14ac:dyDescent="0.35">
      <c r="A2689">
        <v>171</v>
      </c>
      <c r="B2689" s="2">
        <v>9.3880000000000005E-2</v>
      </c>
    </row>
    <row r="2690" spans="1:2" x14ac:dyDescent="0.35">
      <c r="A2690">
        <v>171</v>
      </c>
      <c r="B2690" t="s">
        <v>1</v>
      </c>
    </row>
    <row r="2691" spans="1:2" x14ac:dyDescent="0.35">
      <c r="A2691">
        <v>171</v>
      </c>
      <c r="B2691">
        <v>-0.36699999999999999</v>
      </c>
    </row>
    <row r="2692" spans="1:2" x14ac:dyDescent="0.35">
      <c r="A2692">
        <v>171</v>
      </c>
      <c r="B2692" t="s">
        <v>28</v>
      </c>
    </row>
    <row r="2693" spans="1:2" x14ac:dyDescent="0.35">
      <c r="A2693">
        <v>171</v>
      </c>
      <c r="B2693">
        <v>459</v>
      </c>
    </row>
    <row r="2694" spans="1:2" x14ac:dyDescent="0.35">
      <c r="A2694">
        <v>171</v>
      </c>
      <c r="B2694" t="s">
        <v>25</v>
      </c>
    </row>
    <row r="2695" spans="1:2" x14ac:dyDescent="0.35">
      <c r="A2695">
        <v>171</v>
      </c>
      <c r="B2695" s="2">
        <v>4.1099999999999998E-2</v>
      </c>
    </row>
    <row r="2696" spans="1:2" x14ac:dyDescent="0.35">
      <c r="A2696">
        <v>171</v>
      </c>
      <c r="B2696" t="s">
        <v>29</v>
      </c>
    </row>
    <row r="2697" spans="1:2" x14ac:dyDescent="0.35">
      <c r="A2697">
        <v>171</v>
      </c>
      <c r="B2697" s="2">
        <v>-7.9299999999999995E-2</v>
      </c>
    </row>
    <row r="2698" spans="1:2" x14ac:dyDescent="0.35">
      <c r="A2698">
        <v>171</v>
      </c>
      <c r="B2698" t="s">
        <v>30</v>
      </c>
    </row>
    <row r="2699" spans="1:2" x14ac:dyDescent="0.35">
      <c r="A2699">
        <v>171</v>
      </c>
      <c r="B2699" s="2">
        <v>-0.46013999999999999</v>
      </c>
    </row>
    <row r="2700" spans="1:2" x14ac:dyDescent="0.35">
      <c r="A2700">
        <v>171</v>
      </c>
      <c r="B2700" t="s">
        <v>8</v>
      </c>
    </row>
    <row r="2701" spans="1:2" x14ac:dyDescent="0.35">
      <c r="A2701">
        <v>171</v>
      </c>
      <c r="B2701" s="2">
        <v>0.59299999999999997</v>
      </c>
    </row>
    <row r="2702" spans="1:2" x14ac:dyDescent="0.35">
      <c r="A2702">
        <v>171</v>
      </c>
      <c r="B2702" t="s">
        <v>31</v>
      </c>
    </row>
    <row r="2703" spans="1:2" x14ac:dyDescent="0.35">
      <c r="A2703">
        <v>171</v>
      </c>
      <c r="B2703">
        <v>-0.29099999999999998</v>
      </c>
    </row>
    <row r="2704" spans="1:2" x14ac:dyDescent="0.35">
      <c r="A2704">
        <v>171</v>
      </c>
      <c r="B2704" t="s">
        <v>32</v>
      </c>
    </row>
    <row r="2705" spans="1:2" x14ac:dyDescent="0.35">
      <c r="A2705">
        <v>171</v>
      </c>
      <c r="B2705" s="2">
        <v>-0.32754</v>
      </c>
    </row>
    <row r="2706" spans="1:2" x14ac:dyDescent="0.35">
      <c r="A2706">
        <v>171</v>
      </c>
      <c r="B2706" t="s">
        <v>33</v>
      </c>
    </row>
    <row r="2707" spans="1:2" x14ac:dyDescent="0.35">
      <c r="A2707">
        <v>171</v>
      </c>
      <c r="B2707" s="3">
        <v>0.53</v>
      </c>
    </row>
    <row r="2708" spans="1:2" x14ac:dyDescent="0.35">
      <c r="A2708">
        <v>171</v>
      </c>
      <c r="B2708" t="s">
        <v>34</v>
      </c>
    </row>
    <row r="2709" spans="1:2" x14ac:dyDescent="0.35">
      <c r="A2709">
        <v>171</v>
      </c>
      <c r="B2709" s="3">
        <v>0.47</v>
      </c>
    </row>
    <row r="2710" spans="1:2" x14ac:dyDescent="0.35">
      <c r="A2710">
        <v>171</v>
      </c>
      <c r="B2710" t="s">
        <v>26</v>
      </c>
    </row>
    <row r="2711" spans="1:2" x14ac:dyDescent="0.35">
      <c r="A2711">
        <v>171</v>
      </c>
      <c r="B2711">
        <v>0.52</v>
      </c>
    </row>
    <row r="2712" spans="1:2" x14ac:dyDescent="0.35">
      <c r="A2712">
        <v>171</v>
      </c>
      <c r="B2712" t="s">
        <v>23</v>
      </c>
    </row>
    <row r="2713" spans="1:2" x14ac:dyDescent="0.35">
      <c r="A2713">
        <v>171</v>
      </c>
      <c r="B2713">
        <v>-0.36</v>
      </c>
    </row>
    <row r="2714" spans="1:2" x14ac:dyDescent="0.35">
      <c r="A2714">
        <v>171</v>
      </c>
      <c r="B2714" t="s">
        <v>24</v>
      </c>
    </row>
    <row r="2715" spans="1:2" x14ac:dyDescent="0.35">
      <c r="A2715">
        <v>171</v>
      </c>
      <c r="B2715">
        <v>2.1549999999999998</v>
      </c>
    </row>
    <row r="2716" spans="1:2" x14ac:dyDescent="0.35">
      <c r="A2716">
        <v>171</v>
      </c>
      <c r="B2716" t="s">
        <v>35</v>
      </c>
    </row>
    <row r="2717" spans="1:2" x14ac:dyDescent="0.35">
      <c r="A2717">
        <v>171</v>
      </c>
      <c r="B2717">
        <v>0.60599999999999998</v>
      </c>
    </row>
    <row r="2718" spans="1:2" x14ac:dyDescent="0.35">
      <c r="A2718">
        <v>171</v>
      </c>
      <c r="B2718" t="s">
        <v>36</v>
      </c>
    </row>
    <row r="2719" spans="1:2" x14ac:dyDescent="0.35">
      <c r="A2719">
        <v>171</v>
      </c>
      <c r="B2719">
        <v>0.36699999999999999</v>
      </c>
    </row>
    <row r="2720" spans="1:2" x14ac:dyDescent="0.35">
      <c r="A2720">
        <v>171</v>
      </c>
      <c r="B2720" t="s">
        <v>37</v>
      </c>
    </row>
    <row r="2721" spans="1:2" x14ac:dyDescent="0.35">
      <c r="A2721">
        <v>171</v>
      </c>
      <c r="B2721">
        <v>-0.48199999999999998</v>
      </c>
    </row>
    <row r="2722" spans="1:2" x14ac:dyDescent="0.35">
      <c r="A2722">
        <v>171</v>
      </c>
      <c r="B2722" t="s">
        <v>38</v>
      </c>
    </row>
    <row r="2723" spans="1:2" x14ac:dyDescent="0.35">
      <c r="A2723">
        <v>171</v>
      </c>
      <c r="B2723">
        <v>0.59299999999999997</v>
      </c>
    </row>
    <row r="2724" spans="1:2" x14ac:dyDescent="0.35">
      <c r="A2724">
        <v>171</v>
      </c>
      <c r="B2724" t="s">
        <v>39</v>
      </c>
    </row>
    <row r="2725" spans="1:2" x14ac:dyDescent="0.35">
      <c r="A2725">
        <v>171</v>
      </c>
      <c r="B2725">
        <v>-0.10299999999999999</v>
      </c>
    </row>
    <row r="2726" spans="1:2" x14ac:dyDescent="0.35">
      <c r="A2726">
        <v>171</v>
      </c>
      <c r="B2726" t="s">
        <v>40</v>
      </c>
    </row>
    <row r="2727" spans="1:2" x14ac:dyDescent="0.35">
      <c r="A2727">
        <v>171</v>
      </c>
      <c r="B2727" s="4">
        <v>0</v>
      </c>
    </row>
    <row r="2728" spans="1:2" x14ac:dyDescent="0.35">
      <c r="A2728">
        <v>171</v>
      </c>
      <c r="B2728" t="s">
        <v>41</v>
      </c>
    </row>
    <row r="2729" spans="1:2" x14ac:dyDescent="0.35">
      <c r="A2729">
        <v>171</v>
      </c>
      <c r="B2729" s="4">
        <v>19000000</v>
      </c>
    </row>
    <row r="2730" spans="1:2" x14ac:dyDescent="0.35">
      <c r="A2730">
        <v>171</v>
      </c>
      <c r="B2730" t="s">
        <v>42</v>
      </c>
    </row>
    <row r="2731" spans="1:2" x14ac:dyDescent="0.35">
      <c r="A2731">
        <v>171</v>
      </c>
      <c r="B2731" t="s">
        <v>44</v>
      </c>
    </row>
    <row r="2732" spans="1:2" x14ac:dyDescent="0.35">
      <c r="A2732">
        <v>189</v>
      </c>
      <c r="B2732" t="s">
        <v>27</v>
      </c>
    </row>
    <row r="2733" spans="1:2" x14ac:dyDescent="0.35">
      <c r="A2733">
        <v>189</v>
      </c>
      <c r="B2733" s="2">
        <v>9.3880000000000005E-2</v>
      </c>
    </row>
    <row r="2734" spans="1:2" x14ac:dyDescent="0.35">
      <c r="A2734">
        <v>189</v>
      </c>
      <c r="B2734" t="s">
        <v>1</v>
      </c>
    </row>
    <row r="2735" spans="1:2" x14ac:dyDescent="0.35">
      <c r="A2735">
        <v>189</v>
      </c>
      <c r="B2735">
        <v>-0.36699999999999999</v>
      </c>
    </row>
    <row r="2736" spans="1:2" x14ac:dyDescent="0.35">
      <c r="A2736">
        <v>189</v>
      </c>
      <c r="B2736" t="s">
        <v>28</v>
      </c>
    </row>
    <row r="2737" spans="1:2" x14ac:dyDescent="0.35">
      <c r="A2737">
        <v>189</v>
      </c>
      <c r="B2737">
        <v>459</v>
      </c>
    </row>
    <row r="2738" spans="1:2" x14ac:dyDescent="0.35">
      <c r="A2738">
        <v>189</v>
      </c>
      <c r="B2738" t="s">
        <v>25</v>
      </c>
    </row>
    <row r="2739" spans="1:2" x14ac:dyDescent="0.35">
      <c r="A2739">
        <v>189</v>
      </c>
      <c r="B2739" s="2">
        <v>4.1099999999999998E-2</v>
      </c>
    </row>
    <row r="2740" spans="1:2" x14ac:dyDescent="0.35">
      <c r="A2740">
        <v>189</v>
      </c>
      <c r="B2740" t="s">
        <v>29</v>
      </c>
    </row>
    <row r="2741" spans="1:2" x14ac:dyDescent="0.35">
      <c r="A2741">
        <v>189</v>
      </c>
      <c r="B2741" s="2">
        <v>-7.9299999999999995E-2</v>
      </c>
    </row>
    <row r="2742" spans="1:2" x14ac:dyDescent="0.35">
      <c r="A2742">
        <v>189</v>
      </c>
      <c r="B2742" t="s">
        <v>30</v>
      </c>
    </row>
    <row r="2743" spans="1:2" x14ac:dyDescent="0.35">
      <c r="A2743">
        <v>189</v>
      </c>
      <c r="B2743" s="2">
        <v>-0.46013999999999999</v>
      </c>
    </row>
    <row r="2744" spans="1:2" x14ac:dyDescent="0.35">
      <c r="A2744">
        <v>189</v>
      </c>
      <c r="B2744" t="s">
        <v>8</v>
      </c>
    </row>
    <row r="2745" spans="1:2" x14ac:dyDescent="0.35">
      <c r="A2745">
        <v>189</v>
      </c>
      <c r="B2745" s="2">
        <v>0.59299999999999997</v>
      </c>
    </row>
    <row r="2746" spans="1:2" x14ac:dyDescent="0.35">
      <c r="A2746">
        <v>189</v>
      </c>
      <c r="B2746" t="s">
        <v>31</v>
      </c>
    </row>
    <row r="2747" spans="1:2" x14ac:dyDescent="0.35">
      <c r="A2747">
        <v>189</v>
      </c>
      <c r="B2747">
        <v>-0.29099999999999998</v>
      </c>
    </row>
    <row r="2748" spans="1:2" x14ac:dyDescent="0.35">
      <c r="A2748">
        <v>189</v>
      </c>
      <c r="B2748" t="s">
        <v>32</v>
      </c>
    </row>
    <row r="2749" spans="1:2" x14ac:dyDescent="0.35">
      <c r="A2749">
        <v>189</v>
      </c>
      <c r="B2749" s="2">
        <v>-0.32754</v>
      </c>
    </row>
    <row r="2750" spans="1:2" x14ac:dyDescent="0.35">
      <c r="A2750">
        <v>189</v>
      </c>
      <c r="B2750" t="s">
        <v>33</v>
      </c>
    </row>
    <row r="2751" spans="1:2" x14ac:dyDescent="0.35">
      <c r="A2751">
        <v>189</v>
      </c>
      <c r="B2751" s="3">
        <v>0.53</v>
      </c>
    </row>
    <row r="2752" spans="1:2" x14ac:dyDescent="0.35">
      <c r="A2752">
        <v>189</v>
      </c>
      <c r="B2752" t="s">
        <v>34</v>
      </c>
    </row>
    <row r="2753" spans="1:2" x14ac:dyDescent="0.35">
      <c r="A2753">
        <v>189</v>
      </c>
      <c r="B2753" s="3">
        <v>0.47</v>
      </c>
    </row>
    <row r="2754" spans="1:2" x14ac:dyDescent="0.35">
      <c r="A2754">
        <v>189</v>
      </c>
      <c r="B2754" t="s">
        <v>26</v>
      </c>
    </row>
    <row r="2755" spans="1:2" x14ac:dyDescent="0.35">
      <c r="A2755">
        <v>189</v>
      </c>
      <c r="B2755">
        <v>0.52</v>
      </c>
    </row>
    <row r="2756" spans="1:2" x14ac:dyDescent="0.35">
      <c r="A2756">
        <v>189</v>
      </c>
      <c r="B2756" t="s">
        <v>23</v>
      </c>
    </row>
    <row r="2757" spans="1:2" x14ac:dyDescent="0.35">
      <c r="A2757">
        <v>189</v>
      </c>
      <c r="B2757">
        <v>-0.36</v>
      </c>
    </row>
    <row r="2758" spans="1:2" x14ac:dyDescent="0.35">
      <c r="A2758">
        <v>189</v>
      </c>
      <c r="B2758" t="s">
        <v>24</v>
      </c>
    </row>
    <row r="2759" spans="1:2" x14ac:dyDescent="0.35">
      <c r="A2759">
        <v>189</v>
      </c>
      <c r="B2759">
        <v>2.1549999999999998</v>
      </c>
    </row>
    <row r="2760" spans="1:2" x14ac:dyDescent="0.35">
      <c r="A2760">
        <v>189</v>
      </c>
      <c r="B2760" t="s">
        <v>35</v>
      </c>
    </row>
    <row r="2761" spans="1:2" x14ac:dyDescent="0.35">
      <c r="A2761">
        <v>189</v>
      </c>
      <c r="B2761">
        <v>0.60599999999999998</v>
      </c>
    </row>
    <row r="2762" spans="1:2" x14ac:dyDescent="0.35">
      <c r="A2762">
        <v>189</v>
      </c>
      <c r="B2762" t="s">
        <v>36</v>
      </c>
    </row>
    <row r="2763" spans="1:2" x14ac:dyDescent="0.35">
      <c r="A2763">
        <v>189</v>
      </c>
      <c r="B2763">
        <v>0.36699999999999999</v>
      </c>
    </row>
    <row r="2764" spans="1:2" x14ac:dyDescent="0.35">
      <c r="A2764">
        <v>189</v>
      </c>
      <c r="B2764" t="s">
        <v>37</v>
      </c>
    </row>
    <row r="2765" spans="1:2" x14ac:dyDescent="0.35">
      <c r="A2765">
        <v>189</v>
      </c>
      <c r="B2765">
        <v>-0.48199999999999998</v>
      </c>
    </row>
    <row r="2766" spans="1:2" x14ac:dyDescent="0.35">
      <c r="A2766">
        <v>189</v>
      </c>
      <c r="B2766" t="s">
        <v>38</v>
      </c>
    </row>
    <row r="2767" spans="1:2" x14ac:dyDescent="0.35">
      <c r="A2767">
        <v>189</v>
      </c>
      <c r="B2767">
        <v>0.59299999999999997</v>
      </c>
    </row>
    <row r="2768" spans="1:2" x14ac:dyDescent="0.35">
      <c r="A2768">
        <v>189</v>
      </c>
      <c r="B2768" t="s">
        <v>39</v>
      </c>
    </row>
    <row r="2769" spans="1:2" x14ac:dyDescent="0.35">
      <c r="A2769">
        <v>189</v>
      </c>
      <c r="B2769">
        <v>-0.10299999999999999</v>
      </c>
    </row>
    <row r="2770" spans="1:2" x14ac:dyDescent="0.35">
      <c r="A2770">
        <v>189</v>
      </c>
      <c r="B2770" t="s">
        <v>40</v>
      </c>
    </row>
    <row r="2771" spans="1:2" x14ac:dyDescent="0.35">
      <c r="A2771">
        <v>189</v>
      </c>
      <c r="B2771" s="4">
        <v>0</v>
      </c>
    </row>
    <row r="2772" spans="1:2" x14ac:dyDescent="0.35">
      <c r="A2772">
        <v>189</v>
      </c>
      <c r="B2772" t="s">
        <v>41</v>
      </c>
    </row>
    <row r="2773" spans="1:2" x14ac:dyDescent="0.35">
      <c r="A2773">
        <v>189</v>
      </c>
      <c r="B2773" s="4">
        <v>19000000</v>
      </c>
    </row>
    <row r="2774" spans="1:2" x14ac:dyDescent="0.35">
      <c r="A2774">
        <v>189</v>
      </c>
      <c r="B2774" t="s">
        <v>42</v>
      </c>
    </row>
    <row r="2775" spans="1:2" x14ac:dyDescent="0.35">
      <c r="A2775">
        <v>189</v>
      </c>
      <c r="B2775" t="s">
        <v>44</v>
      </c>
    </row>
    <row r="2776" spans="1:2" x14ac:dyDescent="0.35">
      <c r="A2776">
        <v>188</v>
      </c>
      <c r="B2776" t="s">
        <v>27</v>
      </c>
    </row>
    <row r="2777" spans="1:2" x14ac:dyDescent="0.35">
      <c r="A2777">
        <v>188</v>
      </c>
      <c r="B2777" s="2">
        <v>9.3880000000000005E-2</v>
      </c>
    </row>
    <row r="2778" spans="1:2" x14ac:dyDescent="0.35">
      <c r="A2778">
        <v>188</v>
      </c>
      <c r="B2778" t="s">
        <v>1</v>
      </c>
    </row>
    <row r="2779" spans="1:2" x14ac:dyDescent="0.35">
      <c r="A2779">
        <v>188</v>
      </c>
      <c r="B2779">
        <v>-0.36699999999999999</v>
      </c>
    </row>
    <row r="2780" spans="1:2" x14ac:dyDescent="0.35">
      <c r="A2780">
        <v>188</v>
      </c>
      <c r="B2780" t="s">
        <v>28</v>
      </c>
    </row>
    <row r="2781" spans="1:2" x14ac:dyDescent="0.35">
      <c r="A2781">
        <v>188</v>
      </c>
      <c r="B2781">
        <v>459</v>
      </c>
    </row>
    <row r="2782" spans="1:2" x14ac:dyDescent="0.35">
      <c r="A2782">
        <v>188</v>
      </c>
      <c r="B2782" t="s">
        <v>25</v>
      </c>
    </row>
    <row r="2783" spans="1:2" x14ac:dyDescent="0.35">
      <c r="A2783">
        <v>188</v>
      </c>
      <c r="B2783" s="2">
        <v>4.1099999999999998E-2</v>
      </c>
    </row>
    <row r="2784" spans="1:2" x14ac:dyDescent="0.35">
      <c r="A2784">
        <v>188</v>
      </c>
      <c r="B2784" t="s">
        <v>29</v>
      </c>
    </row>
    <row r="2785" spans="1:2" x14ac:dyDescent="0.35">
      <c r="A2785">
        <v>188</v>
      </c>
      <c r="B2785" s="2">
        <v>-7.9299999999999995E-2</v>
      </c>
    </row>
    <row r="2786" spans="1:2" x14ac:dyDescent="0.35">
      <c r="A2786">
        <v>188</v>
      </c>
      <c r="B2786" t="s">
        <v>30</v>
      </c>
    </row>
    <row r="2787" spans="1:2" x14ac:dyDescent="0.35">
      <c r="A2787">
        <v>188</v>
      </c>
      <c r="B2787" s="2">
        <v>-0.46013999999999999</v>
      </c>
    </row>
    <row r="2788" spans="1:2" x14ac:dyDescent="0.35">
      <c r="A2788">
        <v>188</v>
      </c>
      <c r="B2788" t="s">
        <v>8</v>
      </c>
    </row>
    <row r="2789" spans="1:2" x14ac:dyDescent="0.35">
      <c r="A2789">
        <v>188</v>
      </c>
      <c r="B2789" s="2">
        <v>0.59299999999999997</v>
      </c>
    </row>
    <row r="2790" spans="1:2" x14ac:dyDescent="0.35">
      <c r="A2790">
        <v>188</v>
      </c>
      <c r="B2790" t="s">
        <v>31</v>
      </c>
    </row>
    <row r="2791" spans="1:2" x14ac:dyDescent="0.35">
      <c r="A2791">
        <v>188</v>
      </c>
      <c r="B2791">
        <v>-0.29099999999999998</v>
      </c>
    </row>
    <row r="2792" spans="1:2" x14ac:dyDescent="0.35">
      <c r="A2792">
        <v>188</v>
      </c>
      <c r="B2792" t="s">
        <v>32</v>
      </c>
    </row>
    <row r="2793" spans="1:2" x14ac:dyDescent="0.35">
      <c r="A2793">
        <v>188</v>
      </c>
      <c r="B2793" s="2">
        <v>-0.32754</v>
      </c>
    </row>
    <row r="2794" spans="1:2" x14ac:dyDescent="0.35">
      <c r="A2794">
        <v>188</v>
      </c>
      <c r="B2794" t="s">
        <v>33</v>
      </c>
    </row>
    <row r="2795" spans="1:2" x14ac:dyDescent="0.35">
      <c r="A2795">
        <v>188</v>
      </c>
      <c r="B2795" s="3">
        <v>0.53</v>
      </c>
    </row>
    <row r="2796" spans="1:2" x14ac:dyDescent="0.35">
      <c r="A2796">
        <v>188</v>
      </c>
      <c r="B2796" t="s">
        <v>34</v>
      </c>
    </row>
    <row r="2797" spans="1:2" x14ac:dyDescent="0.35">
      <c r="A2797">
        <v>188</v>
      </c>
      <c r="B2797" s="3">
        <v>0.47</v>
      </c>
    </row>
    <row r="2798" spans="1:2" x14ac:dyDescent="0.35">
      <c r="A2798">
        <v>188</v>
      </c>
      <c r="B2798" t="s">
        <v>26</v>
      </c>
    </row>
    <row r="2799" spans="1:2" x14ac:dyDescent="0.35">
      <c r="A2799">
        <v>188</v>
      </c>
      <c r="B2799">
        <v>0.52</v>
      </c>
    </row>
    <row r="2800" spans="1:2" x14ac:dyDescent="0.35">
      <c r="A2800">
        <v>188</v>
      </c>
      <c r="B2800" t="s">
        <v>23</v>
      </c>
    </row>
    <row r="2801" spans="1:2" x14ac:dyDescent="0.35">
      <c r="A2801">
        <v>188</v>
      </c>
      <c r="B2801">
        <v>-0.36</v>
      </c>
    </row>
    <row r="2802" spans="1:2" x14ac:dyDescent="0.35">
      <c r="A2802">
        <v>188</v>
      </c>
      <c r="B2802" t="s">
        <v>24</v>
      </c>
    </row>
    <row r="2803" spans="1:2" x14ac:dyDescent="0.35">
      <c r="A2803">
        <v>188</v>
      </c>
      <c r="B2803">
        <v>2.1549999999999998</v>
      </c>
    </row>
    <row r="2804" spans="1:2" x14ac:dyDescent="0.35">
      <c r="A2804">
        <v>188</v>
      </c>
      <c r="B2804" t="s">
        <v>35</v>
      </c>
    </row>
    <row r="2805" spans="1:2" x14ac:dyDescent="0.35">
      <c r="A2805">
        <v>188</v>
      </c>
      <c r="B2805">
        <v>0.60599999999999998</v>
      </c>
    </row>
    <row r="2806" spans="1:2" x14ac:dyDescent="0.35">
      <c r="A2806">
        <v>188</v>
      </c>
      <c r="B2806" t="s">
        <v>36</v>
      </c>
    </row>
    <row r="2807" spans="1:2" x14ac:dyDescent="0.35">
      <c r="A2807">
        <v>188</v>
      </c>
      <c r="B2807">
        <v>0.36699999999999999</v>
      </c>
    </row>
    <row r="2808" spans="1:2" x14ac:dyDescent="0.35">
      <c r="A2808">
        <v>188</v>
      </c>
      <c r="B2808" t="s">
        <v>37</v>
      </c>
    </row>
    <row r="2809" spans="1:2" x14ac:dyDescent="0.35">
      <c r="A2809">
        <v>188</v>
      </c>
      <c r="B2809">
        <v>-0.48199999999999998</v>
      </c>
    </row>
    <row r="2810" spans="1:2" x14ac:dyDescent="0.35">
      <c r="A2810">
        <v>188</v>
      </c>
      <c r="B2810" t="s">
        <v>38</v>
      </c>
    </row>
    <row r="2811" spans="1:2" x14ac:dyDescent="0.35">
      <c r="A2811">
        <v>188</v>
      </c>
      <c r="B2811">
        <v>0.59299999999999997</v>
      </c>
    </row>
    <row r="2812" spans="1:2" x14ac:dyDescent="0.35">
      <c r="A2812">
        <v>188</v>
      </c>
      <c r="B2812" t="s">
        <v>39</v>
      </c>
    </row>
    <row r="2813" spans="1:2" x14ac:dyDescent="0.35">
      <c r="A2813">
        <v>188</v>
      </c>
      <c r="B2813">
        <v>-0.10299999999999999</v>
      </c>
    </row>
    <row r="2814" spans="1:2" x14ac:dyDescent="0.35">
      <c r="A2814">
        <v>188</v>
      </c>
      <c r="B2814" t="s">
        <v>40</v>
      </c>
    </row>
    <row r="2815" spans="1:2" x14ac:dyDescent="0.35">
      <c r="A2815">
        <v>188</v>
      </c>
      <c r="B2815" s="4">
        <v>0</v>
      </c>
    </row>
    <row r="2816" spans="1:2" x14ac:dyDescent="0.35">
      <c r="A2816">
        <v>188</v>
      </c>
      <c r="B2816" t="s">
        <v>41</v>
      </c>
    </row>
    <row r="2817" spans="1:2" x14ac:dyDescent="0.35">
      <c r="A2817">
        <v>188</v>
      </c>
      <c r="B2817" s="4">
        <v>19000000</v>
      </c>
    </row>
    <row r="2818" spans="1:2" x14ac:dyDescent="0.35">
      <c r="A2818">
        <v>188</v>
      </c>
      <c r="B2818" t="s">
        <v>42</v>
      </c>
    </row>
    <row r="2819" spans="1:2" x14ac:dyDescent="0.35">
      <c r="A2819">
        <v>188</v>
      </c>
      <c r="B2819" t="s">
        <v>44</v>
      </c>
    </row>
    <row r="2820" spans="1:2" x14ac:dyDescent="0.35">
      <c r="A2820">
        <v>187</v>
      </c>
      <c r="B2820" t="s">
        <v>27</v>
      </c>
    </row>
    <row r="2821" spans="1:2" x14ac:dyDescent="0.35">
      <c r="A2821">
        <v>187</v>
      </c>
      <c r="B2821" s="2">
        <v>9.3880000000000005E-2</v>
      </c>
    </row>
    <row r="2822" spans="1:2" x14ac:dyDescent="0.35">
      <c r="A2822">
        <v>187</v>
      </c>
      <c r="B2822" t="s">
        <v>1</v>
      </c>
    </row>
    <row r="2823" spans="1:2" x14ac:dyDescent="0.35">
      <c r="A2823">
        <v>187</v>
      </c>
      <c r="B2823">
        <v>-0.36699999999999999</v>
      </c>
    </row>
    <row r="2824" spans="1:2" x14ac:dyDescent="0.35">
      <c r="A2824">
        <v>187</v>
      </c>
      <c r="B2824" t="s">
        <v>28</v>
      </c>
    </row>
    <row r="2825" spans="1:2" x14ac:dyDescent="0.35">
      <c r="A2825">
        <v>187</v>
      </c>
      <c r="B2825">
        <v>459</v>
      </c>
    </row>
    <row r="2826" spans="1:2" x14ac:dyDescent="0.35">
      <c r="A2826">
        <v>187</v>
      </c>
      <c r="B2826" t="s">
        <v>25</v>
      </c>
    </row>
    <row r="2827" spans="1:2" x14ac:dyDescent="0.35">
      <c r="A2827">
        <v>187</v>
      </c>
      <c r="B2827" s="2">
        <v>4.1099999999999998E-2</v>
      </c>
    </row>
    <row r="2828" spans="1:2" x14ac:dyDescent="0.35">
      <c r="A2828">
        <v>187</v>
      </c>
      <c r="B2828" t="s">
        <v>29</v>
      </c>
    </row>
    <row r="2829" spans="1:2" x14ac:dyDescent="0.35">
      <c r="A2829">
        <v>187</v>
      </c>
      <c r="B2829" s="2">
        <v>-7.9299999999999995E-2</v>
      </c>
    </row>
    <row r="2830" spans="1:2" x14ac:dyDescent="0.35">
      <c r="A2830">
        <v>187</v>
      </c>
      <c r="B2830" t="s">
        <v>30</v>
      </c>
    </row>
    <row r="2831" spans="1:2" x14ac:dyDescent="0.35">
      <c r="A2831">
        <v>187</v>
      </c>
      <c r="B2831" s="2">
        <v>-0.46013999999999999</v>
      </c>
    </row>
    <row r="2832" spans="1:2" x14ac:dyDescent="0.35">
      <c r="A2832">
        <v>187</v>
      </c>
      <c r="B2832" t="s">
        <v>8</v>
      </c>
    </row>
    <row r="2833" spans="1:2" x14ac:dyDescent="0.35">
      <c r="A2833">
        <v>187</v>
      </c>
      <c r="B2833" s="2">
        <v>0.59299999999999997</v>
      </c>
    </row>
    <row r="2834" spans="1:2" x14ac:dyDescent="0.35">
      <c r="A2834">
        <v>187</v>
      </c>
      <c r="B2834" t="s">
        <v>31</v>
      </c>
    </row>
    <row r="2835" spans="1:2" x14ac:dyDescent="0.35">
      <c r="A2835">
        <v>187</v>
      </c>
      <c r="B2835">
        <v>-0.29099999999999998</v>
      </c>
    </row>
    <row r="2836" spans="1:2" x14ac:dyDescent="0.35">
      <c r="A2836">
        <v>187</v>
      </c>
      <c r="B2836" t="s">
        <v>32</v>
      </c>
    </row>
    <row r="2837" spans="1:2" x14ac:dyDescent="0.35">
      <c r="A2837">
        <v>187</v>
      </c>
      <c r="B2837" s="2">
        <v>-0.32754</v>
      </c>
    </row>
    <row r="2838" spans="1:2" x14ac:dyDescent="0.35">
      <c r="A2838">
        <v>187</v>
      </c>
      <c r="B2838" t="s">
        <v>33</v>
      </c>
    </row>
    <row r="2839" spans="1:2" x14ac:dyDescent="0.35">
      <c r="A2839">
        <v>187</v>
      </c>
      <c r="B2839" s="3">
        <v>0.53</v>
      </c>
    </row>
    <row r="2840" spans="1:2" x14ac:dyDescent="0.35">
      <c r="A2840">
        <v>187</v>
      </c>
      <c r="B2840" t="s">
        <v>34</v>
      </c>
    </row>
    <row r="2841" spans="1:2" x14ac:dyDescent="0.35">
      <c r="A2841">
        <v>187</v>
      </c>
      <c r="B2841" s="3">
        <v>0.47</v>
      </c>
    </row>
    <row r="2842" spans="1:2" x14ac:dyDescent="0.35">
      <c r="A2842">
        <v>187</v>
      </c>
      <c r="B2842" t="s">
        <v>26</v>
      </c>
    </row>
    <row r="2843" spans="1:2" x14ac:dyDescent="0.35">
      <c r="A2843">
        <v>187</v>
      </c>
      <c r="B2843">
        <v>0.52</v>
      </c>
    </row>
    <row r="2844" spans="1:2" x14ac:dyDescent="0.35">
      <c r="A2844">
        <v>187</v>
      </c>
      <c r="B2844" t="s">
        <v>23</v>
      </c>
    </row>
    <row r="2845" spans="1:2" x14ac:dyDescent="0.35">
      <c r="A2845">
        <v>187</v>
      </c>
      <c r="B2845">
        <v>-0.36</v>
      </c>
    </row>
    <row r="2846" spans="1:2" x14ac:dyDescent="0.35">
      <c r="A2846">
        <v>187</v>
      </c>
      <c r="B2846" t="s">
        <v>24</v>
      </c>
    </row>
    <row r="2847" spans="1:2" x14ac:dyDescent="0.35">
      <c r="A2847">
        <v>187</v>
      </c>
      <c r="B2847">
        <v>2.1549999999999998</v>
      </c>
    </row>
    <row r="2848" spans="1:2" x14ac:dyDescent="0.35">
      <c r="A2848">
        <v>187</v>
      </c>
      <c r="B2848" t="s">
        <v>35</v>
      </c>
    </row>
    <row r="2849" spans="1:2" x14ac:dyDescent="0.35">
      <c r="A2849">
        <v>187</v>
      </c>
      <c r="B2849">
        <v>0.60599999999999998</v>
      </c>
    </row>
    <row r="2850" spans="1:2" x14ac:dyDescent="0.35">
      <c r="A2850">
        <v>187</v>
      </c>
      <c r="B2850" t="s">
        <v>36</v>
      </c>
    </row>
    <row r="2851" spans="1:2" x14ac:dyDescent="0.35">
      <c r="A2851">
        <v>187</v>
      </c>
      <c r="B2851">
        <v>0.36699999999999999</v>
      </c>
    </row>
    <row r="2852" spans="1:2" x14ac:dyDescent="0.35">
      <c r="A2852">
        <v>187</v>
      </c>
      <c r="B2852" t="s">
        <v>37</v>
      </c>
    </row>
    <row r="2853" spans="1:2" x14ac:dyDescent="0.35">
      <c r="A2853">
        <v>187</v>
      </c>
      <c r="B2853">
        <v>-0.48199999999999998</v>
      </c>
    </row>
    <row r="2854" spans="1:2" x14ac:dyDescent="0.35">
      <c r="A2854">
        <v>187</v>
      </c>
      <c r="B2854" t="s">
        <v>38</v>
      </c>
    </row>
    <row r="2855" spans="1:2" x14ac:dyDescent="0.35">
      <c r="A2855">
        <v>187</v>
      </c>
      <c r="B2855">
        <v>0.59299999999999997</v>
      </c>
    </row>
    <row r="2856" spans="1:2" x14ac:dyDescent="0.35">
      <c r="A2856">
        <v>187</v>
      </c>
      <c r="B2856" t="s">
        <v>39</v>
      </c>
    </row>
    <row r="2857" spans="1:2" x14ac:dyDescent="0.35">
      <c r="A2857">
        <v>187</v>
      </c>
      <c r="B2857">
        <v>-0.10299999999999999</v>
      </c>
    </row>
    <row r="2858" spans="1:2" x14ac:dyDescent="0.35">
      <c r="A2858">
        <v>187</v>
      </c>
      <c r="B2858" t="s">
        <v>40</v>
      </c>
    </row>
    <row r="2859" spans="1:2" x14ac:dyDescent="0.35">
      <c r="A2859">
        <v>187</v>
      </c>
      <c r="B2859" s="4">
        <v>0</v>
      </c>
    </row>
    <row r="2860" spans="1:2" x14ac:dyDescent="0.35">
      <c r="A2860">
        <v>187</v>
      </c>
      <c r="B2860" t="s">
        <v>41</v>
      </c>
    </row>
    <row r="2861" spans="1:2" x14ac:dyDescent="0.35">
      <c r="A2861">
        <v>187</v>
      </c>
      <c r="B2861" s="4">
        <v>19000000</v>
      </c>
    </row>
    <row r="2862" spans="1:2" x14ac:dyDescent="0.35">
      <c r="A2862">
        <v>187</v>
      </c>
      <c r="B2862" t="s">
        <v>42</v>
      </c>
    </row>
    <row r="2863" spans="1:2" x14ac:dyDescent="0.35">
      <c r="A2863">
        <v>187</v>
      </c>
      <c r="B2863" t="s">
        <v>44</v>
      </c>
    </row>
    <row r="2864" spans="1:2" x14ac:dyDescent="0.35">
      <c r="A2864">
        <v>186</v>
      </c>
      <c r="B2864" t="s">
        <v>27</v>
      </c>
    </row>
    <row r="2865" spans="1:2" x14ac:dyDescent="0.35">
      <c r="A2865">
        <v>186</v>
      </c>
      <c r="B2865" s="2">
        <v>9.3880000000000005E-2</v>
      </c>
    </row>
    <row r="2866" spans="1:2" x14ac:dyDescent="0.35">
      <c r="A2866">
        <v>186</v>
      </c>
      <c r="B2866" t="s">
        <v>1</v>
      </c>
    </row>
    <row r="2867" spans="1:2" x14ac:dyDescent="0.35">
      <c r="A2867">
        <v>186</v>
      </c>
      <c r="B2867">
        <v>-0.36699999999999999</v>
      </c>
    </row>
    <row r="2868" spans="1:2" x14ac:dyDescent="0.35">
      <c r="A2868">
        <v>186</v>
      </c>
      <c r="B2868" t="s">
        <v>28</v>
      </c>
    </row>
    <row r="2869" spans="1:2" x14ac:dyDescent="0.35">
      <c r="A2869">
        <v>186</v>
      </c>
      <c r="B2869">
        <v>459</v>
      </c>
    </row>
    <row r="2870" spans="1:2" x14ac:dyDescent="0.35">
      <c r="A2870">
        <v>186</v>
      </c>
      <c r="B2870" t="s">
        <v>25</v>
      </c>
    </row>
    <row r="2871" spans="1:2" x14ac:dyDescent="0.35">
      <c r="A2871">
        <v>186</v>
      </c>
      <c r="B2871" s="2">
        <v>4.1099999999999998E-2</v>
      </c>
    </row>
    <row r="2872" spans="1:2" x14ac:dyDescent="0.35">
      <c r="A2872">
        <v>186</v>
      </c>
      <c r="B2872" t="s">
        <v>29</v>
      </c>
    </row>
    <row r="2873" spans="1:2" x14ac:dyDescent="0.35">
      <c r="A2873">
        <v>186</v>
      </c>
      <c r="B2873" s="2">
        <v>-7.9299999999999995E-2</v>
      </c>
    </row>
    <row r="2874" spans="1:2" x14ac:dyDescent="0.35">
      <c r="A2874">
        <v>186</v>
      </c>
      <c r="B2874" t="s">
        <v>30</v>
      </c>
    </row>
    <row r="2875" spans="1:2" x14ac:dyDescent="0.35">
      <c r="A2875">
        <v>186</v>
      </c>
      <c r="B2875" s="2">
        <v>-0.46013999999999999</v>
      </c>
    </row>
    <row r="2876" spans="1:2" x14ac:dyDescent="0.35">
      <c r="A2876">
        <v>186</v>
      </c>
      <c r="B2876" t="s">
        <v>8</v>
      </c>
    </row>
    <row r="2877" spans="1:2" x14ac:dyDescent="0.35">
      <c r="A2877">
        <v>186</v>
      </c>
      <c r="B2877" s="2">
        <v>0.59299999999999997</v>
      </c>
    </row>
    <row r="2878" spans="1:2" x14ac:dyDescent="0.35">
      <c r="A2878">
        <v>186</v>
      </c>
      <c r="B2878" t="s">
        <v>31</v>
      </c>
    </row>
    <row r="2879" spans="1:2" x14ac:dyDescent="0.35">
      <c r="A2879">
        <v>186</v>
      </c>
      <c r="B2879">
        <v>-0.29099999999999998</v>
      </c>
    </row>
    <row r="2880" spans="1:2" x14ac:dyDescent="0.35">
      <c r="A2880">
        <v>186</v>
      </c>
      <c r="B2880" t="s">
        <v>32</v>
      </c>
    </row>
    <row r="2881" spans="1:2" x14ac:dyDescent="0.35">
      <c r="A2881">
        <v>186</v>
      </c>
      <c r="B2881" s="2">
        <v>-0.32754</v>
      </c>
    </row>
    <row r="2882" spans="1:2" x14ac:dyDescent="0.35">
      <c r="A2882">
        <v>186</v>
      </c>
      <c r="B2882" t="s">
        <v>33</v>
      </c>
    </row>
    <row r="2883" spans="1:2" x14ac:dyDescent="0.35">
      <c r="A2883">
        <v>186</v>
      </c>
      <c r="B2883" s="3">
        <v>0.53</v>
      </c>
    </row>
    <row r="2884" spans="1:2" x14ac:dyDescent="0.35">
      <c r="A2884">
        <v>186</v>
      </c>
      <c r="B2884" t="s">
        <v>34</v>
      </c>
    </row>
    <row r="2885" spans="1:2" x14ac:dyDescent="0.35">
      <c r="A2885">
        <v>186</v>
      </c>
      <c r="B2885" s="3">
        <v>0.47</v>
      </c>
    </row>
    <row r="2886" spans="1:2" x14ac:dyDescent="0.35">
      <c r="A2886">
        <v>186</v>
      </c>
      <c r="B2886" t="s">
        <v>26</v>
      </c>
    </row>
    <row r="2887" spans="1:2" x14ac:dyDescent="0.35">
      <c r="A2887">
        <v>186</v>
      </c>
      <c r="B2887">
        <v>0.52</v>
      </c>
    </row>
    <row r="2888" spans="1:2" x14ac:dyDescent="0.35">
      <c r="A2888">
        <v>186</v>
      </c>
      <c r="B2888" t="s">
        <v>23</v>
      </c>
    </row>
    <row r="2889" spans="1:2" x14ac:dyDescent="0.35">
      <c r="A2889">
        <v>186</v>
      </c>
      <c r="B2889">
        <v>-0.36</v>
      </c>
    </row>
    <row r="2890" spans="1:2" x14ac:dyDescent="0.35">
      <c r="A2890">
        <v>186</v>
      </c>
      <c r="B2890" t="s">
        <v>24</v>
      </c>
    </row>
    <row r="2891" spans="1:2" x14ac:dyDescent="0.35">
      <c r="A2891">
        <v>186</v>
      </c>
      <c r="B2891">
        <v>2.1549999999999998</v>
      </c>
    </row>
    <row r="2892" spans="1:2" x14ac:dyDescent="0.35">
      <c r="A2892">
        <v>186</v>
      </c>
      <c r="B2892" t="s">
        <v>35</v>
      </c>
    </row>
    <row r="2893" spans="1:2" x14ac:dyDescent="0.35">
      <c r="A2893">
        <v>186</v>
      </c>
      <c r="B2893">
        <v>0.60599999999999998</v>
      </c>
    </row>
    <row r="2894" spans="1:2" x14ac:dyDescent="0.35">
      <c r="A2894">
        <v>186</v>
      </c>
      <c r="B2894" t="s">
        <v>36</v>
      </c>
    </row>
    <row r="2895" spans="1:2" x14ac:dyDescent="0.35">
      <c r="A2895">
        <v>186</v>
      </c>
      <c r="B2895">
        <v>0.36699999999999999</v>
      </c>
    </row>
    <row r="2896" spans="1:2" x14ac:dyDescent="0.35">
      <c r="A2896">
        <v>186</v>
      </c>
      <c r="B2896" t="s">
        <v>37</v>
      </c>
    </row>
    <row r="2897" spans="1:2" x14ac:dyDescent="0.35">
      <c r="A2897">
        <v>186</v>
      </c>
      <c r="B2897">
        <v>-0.48199999999999998</v>
      </c>
    </row>
    <row r="2898" spans="1:2" x14ac:dyDescent="0.35">
      <c r="A2898">
        <v>186</v>
      </c>
      <c r="B2898" t="s">
        <v>38</v>
      </c>
    </row>
    <row r="2899" spans="1:2" x14ac:dyDescent="0.35">
      <c r="A2899">
        <v>186</v>
      </c>
      <c r="B2899">
        <v>0.59299999999999997</v>
      </c>
    </row>
    <row r="2900" spans="1:2" x14ac:dyDescent="0.35">
      <c r="A2900">
        <v>186</v>
      </c>
      <c r="B2900" t="s">
        <v>39</v>
      </c>
    </row>
    <row r="2901" spans="1:2" x14ac:dyDescent="0.35">
      <c r="A2901">
        <v>186</v>
      </c>
      <c r="B2901">
        <v>-0.10299999999999999</v>
      </c>
    </row>
    <row r="2902" spans="1:2" x14ac:dyDescent="0.35">
      <c r="A2902">
        <v>186</v>
      </c>
      <c r="B2902" t="s">
        <v>40</v>
      </c>
    </row>
    <row r="2903" spans="1:2" x14ac:dyDescent="0.35">
      <c r="A2903">
        <v>186</v>
      </c>
      <c r="B2903" s="4">
        <v>0</v>
      </c>
    </row>
    <row r="2904" spans="1:2" x14ac:dyDescent="0.35">
      <c r="A2904">
        <v>186</v>
      </c>
      <c r="B2904" t="s">
        <v>41</v>
      </c>
    </row>
    <row r="2905" spans="1:2" x14ac:dyDescent="0.35">
      <c r="A2905">
        <v>186</v>
      </c>
      <c r="B2905" s="4">
        <v>19000000</v>
      </c>
    </row>
    <row r="2906" spans="1:2" x14ac:dyDescent="0.35">
      <c r="A2906">
        <v>186</v>
      </c>
      <c r="B2906" t="s">
        <v>42</v>
      </c>
    </row>
    <row r="2907" spans="1:2" x14ac:dyDescent="0.35">
      <c r="A2907">
        <v>186</v>
      </c>
      <c r="B2907" t="s">
        <v>44</v>
      </c>
    </row>
    <row r="2908" spans="1:2" x14ac:dyDescent="0.35">
      <c r="A2908">
        <v>185</v>
      </c>
      <c r="B2908" t="s">
        <v>27</v>
      </c>
    </row>
    <row r="2909" spans="1:2" x14ac:dyDescent="0.35">
      <c r="A2909">
        <v>185</v>
      </c>
      <c r="B2909" s="2">
        <v>9.3880000000000005E-2</v>
      </c>
    </row>
    <row r="2910" spans="1:2" x14ac:dyDescent="0.35">
      <c r="A2910">
        <v>185</v>
      </c>
      <c r="B2910" t="s">
        <v>1</v>
      </c>
    </row>
    <row r="2911" spans="1:2" x14ac:dyDescent="0.35">
      <c r="A2911">
        <v>185</v>
      </c>
      <c r="B2911">
        <v>-0.36699999999999999</v>
      </c>
    </row>
    <row r="2912" spans="1:2" x14ac:dyDescent="0.35">
      <c r="A2912">
        <v>185</v>
      </c>
      <c r="B2912" t="s">
        <v>28</v>
      </c>
    </row>
    <row r="2913" spans="1:2" x14ac:dyDescent="0.35">
      <c r="A2913">
        <v>185</v>
      </c>
      <c r="B2913">
        <v>459</v>
      </c>
    </row>
    <row r="2914" spans="1:2" x14ac:dyDescent="0.35">
      <c r="A2914">
        <v>185</v>
      </c>
      <c r="B2914" t="s">
        <v>25</v>
      </c>
    </row>
    <row r="2915" spans="1:2" x14ac:dyDescent="0.35">
      <c r="A2915">
        <v>185</v>
      </c>
      <c r="B2915" s="2">
        <v>4.1099999999999998E-2</v>
      </c>
    </row>
    <row r="2916" spans="1:2" x14ac:dyDescent="0.35">
      <c r="A2916">
        <v>185</v>
      </c>
      <c r="B2916" t="s">
        <v>29</v>
      </c>
    </row>
    <row r="2917" spans="1:2" x14ac:dyDescent="0.35">
      <c r="A2917">
        <v>185</v>
      </c>
      <c r="B2917" s="2">
        <v>-7.9299999999999995E-2</v>
      </c>
    </row>
    <row r="2918" spans="1:2" x14ac:dyDescent="0.35">
      <c r="A2918">
        <v>185</v>
      </c>
      <c r="B2918" t="s">
        <v>30</v>
      </c>
    </row>
    <row r="2919" spans="1:2" x14ac:dyDescent="0.35">
      <c r="A2919">
        <v>185</v>
      </c>
      <c r="B2919" s="2">
        <v>-0.46013999999999999</v>
      </c>
    </row>
    <row r="2920" spans="1:2" x14ac:dyDescent="0.35">
      <c r="A2920">
        <v>185</v>
      </c>
      <c r="B2920" t="s">
        <v>8</v>
      </c>
    </row>
    <row r="2921" spans="1:2" x14ac:dyDescent="0.35">
      <c r="A2921">
        <v>185</v>
      </c>
      <c r="B2921" s="2">
        <v>0.59299999999999997</v>
      </c>
    </row>
    <row r="2922" spans="1:2" x14ac:dyDescent="0.35">
      <c r="A2922">
        <v>185</v>
      </c>
      <c r="B2922" t="s">
        <v>31</v>
      </c>
    </row>
    <row r="2923" spans="1:2" x14ac:dyDescent="0.35">
      <c r="A2923">
        <v>185</v>
      </c>
      <c r="B2923">
        <v>-0.29099999999999998</v>
      </c>
    </row>
    <row r="2924" spans="1:2" x14ac:dyDescent="0.35">
      <c r="A2924">
        <v>185</v>
      </c>
      <c r="B2924" t="s">
        <v>32</v>
      </c>
    </row>
    <row r="2925" spans="1:2" x14ac:dyDescent="0.35">
      <c r="A2925">
        <v>185</v>
      </c>
      <c r="B2925" s="2">
        <v>-0.32754</v>
      </c>
    </row>
    <row r="2926" spans="1:2" x14ac:dyDescent="0.35">
      <c r="A2926">
        <v>185</v>
      </c>
      <c r="B2926" t="s">
        <v>33</v>
      </c>
    </row>
    <row r="2927" spans="1:2" x14ac:dyDescent="0.35">
      <c r="A2927">
        <v>185</v>
      </c>
      <c r="B2927" s="3">
        <v>0.53</v>
      </c>
    </row>
    <row r="2928" spans="1:2" x14ac:dyDescent="0.35">
      <c r="A2928">
        <v>185</v>
      </c>
      <c r="B2928" t="s">
        <v>34</v>
      </c>
    </row>
    <row r="2929" spans="1:2" x14ac:dyDescent="0.35">
      <c r="A2929">
        <v>185</v>
      </c>
      <c r="B2929" s="3">
        <v>0.47</v>
      </c>
    </row>
    <row r="2930" spans="1:2" x14ac:dyDescent="0.35">
      <c r="A2930">
        <v>185</v>
      </c>
      <c r="B2930" t="s">
        <v>26</v>
      </c>
    </row>
    <row r="2931" spans="1:2" x14ac:dyDescent="0.35">
      <c r="A2931">
        <v>185</v>
      </c>
      <c r="B2931">
        <v>0.52</v>
      </c>
    </row>
    <row r="2932" spans="1:2" x14ac:dyDescent="0.35">
      <c r="A2932">
        <v>185</v>
      </c>
      <c r="B2932" t="s">
        <v>23</v>
      </c>
    </row>
    <row r="2933" spans="1:2" x14ac:dyDescent="0.35">
      <c r="A2933">
        <v>185</v>
      </c>
      <c r="B2933">
        <v>-0.36</v>
      </c>
    </row>
    <row r="2934" spans="1:2" x14ac:dyDescent="0.35">
      <c r="A2934">
        <v>185</v>
      </c>
      <c r="B2934" t="s">
        <v>24</v>
      </c>
    </row>
    <row r="2935" spans="1:2" x14ac:dyDescent="0.35">
      <c r="A2935">
        <v>185</v>
      </c>
      <c r="B2935">
        <v>2.1549999999999998</v>
      </c>
    </row>
    <row r="2936" spans="1:2" x14ac:dyDescent="0.35">
      <c r="A2936">
        <v>185</v>
      </c>
      <c r="B2936" t="s">
        <v>35</v>
      </c>
    </row>
    <row r="2937" spans="1:2" x14ac:dyDescent="0.35">
      <c r="A2937">
        <v>185</v>
      </c>
      <c r="B2937">
        <v>0.60599999999999998</v>
      </c>
    </row>
    <row r="2938" spans="1:2" x14ac:dyDescent="0.35">
      <c r="A2938">
        <v>185</v>
      </c>
      <c r="B2938" t="s">
        <v>36</v>
      </c>
    </row>
    <row r="2939" spans="1:2" x14ac:dyDescent="0.35">
      <c r="A2939">
        <v>185</v>
      </c>
      <c r="B2939">
        <v>0.36699999999999999</v>
      </c>
    </row>
    <row r="2940" spans="1:2" x14ac:dyDescent="0.35">
      <c r="A2940">
        <v>185</v>
      </c>
      <c r="B2940" t="s">
        <v>37</v>
      </c>
    </row>
    <row r="2941" spans="1:2" x14ac:dyDescent="0.35">
      <c r="A2941">
        <v>185</v>
      </c>
      <c r="B2941">
        <v>-0.48199999999999998</v>
      </c>
    </row>
    <row r="2942" spans="1:2" x14ac:dyDescent="0.35">
      <c r="A2942">
        <v>185</v>
      </c>
      <c r="B2942" t="s">
        <v>38</v>
      </c>
    </row>
    <row r="2943" spans="1:2" x14ac:dyDescent="0.35">
      <c r="A2943">
        <v>185</v>
      </c>
      <c r="B2943">
        <v>0.59299999999999997</v>
      </c>
    </row>
    <row r="2944" spans="1:2" x14ac:dyDescent="0.35">
      <c r="A2944">
        <v>185</v>
      </c>
      <c r="B2944" t="s">
        <v>39</v>
      </c>
    </row>
    <row r="2945" spans="1:2" x14ac:dyDescent="0.35">
      <c r="A2945">
        <v>185</v>
      </c>
      <c r="B2945">
        <v>-0.10299999999999999</v>
      </c>
    </row>
    <row r="2946" spans="1:2" x14ac:dyDescent="0.35">
      <c r="A2946">
        <v>185</v>
      </c>
      <c r="B2946" t="s">
        <v>40</v>
      </c>
    </row>
    <row r="2947" spans="1:2" x14ac:dyDescent="0.35">
      <c r="A2947">
        <v>185</v>
      </c>
      <c r="B2947" s="4">
        <v>0</v>
      </c>
    </row>
    <row r="2948" spans="1:2" x14ac:dyDescent="0.35">
      <c r="A2948">
        <v>185</v>
      </c>
      <c r="B2948" t="s">
        <v>41</v>
      </c>
    </row>
    <row r="2949" spans="1:2" x14ac:dyDescent="0.35">
      <c r="A2949">
        <v>185</v>
      </c>
      <c r="B2949" s="4">
        <v>19000000</v>
      </c>
    </row>
    <row r="2950" spans="1:2" x14ac:dyDescent="0.35">
      <c r="A2950">
        <v>185</v>
      </c>
      <c r="B2950" t="s">
        <v>42</v>
      </c>
    </row>
    <row r="2951" spans="1:2" x14ac:dyDescent="0.35">
      <c r="A2951">
        <v>185</v>
      </c>
      <c r="B2951" t="s">
        <v>44</v>
      </c>
    </row>
    <row r="2952" spans="1:2" x14ac:dyDescent="0.35">
      <c r="A2952">
        <v>184</v>
      </c>
      <c r="B2952" t="s">
        <v>27</v>
      </c>
    </row>
    <row r="2953" spans="1:2" x14ac:dyDescent="0.35">
      <c r="A2953">
        <v>184</v>
      </c>
      <c r="B2953" s="2">
        <v>9.3880000000000005E-2</v>
      </c>
    </row>
    <row r="2954" spans="1:2" x14ac:dyDescent="0.35">
      <c r="A2954">
        <v>184</v>
      </c>
      <c r="B2954" t="s">
        <v>1</v>
      </c>
    </row>
    <row r="2955" spans="1:2" x14ac:dyDescent="0.35">
      <c r="A2955">
        <v>184</v>
      </c>
      <c r="B2955">
        <v>-0.36699999999999999</v>
      </c>
    </row>
    <row r="2956" spans="1:2" x14ac:dyDescent="0.35">
      <c r="A2956">
        <v>184</v>
      </c>
      <c r="B2956" t="s">
        <v>28</v>
      </c>
    </row>
    <row r="2957" spans="1:2" x14ac:dyDescent="0.35">
      <c r="A2957">
        <v>184</v>
      </c>
      <c r="B2957">
        <v>459</v>
      </c>
    </row>
    <row r="2958" spans="1:2" x14ac:dyDescent="0.35">
      <c r="A2958">
        <v>184</v>
      </c>
      <c r="B2958" t="s">
        <v>25</v>
      </c>
    </row>
    <row r="2959" spans="1:2" x14ac:dyDescent="0.35">
      <c r="A2959">
        <v>184</v>
      </c>
      <c r="B2959" s="2">
        <v>4.1099999999999998E-2</v>
      </c>
    </row>
    <row r="2960" spans="1:2" x14ac:dyDescent="0.35">
      <c r="A2960">
        <v>184</v>
      </c>
      <c r="B2960" t="s">
        <v>29</v>
      </c>
    </row>
    <row r="2961" spans="1:2" x14ac:dyDescent="0.35">
      <c r="A2961">
        <v>184</v>
      </c>
      <c r="B2961" s="2">
        <v>-7.9299999999999995E-2</v>
      </c>
    </row>
    <row r="2962" spans="1:2" x14ac:dyDescent="0.35">
      <c r="A2962">
        <v>184</v>
      </c>
      <c r="B2962" t="s">
        <v>30</v>
      </c>
    </row>
    <row r="2963" spans="1:2" x14ac:dyDescent="0.35">
      <c r="A2963">
        <v>184</v>
      </c>
      <c r="B2963" s="2">
        <v>-0.46013999999999999</v>
      </c>
    </row>
    <row r="2964" spans="1:2" x14ac:dyDescent="0.35">
      <c r="A2964">
        <v>184</v>
      </c>
      <c r="B2964" t="s">
        <v>8</v>
      </c>
    </row>
    <row r="2965" spans="1:2" x14ac:dyDescent="0.35">
      <c r="A2965">
        <v>184</v>
      </c>
      <c r="B2965" s="2">
        <v>0.59299999999999997</v>
      </c>
    </row>
    <row r="2966" spans="1:2" x14ac:dyDescent="0.35">
      <c r="A2966">
        <v>184</v>
      </c>
      <c r="B2966" t="s">
        <v>31</v>
      </c>
    </row>
    <row r="2967" spans="1:2" x14ac:dyDescent="0.35">
      <c r="A2967">
        <v>184</v>
      </c>
      <c r="B2967">
        <v>-0.29099999999999998</v>
      </c>
    </row>
    <row r="2968" spans="1:2" x14ac:dyDescent="0.35">
      <c r="A2968">
        <v>184</v>
      </c>
      <c r="B2968" t="s">
        <v>32</v>
      </c>
    </row>
    <row r="2969" spans="1:2" x14ac:dyDescent="0.35">
      <c r="A2969">
        <v>184</v>
      </c>
      <c r="B2969" s="2">
        <v>-0.32754</v>
      </c>
    </row>
    <row r="2970" spans="1:2" x14ac:dyDescent="0.35">
      <c r="A2970">
        <v>184</v>
      </c>
      <c r="B2970" t="s">
        <v>33</v>
      </c>
    </row>
    <row r="2971" spans="1:2" x14ac:dyDescent="0.35">
      <c r="A2971">
        <v>184</v>
      </c>
      <c r="B2971" s="3">
        <v>0.53</v>
      </c>
    </row>
    <row r="2972" spans="1:2" x14ac:dyDescent="0.35">
      <c r="A2972">
        <v>184</v>
      </c>
      <c r="B2972" t="s">
        <v>34</v>
      </c>
    </row>
    <row r="2973" spans="1:2" x14ac:dyDescent="0.35">
      <c r="A2973">
        <v>184</v>
      </c>
      <c r="B2973" s="3">
        <v>0.47</v>
      </c>
    </row>
    <row r="2974" spans="1:2" x14ac:dyDescent="0.35">
      <c r="A2974">
        <v>184</v>
      </c>
      <c r="B2974" t="s">
        <v>26</v>
      </c>
    </row>
    <row r="2975" spans="1:2" x14ac:dyDescent="0.35">
      <c r="A2975">
        <v>184</v>
      </c>
      <c r="B2975">
        <v>0.52</v>
      </c>
    </row>
    <row r="2976" spans="1:2" x14ac:dyDescent="0.35">
      <c r="A2976">
        <v>184</v>
      </c>
      <c r="B2976" t="s">
        <v>23</v>
      </c>
    </row>
    <row r="2977" spans="1:2" x14ac:dyDescent="0.35">
      <c r="A2977">
        <v>184</v>
      </c>
      <c r="B2977">
        <v>-0.36</v>
      </c>
    </row>
    <row r="2978" spans="1:2" x14ac:dyDescent="0.35">
      <c r="A2978">
        <v>184</v>
      </c>
      <c r="B2978" t="s">
        <v>24</v>
      </c>
    </row>
    <row r="2979" spans="1:2" x14ac:dyDescent="0.35">
      <c r="A2979">
        <v>184</v>
      </c>
      <c r="B2979">
        <v>2.1549999999999998</v>
      </c>
    </row>
    <row r="2980" spans="1:2" x14ac:dyDescent="0.35">
      <c r="A2980">
        <v>184</v>
      </c>
      <c r="B2980" t="s">
        <v>35</v>
      </c>
    </row>
    <row r="2981" spans="1:2" x14ac:dyDescent="0.35">
      <c r="A2981">
        <v>184</v>
      </c>
      <c r="B2981">
        <v>0.60599999999999998</v>
      </c>
    </row>
    <row r="2982" spans="1:2" x14ac:dyDescent="0.35">
      <c r="A2982">
        <v>184</v>
      </c>
      <c r="B2982" t="s">
        <v>36</v>
      </c>
    </row>
    <row r="2983" spans="1:2" x14ac:dyDescent="0.35">
      <c r="A2983">
        <v>184</v>
      </c>
      <c r="B2983">
        <v>0.36699999999999999</v>
      </c>
    </row>
    <row r="2984" spans="1:2" x14ac:dyDescent="0.35">
      <c r="A2984">
        <v>184</v>
      </c>
      <c r="B2984" t="s">
        <v>37</v>
      </c>
    </row>
    <row r="2985" spans="1:2" x14ac:dyDescent="0.35">
      <c r="A2985">
        <v>184</v>
      </c>
      <c r="B2985">
        <v>-0.48199999999999998</v>
      </c>
    </row>
    <row r="2986" spans="1:2" x14ac:dyDescent="0.35">
      <c r="A2986">
        <v>184</v>
      </c>
      <c r="B2986" t="s">
        <v>38</v>
      </c>
    </row>
    <row r="2987" spans="1:2" x14ac:dyDescent="0.35">
      <c r="A2987">
        <v>184</v>
      </c>
      <c r="B2987">
        <v>0.59299999999999997</v>
      </c>
    </row>
    <row r="2988" spans="1:2" x14ac:dyDescent="0.35">
      <c r="A2988">
        <v>184</v>
      </c>
      <c r="B2988" t="s">
        <v>39</v>
      </c>
    </row>
    <row r="2989" spans="1:2" x14ac:dyDescent="0.35">
      <c r="A2989">
        <v>184</v>
      </c>
      <c r="B2989">
        <v>-0.10299999999999999</v>
      </c>
    </row>
    <row r="2990" spans="1:2" x14ac:dyDescent="0.35">
      <c r="A2990">
        <v>184</v>
      </c>
      <c r="B2990" t="s">
        <v>40</v>
      </c>
    </row>
    <row r="2991" spans="1:2" x14ac:dyDescent="0.35">
      <c r="A2991">
        <v>184</v>
      </c>
      <c r="B2991" s="4">
        <v>0</v>
      </c>
    </row>
    <row r="2992" spans="1:2" x14ac:dyDescent="0.35">
      <c r="A2992">
        <v>184</v>
      </c>
      <c r="B2992" t="s">
        <v>41</v>
      </c>
    </row>
    <row r="2993" spans="1:2" x14ac:dyDescent="0.35">
      <c r="A2993">
        <v>184</v>
      </c>
      <c r="B2993" s="4">
        <v>19000000</v>
      </c>
    </row>
    <row r="2994" spans="1:2" x14ac:dyDescent="0.35">
      <c r="A2994">
        <v>184</v>
      </c>
      <c r="B2994" t="s">
        <v>42</v>
      </c>
    </row>
    <row r="2995" spans="1:2" x14ac:dyDescent="0.35">
      <c r="A2995">
        <v>184</v>
      </c>
      <c r="B2995" t="s">
        <v>44</v>
      </c>
    </row>
    <row r="2996" spans="1:2" x14ac:dyDescent="0.35">
      <c r="A2996">
        <v>183</v>
      </c>
      <c r="B2996" t="s">
        <v>27</v>
      </c>
    </row>
    <row r="2997" spans="1:2" x14ac:dyDescent="0.35">
      <c r="A2997">
        <v>183</v>
      </c>
      <c r="B2997" s="2">
        <v>9.3880000000000005E-2</v>
      </c>
    </row>
    <row r="2998" spans="1:2" x14ac:dyDescent="0.35">
      <c r="A2998">
        <v>183</v>
      </c>
      <c r="B2998" t="s">
        <v>1</v>
      </c>
    </row>
    <row r="2999" spans="1:2" x14ac:dyDescent="0.35">
      <c r="A2999">
        <v>183</v>
      </c>
      <c r="B2999">
        <v>-0.36699999999999999</v>
      </c>
    </row>
    <row r="3000" spans="1:2" x14ac:dyDescent="0.35">
      <c r="A3000">
        <v>183</v>
      </c>
      <c r="B3000" t="s">
        <v>28</v>
      </c>
    </row>
    <row r="3001" spans="1:2" x14ac:dyDescent="0.35">
      <c r="A3001">
        <v>183</v>
      </c>
      <c r="B3001">
        <v>459</v>
      </c>
    </row>
    <row r="3002" spans="1:2" x14ac:dyDescent="0.35">
      <c r="A3002">
        <v>183</v>
      </c>
      <c r="B3002" t="s">
        <v>25</v>
      </c>
    </row>
    <row r="3003" spans="1:2" x14ac:dyDescent="0.35">
      <c r="A3003">
        <v>183</v>
      </c>
      <c r="B3003" s="2">
        <v>4.1099999999999998E-2</v>
      </c>
    </row>
    <row r="3004" spans="1:2" x14ac:dyDescent="0.35">
      <c r="A3004">
        <v>183</v>
      </c>
      <c r="B3004" t="s">
        <v>29</v>
      </c>
    </row>
    <row r="3005" spans="1:2" x14ac:dyDescent="0.35">
      <c r="A3005">
        <v>183</v>
      </c>
      <c r="B3005" s="2">
        <v>-7.9299999999999995E-2</v>
      </c>
    </row>
    <row r="3006" spans="1:2" x14ac:dyDescent="0.35">
      <c r="A3006">
        <v>183</v>
      </c>
      <c r="B3006" t="s">
        <v>30</v>
      </c>
    </row>
    <row r="3007" spans="1:2" x14ac:dyDescent="0.35">
      <c r="A3007">
        <v>183</v>
      </c>
      <c r="B3007" s="2">
        <v>-0.46013999999999999</v>
      </c>
    </row>
    <row r="3008" spans="1:2" x14ac:dyDescent="0.35">
      <c r="A3008">
        <v>183</v>
      </c>
      <c r="B3008" t="s">
        <v>8</v>
      </c>
    </row>
    <row r="3009" spans="1:2" x14ac:dyDescent="0.35">
      <c r="A3009">
        <v>183</v>
      </c>
      <c r="B3009" s="2">
        <v>0.59299999999999997</v>
      </c>
    </row>
    <row r="3010" spans="1:2" x14ac:dyDescent="0.35">
      <c r="A3010">
        <v>183</v>
      </c>
      <c r="B3010" t="s">
        <v>31</v>
      </c>
    </row>
    <row r="3011" spans="1:2" x14ac:dyDescent="0.35">
      <c r="A3011">
        <v>183</v>
      </c>
      <c r="B3011">
        <v>-0.29099999999999998</v>
      </c>
    </row>
    <row r="3012" spans="1:2" x14ac:dyDescent="0.35">
      <c r="A3012">
        <v>183</v>
      </c>
      <c r="B3012" t="s">
        <v>32</v>
      </c>
    </row>
    <row r="3013" spans="1:2" x14ac:dyDescent="0.35">
      <c r="A3013">
        <v>183</v>
      </c>
      <c r="B3013" s="2">
        <v>-0.32754</v>
      </c>
    </row>
    <row r="3014" spans="1:2" x14ac:dyDescent="0.35">
      <c r="A3014">
        <v>183</v>
      </c>
      <c r="B3014" t="s">
        <v>33</v>
      </c>
    </row>
    <row r="3015" spans="1:2" x14ac:dyDescent="0.35">
      <c r="A3015">
        <v>183</v>
      </c>
      <c r="B3015" s="3">
        <v>0.53</v>
      </c>
    </row>
    <row r="3016" spans="1:2" x14ac:dyDescent="0.35">
      <c r="A3016">
        <v>183</v>
      </c>
      <c r="B3016" t="s">
        <v>34</v>
      </c>
    </row>
    <row r="3017" spans="1:2" x14ac:dyDescent="0.35">
      <c r="A3017">
        <v>183</v>
      </c>
      <c r="B3017" s="3">
        <v>0.47</v>
      </c>
    </row>
    <row r="3018" spans="1:2" x14ac:dyDescent="0.35">
      <c r="A3018">
        <v>183</v>
      </c>
      <c r="B3018" t="s">
        <v>26</v>
      </c>
    </row>
    <row r="3019" spans="1:2" x14ac:dyDescent="0.35">
      <c r="A3019">
        <v>183</v>
      </c>
      <c r="B3019">
        <v>0.52</v>
      </c>
    </row>
    <row r="3020" spans="1:2" x14ac:dyDescent="0.35">
      <c r="A3020">
        <v>183</v>
      </c>
      <c r="B3020" t="s">
        <v>23</v>
      </c>
    </row>
    <row r="3021" spans="1:2" x14ac:dyDescent="0.35">
      <c r="A3021">
        <v>183</v>
      </c>
      <c r="B3021">
        <v>-0.36</v>
      </c>
    </row>
    <row r="3022" spans="1:2" x14ac:dyDescent="0.35">
      <c r="A3022">
        <v>183</v>
      </c>
      <c r="B3022" t="s">
        <v>24</v>
      </c>
    </row>
    <row r="3023" spans="1:2" x14ac:dyDescent="0.35">
      <c r="A3023">
        <v>183</v>
      </c>
      <c r="B3023">
        <v>2.1549999999999998</v>
      </c>
    </row>
    <row r="3024" spans="1:2" x14ac:dyDescent="0.35">
      <c r="A3024">
        <v>183</v>
      </c>
      <c r="B3024" t="s">
        <v>35</v>
      </c>
    </row>
    <row r="3025" spans="1:2" x14ac:dyDescent="0.35">
      <c r="A3025">
        <v>183</v>
      </c>
      <c r="B3025">
        <v>0.60599999999999998</v>
      </c>
    </row>
    <row r="3026" spans="1:2" x14ac:dyDescent="0.35">
      <c r="A3026">
        <v>183</v>
      </c>
      <c r="B3026" t="s">
        <v>36</v>
      </c>
    </row>
    <row r="3027" spans="1:2" x14ac:dyDescent="0.35">
      <c r="A3027">
        <v>183</v>
      </c>
      <c r="B3027">
        <v>0.36699999999999999</v>
      </c>
    </row>
    <row r="3028" spans="1:2" x14ac:dyDescent="0.35">
      <c r="A3028">
        <v>183</v>
      </c>
      <c r="B3028" t="s">
        <v>37</v>
      </c>
    </row>
    <row r="3029" spans="1:2" x14ac:dyDescent="0.35">
      <c r="A3029">
        <v>183</v>
      </c>
      <c r="B3029">
        <v>-0.48199999999999998</v>
      </c>
    </row>
    <row r="3030" spans="1:2" x14ac:dyDescent="0.35">
      <c r="A3030">
        <v>183</v>
      </c>
      <c r="B3030" t="s">
        <v>38</v>
      </c>
    </row>
    <row r="3031" spans="1:2" x14ac:dyDescent="0.35">
      <c r="A3031">
        <v>183</v>
      </c>
      <c r="B3031">
        <v>0.59299999999999997</v>
      </c>
    </row>
    <row r="3032" spans="1:2" x14ac:dyDescent="0.35">
      <c r="A3032">
        <v>183</v>
      </c>
      <c r="B3032" t="s">
        <v>39</v>
      </c>
    </row>
    <row r="3033" spans="1:2" x14ac:dyDescent="0.35">
      <c r="A3033">
        <v>183</v>
      </c>
      <c r="B3033">
        <v>-0.10299999999999999</v>
      </c>
    </row>
    <row r="3034" spans="1:2" x14ac:dyDescent="0.35">
      <c r="A3034">
        <v>183</v>
      </c>
      <c r="B3034" t="s">
        <v>40</v>
      </c>
    </row>
    <row r="3035" spans="1:2" x14ac:dyDescent="0.35">
      <c r="A3035">
        <v>183</v>
      </c>
      <c r="B3035" s="4">
        <v>0</v>
      </c>
    </row>
    <row r="3036" spans="1:2" x14ac:dyDescent="0.35">
      <c r="A3036">
        <v>183</v>
      </c>
      <c r="B3036" t="s">
        <v>41</v>
      </c>
    </row>
    <row r="3037" spans="1:2" x14ac:dyDescent="0.35">
      <c r="A3037">
        <v>183</v>
      </c>
      <c r="B3037" s="4">
        <v>19000000</v>
      </c>
    </row>
    <row r="3038" spans="1:2" x14ac:dyDescent="0.35">
      <c r="A3038">
        <v>183</v>
      </c>
      <c r="B3038" t="s">
        <v>42</v>
      </c>
    </row>
    <row r="3039" spans="1:2" x14ac:dyDescent="0.35">
      <c r="A3039">
        <v>183</v>
      </c>
      <c r="B3039" t="s">
        <v>44</v>
      </c>
    </row>
    <row r="3040" spans="1:2" x14ac:dyDescent="0.35">
      <c r="A3040">
        <v>182</v>
      </c>
      <c r="B3040" t="s">
        <v>27</v>
      </c>
    </row>
    <row r="3041" spans="1:2" x14ac:dyDescent="0.35">
      <c r="A3041">
        <v>182</v>
      </c>
      <c r="B3041" s="2">
        <v>9.3880000000000005E-2</v>
      </c>
    </row>
    <row r="3042" spans="1:2" x14ac:dyDescent="0.35">
      <c r="A3042">
        <v>182</v>
      </c>
      <c r="B3042" t="s">
        <v>1</v>
      </c>
    </row>
    <row r="3043" spans="1:2" x14ac:dyDescent="0.35">
      <c r="A3043">
        <v>182</v>
      </c>
      <c r="B3043">
        <v>-0.36699999999999999</v>
      </c>
    </row>
    <row r="3044" spans="1:2" x14ac:dyDescent="0.35">
      <c r="A3044">
        <v>182</v>
      </c>
      <c r="B3044" t="s">
        <v>28</v>
      </c>
    </row>
    <row r="3045" spans="1:2" x14ac:dyDescent="0.35">
      <c r="A3045">
        <v>182</v>
      </c>
      <c r="B3045">
        <v>459</v>
      </c>
    </row>
    <row r="3046" spans="1:2" x14ac:dyDescent="0.35">
      <c r="A3046">
        <v>182</v>
      </c>
      <c r="B3046" t="s">
        <v>25</v>
      </c>
    </row>
    <row r="3047" spans="1:2" x14ac:dyDescent="0.35">
      <c r="A3047">
        <v>182</v>
      </c>
      <c r="B3047" s="2">
        <v>4.1099999999999998E-2</v>
      </c>
    </row>
    <row r="3048" spans="1:2" x14ac:dyDescent="0.35">
      <c r="A3048">
        <v>182</v>
      </c>
      <c r="B3048" t="s">
        <v>29</v>
      </c>
    </row>
    <row r="3049" spans="1:2" x14ac:dyDescent="0.35">
      <c r="A3049">
        <v>182</v>
      </c>
      <c r="B3049" s="2">
        <v>-7.9299999999999995E-2</v>
      </c>
    </row>
    <row r="3050" spans="1:2" x14ac:dyDescent="0.35">
      <c r="A3050">
        <v>182</v>
      </c>
      <c r="B3050" t="s">
        <v>30</v>
      </c>
    </row>
    <row r="3051" spans="1:2" x14ac:dyDescent="0.35">
      <c r="A3051">
        <v>182</v>
      </c>
      <c r="B3051" s="2">
        <v>-0.46013999999999999</v>
      </c>
    </row>
    <row r="3052" spans="1:2" x14ac:dyDescent="0.35">
      <c r="A3052">
        <v>182</v>
      </c>
      <c r="B3052" t="s">
        <v>8</v>
      </c>
    </row>
    <row r="3053" spans="1:2" x14ac:dyDescent="0.35">
      <c r="A3053">
        <v>182</v>
      </c>
      <c r="B3053" s="2">
        <v>0.59299999999999997</v>
      </c>
    </row>
    <row r="3054" spans="1:2" x14ac:dyDescent="0.35">
      <c r="A3054">
        <v>182</v>
      </c>
      <c r="B3054" t="s">
        <v>31</v>
      </c>
    </row>
    <row r="3055" spans="1:2" x14ac:dyDescent="0.35">
      <c r="A3055">
        <v>182</v>
      </c>
      <c r="B3055">
        <v>-0.29099999999999998</v>
      </c>
    </row>
    <row r="3056" spans="1:2" x14ac:dyDescent="0.35">
      <c r="A3056">
        <v>182</v>
      </c>
      <c r="B3056" t="s">
        <v>32</v>
      </c>
    </row>
    <row r="3057" spans="1:2" x14ac:dyDescent="0.35">
      <c r="A3057">
        <v>182</v>
      </c>
      <c r="B3057" s="2">
        <v>-0.32754</v>
      </c>
    </row>
    <row r="3058" spans="1:2" x14ac:dyDescent="0.35">
      <c r="A3058">
        <v>182</v>
      </c>
      <c r="B3058" t="s">
        <v>33</v>
      </c>
    </row>
    <row r="3059" spans="1:2" x14ac:dyDescent="0.35">
      <c r="A3059">
        <v>182</v>
      </c>
      <c r="B3059" s="3">
        <v>0.53</v>
      </c>
    </row>
    <row r="3060" spans="1:2" x14ac:dyDescent="0.35">
      <c r="A3060">
        <v>182</v>
      </c>
      <c r="B3060" t="s">
        <v>34</v>
      </c>
    </row>
    <row r="3061" spans="1:2" x14ac:dyDescent="0.35">
      <c r="A3061">
        <v>182</v>
      </c>
      <c r="B3061" s="3">
        <v>0.47</v>
      </c>
    </row>
    <row r="3062" spans="1:2" x14ac:dyDescent="0.35">
      <c r="A3062">
        <v>182</v>
      </c>
      <c r="B3062" t="s">
        <v>26</v>
      </c>
    </row>
    <row r="3063" spans="1:2" x14ac:dyDescent="0.35">
      <c r="A3063">
        <v>182</v>
      </c>
      <c r="B3063">
        <v>0.52</v>
      </c>
    </row>
    <row r="3064" spans="1:2" x14ac:dyDescent="0.35">
      <c r="A3064">
        <v>182</v>
      </c>
      <c r="B3064" t="s">
        <v>23</v>
      </c>
    </row>
    <row r="3065" spans="1:2" x14ac:dyDescent="0.35">
      <c r="A3065">
        <v>182</v>
      </c>
      <c r="B3065">
        <v>-0.36</v>
      </c>
    </row>
    <row r="3066" spans="1:2" x14ac:dyDescent="0.35">
      <c r="A3066">
        <v>182</v>
      </c>
      <c r="B3066" t="s">
        <v>24</v>
      </c>
    </row>
    <row r="3067" spans="1:2" x14ac:dyDescent="0.35">
      <c r="A3067">
        <v>182</v>
      </c>
      <c r="B3067">
        <v>2.1549999999999998</v>
      </c>
    </row>
    <row r="3068" spans="1:2" x14ac:dyDescent="0.35">
      <c r="A3068">
        <v>182</v>
      </c>
      <c r="B3068" t="s">
        <v>35</v>
      </c>
    </row>
    <row r="3069" spans="1:2" x14ac:dyDescent="0.35">
      <c r="A3069">
        <v>182</v>
      </c>
      <c r="B3069">
        <v>0.60599999999999998</v>
      </c>
    </row>
    <row r="3070" spans="1:2" x14ac:dyDescent="0.35">
      <c r="A3070">
        <v>182</v>
      </c>
      <c r="B3070" t="s">
        <v>36</v>
      </c>
    </row>
    <row r="3071" spans="1:2" x14ac:dyDescent="0.35">
      <c r="A3071">
        <v>182</v>
      </c>
      <c r="B3071">
        <v>0.36699999999999999</v>
      </c>
    </row>
    <row r="3072" spans="1:2" x14ac:dyDescent="0.35">
      <c r="A3072">
        <v>182</v>
      </c>
      <c r="B3072" t="s">
        <v>37</v>
      </c>
    </row>
    <row r="3073" spans="1:2" x14ac:dyDescent="0.35">
      <c r="A3073">
        <v>182</v>
      </c>
      <c r="B3073">
        <v>-0.48199999999999998</v>
      </c>
    </row>
    <row r="3074" spans="1:2" x14ac:dyDescent="0.35">
      <c r="A3074">
        <v>182</v>
      </c>
      <c r="B3074" t="s">
        <v>38</v>
      </c>
    </row>
    <row r="3075" spans="1:2" x14ac:dyDescent="0.35">
      <c r="A3075">
        <v>182</v>
      </c>
      <c r="B3075">
        <v>0.59299999999999997</v>
      </c>
    </row>
    <row r="3076" spans="1:2" x14ac:dyDescent="0.35">
      <c r="A3076">
        <v>182</v>
      </c>
      <c r="B3076" t="s">
        <v>39</v>
      </c>
    </row>
    <row r="3077" spans="1:2" x14ac:dyDescent="0.35">
      <c r="A3077">
        <v>182</v>
      </c>
      <c r="B3077">
        <v>-0.10299999999999999</v>
      </c>
    </row>
    <row r="3078" spans="1:2" x14ac:dyDescent="0.35">
      <c r="A3078">
        <v>182</v>
      </c>
      <c r="B3078" t="s">
        <v>40</v>
      </c>
    </row>
    <row r="3079" spans="1:2" x14ac:dyDescent="0.35">
      <c r="A3079">
        <v>182</v>
      </c>
      <c r="B3079" s="4">
        <v>0</v>
      </c>
    </row>
    <row r="3080" spans="1:2" x14ac:dyDescent="0.35">
      <c r="A3080">
        <v>182</v>
      </c>
      <c r="B3080" t="s">
        <v>41</v>
      </c>
    </row>
    <row r="3081" spans="1:2" x14ac:dyDescent="0.35">
      <c r="A3081">
        <v>182</v>
      </c>
      <c r="B3081" s="4">
        <v>19000000</v>
      </c>
    </row>
    <row r="3082" spans="1:2" x14ac:dyDescent="0.35">
      <c r="A3082">
        <v>182</v>
      </c>
      <c r="B3082" t="s">
        <v>42</v>
      </c>
    </row>
    <row r="3083" spans="1:2" x14ac:dyDescent="0.35">
      <c r="A3083">
        <v>182</v>
      </c>
      <c r="B3083" t="s">
        <v>44</v>
      </c>
    </row>
    <row r="3084" spans="1:2" x14ac:dyDescent="0.35">
      <c r="A3084">
        <v>181</v>
      </c>
      <c r="B3084" t="s">
        <v>27</v>
      </c>
    </row>
    <row r="3085" spans="1:2" x14ac:dyDescent="0.35">
      <c r="A3085">
        <v>181</v>
      </c>
      <c r="B3085" s="2">
        <v>9.3880000000000005E-2</v>
      </c>
    </row>
    <row r="3086" spans="1:2" x14ac:dyDescent="0.35">
      <c r="A3086">
        <v>181</v>
      </c>
      <c r="B3086" t="s">
        <v>1</v>
      </c>
    </row>
    <row r="3087" spans="1:2" x14ac:dyDescent="0.35">
      <c r="A3087">
        <v>181</v>
      </c>
      <c r="B3087">
        <v>-0.36699999999999999</v>
      </c>
    </row>
    <row r="3088" spans="1:2" x14ac:dyDescent="0.35">
      <c r="A3088">
        <v>181</v>
      </c>
      <c r="B3088" t="s">
        <v>28</v>
      </c>
    </row>
    <row r="3089" spans="1:2" x14ac:dyDescent="0.35">
      <c r="A3089">
        <v>181</v>
      </c>
      <c r="B3089">
        <v>459</v>
      </c>
    </row>
    <row r="3090" spans="1:2" x14ac:dyDescent="0.35">
      <c r="A3090">
        <v>181</v>
      </c>
      <c r="B3090" t="s">
        <v>25</v>
      </c>
    </row>
    <row r="3091" spans="1:2" x14ac:dyDescent="0.35">
      <c r="A3091">
        <v>181</v>
      </c>
      <c r="B3091" s="2">
        <v>4.1099999999999998E-2</v>
      </c>
    </row>
    <row r="3092" spans="1:2" x14ac:dyDescent="0.35">
      <c r="A3092">
        <v>181</v>
      </c>
      <c r="B3092" t="s">
        <v>29</v>
      </c>
    </row>
    <row r="3093" spans="1:2" x14ac:dyDescent="0.35">
      <c r="A3093">
        <v>181</v>
      </c>
      <c r="B3093" s="2">
        <v>-7.9299999999999995E-2</v>
      </c>
    </row>
    <row r="3094" spans="1:2" x14ac:dyDescent="0.35">
      <c r="A3094">
        <v>181</v>
      </c>
      <c r="B3094" t="s">
        <v>30</v>
      </c>
    </row>
    <row r="3095" spans="1:2" x14ac:dyDescent="0.35">
      <c r="A3095">
        <v>181</v>
      </c>
      <c r="B3095" s="2">
        <v>-0.46013999999999999</v>
      </c>
    </row>
    <row r="3096" spans="1:2" x14ac:dyDescent="0.35">
      <c r="A3096">
        <v>181</v>
      </c>
      <c r="B3096" t="s">
        <v>8</v>
      </c>
    </row>
    <row r="3097" spans="1:2" x14ac:dyDescent="0.35">
      <c r="A3097">
        <v>181</v>
      </c>
      <c r="B3097" s="2">
        <v>0.59299999999999997</v>
      </c>
    </row>
    <row r="3098" spans="1:2" x14ac:dyDescent="0.35">
      <c r="A3098">
        <v>181</v>
      </c>
      <c r="B3098" t="s">
        <v>31</v>
      </c>
    </row>
    <row r="3099" spans="1:2" x14ac:dyDescent="0.35">
      <c r="A3099">
        <v>181</v>
      </c>
      <c r="B3099">
        <v>-0.29099999999999998</v>
      </c>
    </row>
    <row r="3100" spans="1:2" x14ac:dyDescent="0.35">
      <c r="A3100">
        <v>181</v>
      </c>
      <c r="B3100" t="s">
        <v>32</v>
      </c>
    </row>
    <row r="3101" spans="1:2" x14ac:dyDescent="0.35">
      <c r="A3101">
        <v>181</v>
      </c>
      <c r="B3101" s="2">
        <v>-0.32754</v>
      </c>
    </row>
    <row r="3102" spans="1:2" x14ac:dyDescent="0.35">
      <c r="A3102">
        <v>181</v>
      </c>
      <c r="B3102" t="s">
        <v>33</v>
      </c>
    </row>
    <row r="3103" spans="1:2" x14ac:dyDescent="0.35">
      <c r="A3103">
        <v>181</v>
      </c>
      <c r="B3103" s="3">
        <v>0.53</v>
      </c>
    </row>
    <row r="3104" spans="1:2" x14ac:dyDescent="0.35">
      <c r="A3104">
        <v>181</v>
      </c>
      <c r="B3104" t="s">
        <v>34</v>
      </c>
    </row>
    <row r="3105" spans="1:2" x14ac:dyDescent="0.35">
      <c r="A3105">
        <v>181</v>
      </c>
      <c r="B3105" s="3">
        <v>0.47</v>
      </c>
    </row>
    <row r="3106" spans="1:2" x14ac:dyDescent="0.35">
      <c r="A3106">
        <v>181</v>
      </c>
      <c r="B3106" t="s">
        <v>26</v>
      </c>
    </row>
    <row r="3107" spans="1:2" x14ac:dyDescent="0.35">
      <c r="A3107">
        <v>181</v>
      </c>
      <c r="B3107">
        <v>0.52</v>
      </c>
    </row>
    <row r="3108" spans="1:2" x14ac:dyDescent="0.35">
      <c r="A3108">
        <v>181</v>
      </c>
      <c r="B3108" t="s">
        <v>23</v>
      </c>
    </row>
    <row r="3109" spans="1:2" x14ac:dyDescent="0.35">
      <c r="A3109">
        <v>181</v>
      </c>
      <c r="B3109">
        <v>-0.36</v>
      </c>
    </row>
    <row r="3110" spans="1:2" x14ac:dyDescent="0.35">
      <c r="A3110">
        <v>181</v>
      </c>
      <c r="B3110" t="s">
        <v>24</v>
      </c>
    </row>
    <row r="3111" spans="1:2" x14ac:dyDescent="0.35">
      <c r="A3111">
        <v>181</v>
      </c>
      <c r="B3111">
        <v>2.1549999999999998</v>
      </c>
    </row>
    <row r="3112" spans="1:2" x14ac:dyDescent="0.35">
      <c r="A3112">
        <v>181</v>
      </c>
      <c r="B3112" t="s">
        <v>35</v>
      </c>
    </row>
    <row r="3113" spans="1:2" x14ac:dyDescent="0.35">
      <c r="A3113">
        <v>181</v>
      </c>
      <c r="B3113">
        <v>0.60599999999999998</v>
      </c>
    </row>
    <row r="3114" spans="1:2" x14ac:dyDescent="0.35">
      <c r="A3114">
        <v>181</v>
      </c>
      <c r="B3114" t="s">
        <v>36</v>
      </c>
    </row>
    <row r="3115" spans="1:2" x14ac:dyDescent="0.35">
      <c r="A3115">
        <v>181</v>
      </c>
      <c r="B3115">
        <v>0.36699999999999999</v>
      </c>
    </row>
    <row r="3116" spans="1:2" x14ac:dyDescent="0.35">
      <c r="A3116">
        <v>181</v>
      </c>
      <c r="B3116" t="s">
        <v>37</v>
      </c>
    </row>
    <row r="3117" spans="1:2" x14ac:dyDescent="0.35">
      <c r="A3117">
        <v>181</v>
      </c>
      <c r="B3117">
        <v>-0.48199999999999998</v>
      </c>
    </row>
    <row r="3118" spans="1:2" x14ac:dyDescent="0.35">
      <c r="A3118">
        <v>181</v>
      </c>
      <c r="B3118" t="s">
        <v>38</v>
      </c>
    </row>
    <row r="3119" spans="1:2" x14ac:dyDescent="0.35">
      <c r="A3119">
        <v>181</v>
      </c>
      <c r="B3119">
        <v>0.59299999999999997</v>
      </c>
    </row>
    <row r="3120" spans="1:2" x14ac:dyDescent="0.35">
      <c r="A3120">
        <v>181</v>
      </c>
      <c r="B3120" t="s">
        <v>39</v>
      </c>
    </row>
    <row r="3121" spans="1:2" x14ac:dyDescent="0.35">
      <c r="A3121">
        <v>181</v>
      </c>
      <c r="B3121">
        <v>-0.10299999999999999</v>
      </c>
    </row>
    <row r="3122" spans="1:2" x14ac:dyDescent="0.35">
      <c r="A3122">
        <v>181</v>
      </c>
      <c r="B3122" t="s">
        <v>40</v>
      </c>
    </row>
    <row r="3123" spans="1:2" x14ac:dyDescent="0.35">
      <c r="A3123">
        <v>181</v>
      </c>
      <c r="B3123" s="4">
        <v>0</v>
      </c>
    </row>
    <row r="3124" spans="1:2" x14ac:dyDescent="0.35">
      <c r="A3124">
        <v>181</v>
      </c>
      <c r="B3124" t="s">
        <v>41</v>
      </c>
    </row>
    <row r="3125" spans="1:2" x14ac:dyDescent="0.35">
      <c r="A3125">
        <v>181</v>
      </c>
      <c r="B3125" s="4">
        <v>19000000</v>
      </c>
    </row>
    <row r="3126" spans="1:2" x14ac:dyDescent="0.35">
      <c r="A3126">
        <v>181</v>
      </c>
      <c r="B3126" t="s">
        <v>42</v>
      </c>
    </row>
    <row r="3127" spans="1:2" x14ac:dyDescent="0.35">
      <c r="A3127">
        <v>181</v>
      </c>
      <c r="B3127" t="s">
        <v>44</v>
      </c>
    </row>
    <row r="3128" spans="1:2" x14ac:dyDescent="0.35">
      <c r="A3128">
        <v>180</v>
      </c>
      <c r="B3128" t="s">
        <v>27</v>
      </c>
    </row>
    <row r="3129" spans="1:2" x14ac:dyDescent="0.35">
      <c r="A3129">
        <v>180</v>
      </c>
      <c r="B3129" s="2">
        <v>9.3880000000000005E-2</v>
      </c>
    </row>
    <row r="3130" spans="1:2" x14ac:dyDescent="0.35">
      <c r="A3130">
        <v>180</v>
      </c>
      <c r="B3130" t="s">
        <v>1</v>
      </c>
    </row>
    <row r="3131" spans="1:2" x14ac:dyDescent="0.35">
      <c r="A3131">
        <v>180</v>
      </c>
      <c r="B3131">
        <v>-0.36699999999999999</v>
      </c>
    </row>
    <row r="3132" spans="1:2" x14ac:dyDescent="0.35">
      <c r="A3132">
        <v>180</v>
      </c>
      <c r="B3132" t="s">
        <v>28</v>
      </c>
    </row>
    <row r="3133" spans="1:2" x14ac:dyDescent="0.35">
      <c r="A3133">
        <v>180</v>
      </c>
      <c r="B3133">
        <v>459</v>
      </c>
    </row>
    <row r="3134" spans="1:2" x14ac:dyDescent="0.35">
      <c r="A3134">
        <v>180</v>
      </c>
      <c r="B3134" t="s">
        <v>25</v>
      </c>
    </row>
    <row r="3135" spans="1:2" x14ac:dyDescent="0.35">
      <c r="A3135">
        <v>180</v>
      </c>
      <c r="B3135" s="2">
        <v>4.1099999999999998E-2</v>
      </c>
    </row>
    <row r="3136" spans="1:2" x14ac:dyDescent="0.35">
      <c r="A3136">
        <v>180</v>
      </c>
      <c r="B3136" t="s">
        <v>29</v>
      </c>
    </row>
    <row r="3137" spans="1:2" x14ac:dyDescent="0.35">
      <c r="A3137">
        <v>180</v>
      </c>
      <c r="B3137" s="2">
        <v>-7.9299999999999995E-2</v>
      </c>
    </row>
    <row r="3138" spans="1:2" x14ac:dyDescent="0.35">
      <c r="A3138">
        <v>180</v>
      </c>
      <c r="B3138" t="s">
        <v>30</v>
      </c>
    </row>
    <row r="3139" spans="1:2" x14ac:dyDescent="0.35">
      <c r="A3139">
        <v>180</v>
      </c>
      <c r="B3139" s="2">
        <v>-0.46013999999999999</v>
      </c>
    </row>
    <row r="3140" spans="1:2" x14ac:dyDescent="0.35">
      <c r="A3140">
        <v>180</v>
      </c>
      <c r="B3140" t="s">
        <v>8</v>
      </c>
    </row>
    <row r="3141" spans="1:2" x14ac:dyDescent="0.35">
      <c r="A3141">
        <v>180</v>
      </c>
      <c r="B3141" s="2">
        <v>0.59299999999999997</v>
      </c>
    </row>
    <row r="3142" spans="1:2" x14ac:dyDescent="0.35">
      <c r="A3142">
        <v>180</v>
      </c>
      <c r="B3142" t="s">
        <v>31</v>
      </c>
    </row>
    <row r="3143" spans="1:2" x14ac:dyDescent="0.35">
      <c r="A3143">
        <v>180</v>
      </c>
      <c r="B3143">
        <v>-0.29099999999999998</v>
      </c>
    </row>
    <row r="3144" spans="1:2" x14ac:dyDescent="0.35">
      <c r="A3144">
        <v>180</v>
      </c>
      <c r="B3144" t="s">
        <v>32</v>
      </c>
    </row>
    <row r="3145" spans="1:2" x14ac:dyDescent="0.35">
      <c r="A3145">
        <v>180</v>
      </c>
      <c r="B3145" s="2">
        <v>-0.32754</v>
      </c>
    </row>
    <row r="3146" spans="1:2" x14ac:dyDescent="0.35">
      <c r="A3146">
        <v>180</v>
      </c>
      <c r="B3146" t="s">
        <v>33</v>
      </c>
    </row>
    <row r="3147" spans="1:2" x14ac:dyDescent="0.35">
      <c r="A3147">
        <v>180</v>
      </c>
      <c r="B3147" s="3">
        <v>0.53</v>
      </c>
    </row>
    <row r="3148" spans="1:2" x14ac:dyDescent="0.35">
      <c r="A3148">
        <v>180</v>
      </c>
      <c r="B3148" t="s">
        <v>34</v>
      </c>
    </row>
    <row r="3149" spans="1:2" x14ac:dyDescent="0.35">
      <c r="A3149">
        <v>180</v>
      </c>
      <c r="B3149" s="3">
        <v>0.47</v>
      </c>
    </row>
    <row r="3150" spans="1:2" x14ac:dyDescent="0.35">
      <c r="A3150">
        <v>180</v>
      </c>
      <c r="B3150" t="s">
        <v>26</v>
      </c>
    </row>
    <row r="3151" spans="1:2" x14ac:dyDescent="0.35">
      <c r="A3151">
        <v>180</v>
      </c>
      <c r="B3151">
        <v>0.52</v>
      </c>
    </row>
    <row r="3152" spans="1:2" x14ac:dyDescent="0.35">
      <c r="A3152">
        <v>180</v>
      </c>
      <c r="B3152" t="s">
        <v>23</v>
      </c>
    </row>
    <row r="3153" spans="1:2" x14ac:dyDescent="0.35">
      <c r="A3153">
        <v>180</v>
      </c>
      <c r="B3153">
        <v>-0.36</v>
      </c>
    </row>
    <row r="3154" spans="1:2" x14ac:dyDescent="0.35">
      <c r="A3154">
        <v>180</v>
      </c>
      <c r="B3154" t="s">
        <v>24</v>
      </c>
    </row>
    <row r="3155" spans="1:2" x14ac:dyDescent="0.35">
      <c r="A3155">
        <v>180</v>
      </c>
      <c r="B3155">
        <v>2.1549999999999998</v>
      </c>
    </row>
    <row r="3156" spans="1:2" x14ac:dyDescent="0.35">
      <c r="A3156">
        <v>180</v>
      </c>
      <c r="B3156" t="s">
        <v>35</v>
      </c>
    </row>
    <row r="3157" spans="1:2" x14ac:dyDescent="0.35">
      <c r="A3157">
        <v>180</v>
      </c>
      <c r="B3157">
        <v>0.60599999999999998</v>
      </c>
    </row>
    <row r="3158" spans="1:2" x14ac:dyDescent="0.35">
      <c r="A3158">
        <v>180</v>
      </c>
      <c r="B3158" t="s">
        <v>36</v>
      </c>
    </row>
    <row r="3159" spans="1:2" x14ac:dyDescent="0.35">
      <c r="A3159">
        <v>180</v>
      </c>
      <c r="B3159">
        <v>0.36699999999999999</v>
      </c>
    </row>
    <row r="3160" spans="1:2" x14ac:dyDescent="0.35">
      <c r="A3160">
        <v>180</v>
      </c>
      <c r="B3160" t="s">
        <v>37</v>
      </c>
    </row>
    <row r="3161" spans="1:2" x14ac:dyDescent="0.35">
      <c r="A3161">
        <v>180</v>
      </c>
      <c r="B3161">
        <v>-0.48199999999999998</v>
      </c>
    </row>
    <row r="3162" spans="1:2" x14ac:dyDescent="0.35">
      <c r="A3162">
        <v>180</v>
      </c>
      <c r="B3162" t="s">
        <v>38</v>
      </c>
    </row>
    <row r="3163" spans="1:2" x14ac:dyDescent="0.35">
      <c r="A3163">
        <v>180</v>
      </c>
      <c r="B3163">
        <v>0.59299999999999997</v>
      </c>
    </row>
    <row r="3164" spans="1:2" x14ac:dyDescent="0.35">
      <c r="A3164">
        <v>180</v>
      </c>
      <c r="B3164" t="s">
        <v>39</v>
      </c>
    </row>
    <row r="3165" spans="1:2" x14ac:dyDescent="0.35">
      <c r="A3165">
        <v>180</v>
      </c>
      <c r="B3165">
        <v>-0.10299999999999999</v>
      </c>
    </row>
    <row r="3166" spans="1:2" x14ac:dyDescent="0.35">
      <c r="A3166">
        <v>180</v>
      </c>
      <c r="B3166" t="s">
        <v>40</v>
      </c>
    </row>
    <row r="3167" spans="1:2" x14ac:dyDescent="0.35">
      <c r="A3167">
        <v>180</v>
      </c>
      <c r="B3167" s="4">
        <v>0</v>
      </c>
    </row>
    <row r="3168" spans="1:2" x14ac:dyDescent="0.35">
      <c r="A3168">
        <v>180</v>
      </c>
      <c r="B3168" t="s">
        <v>41</v>
      </c>
    </row>
    <row r="3169" spans="1:2" x14ac:dyDescent="0.35">
      <c r="A3169">
        <v>180</v>
      </c>
      <c r="B3169" s="4">
        <v>19000000</v>
      </c>
    </row>
    <row r="3170" spans="1:2" x14ac:dyDescent="0.35">
      <c r="A3170">
        <v>180</v>
      </c>
      <c r="B3170" t="s">
        <v>42</v>
      </c>
    </row>
    <row r="3171" spans="1:2" x14ac:dyDescent="0.35">
      <c r="A3171">
        <v>180</v>
      </c>
      <c r="B3171" t="s">
        <v>44</v>
      </c>
    </row>
    <row r="3172" spans="1:2" x14ac:dyDescent="0.35">
      <c r="A3172">
        <v>179</v>
      </c>
      <c r="B3172" t="s">
        <v>27</v>
      </c>
    </row>
    <row r="3173" spans="1:2" x14ac:dyDescent="0.35">
      <c r="A3173">
        <v>179</v>
      </c>
      <c r="B3173" s="2">
        <v>9.3880000000000005E-2</v>
      </c>
    </row>
    <row r="3174" spans="1:2" x14ac:dyDescent="0.35">
      <c r="A3174">
        <v>179</v>
      </c>
      <c r="B3174" t="s">
        <v>1</v>
      </c>
    </row>
    <row r="3175" spans="1:2" x14ac:dyDescent="0.35">
      <c r="A3175">
        <v>179</v>
      </c>
      <c r="B3175">
        <v>-0.36699999999999999</v>
      </c>
    </row>
    <row r="3176" spans="1:2" x14ac:dyDescent="0.35">
      <c r="A3176">
        <v>179</v>
      </c>
      <c r="B3176" t="s">
        <v>28</v>
      </c>
    </row>
    <row r="3177" spans="1:2" x14ac:dyDescent="0.35">
      <c r="A3177">
        <v>179</v>
      </c>
      <c r="B3177">
        <v>459</v>
      </c>
    </row>
    <row r="3178" spans="1:2" x14ac:dyDescent="0.35">
      <c r="A3178">
        <v>179</v>
      </c>
      <c r="B3178" t="s">
        <v>25</v>
      </c>
    </row>
    <row r="3179" spans="1:2" x14ac:dyDescent="0.35">
      <c r="A3179">
        <v>179</v>
      </c>
      <c r="B3179" s="2">
        <v>4.1099999999999998E-2</v>
      </c>
    </row>
    <row r="3180" spans="1:2" x14ac:dyDescent="0.35">
      <c r="A3180">
        <v>179</v>
      </c>
      <c r="B3180" t="s">
        <v>29</v>
      </c>
    </row>
    <row r="3181" spans="1:2" x14ac:dyDescent="0.35">
      <c r="A3181">
        <v>179</v>
      </c>
      <c r="B3181" s="2">
        <v>-7.9299999999999995E-2</v>
      </c>
    </row>
    <row r="3182" spans="1:2" x14ac:dyDescent="0.35">
      <c r="A3182">
        <v>179</v>
      </c>
      <c r="B3182" t="s">
        <v>30</v>
      </c>
    </row>
    <row r="3183" spans="1:2" x14ac:dyDescent="0.35">
      <c r="A3183">
        <v>179</v>
      </c>
      <c r="B3183" s="2">
        <v>-0.46013999999999999</v>
      </c>
    </row>
    <row r="3184" spans="1:2" x14ac:dyDescent="0.35">
      <c r="A3184">
        <v>179</v>
      </c>
      <c r="B3184" t="s">
        <v>8</v>
      </c>
    </row>
    <row r="3185" spans="1:2" x14ac:dyDescent="0.35">
      <c r="A3185">
        <v>179</v>
      </c>
      <c r="B3185" s="2">
        <v>0.59299999999999997</v>
      </c>
    </row>
    <row r="3186" spans="1:2" x14ac:dyDescent="0.35">
      <c r="A3186">
        <v>179</v>
      </c>
      <c r="B3186" t="s">
        <v>31</v>
      </c>
    </row>
    <row r="3187" spans="1:2" x14ac:dyDescent="0.35">
      <c r="A3187">
        <v>179</v>
      </c>
      <c r="B3187">
        <v>-0.29099999999999998</v>
      </c>
    </row>
    <row r="3188" spans="1:2" x14ac:dyDescent="0.35">
      <c r="A3188">
        <v>179</v>
      </c>
      <c r="B3188" t="s">
        <v>32</v>
      </c>
    </row>
    <row r="3189" spans="1:2" x14ac:dyDescent="0.35">
      <c r="A3189">
        <v>179</v>
      </c>
      <c r="B3189" s="2">
        <v>-0.32754</v>
      </c>
    </row>
    <row r="3190" spans="1:2" x14ac:dyDescent="0.35">
      <c r="A3190">
        <v>179</v>
      </c>
      <c r="B3190" t="s">
        <v>33</v>
      </c>
    </row>
    <row r="3191" spans="1:2" x14ac:dyDescent="0.35">
      <c r="A3191">
        <v>179</v>
      </c>
      <c r="B3191" s="3">
        <v>0.53</v>
      </c>
    </row>
    <row r="3192" spans="1:2" x14ac:dyDescent="0.35">
      <c r="A3192">
        <v>179</v>
      </c>
      <c r="B3192" t="s">
        <v>34</v>
      </c>
    </row>
    <row r="3193" spans="1:2" x14ac:dyDescent="0.35">
      <c r="A3193">
        <v>179</v>
      </c>
      <c r="B3193" s="3">
        <v>0.47</v>
      </c>
    </row>
    <row r="3194" spans="1:2" x14ac:dyDescent="0.35">
      <c r="A3194">
        <v>179</v>
      </c>
      <c r="B3194" t="s">
        <v>26</v>
      </c>
    </row>
    <row r="3195" spans="1:2" x14ac:dyDescent="0.35">
      <c r="A3195">
        <v>179</v>
      </c>
      <c r="B3195">
        <v>0.52</v>
      </c>
    </row>
    <row r="3196" spans="1:2" x14ac:dyDescent="0.35">
      <c r="A3196">
        <v>179</v>
      </c>
      <c r="B3196" t="s">
        <v>23</v>
      </c>
    </row>
    <row r="3197" spans="1:2" x14ac:dyDescent="0.35">
      <c r="A3197">
        <v>179</v>
      </c>
      <c r="B3197">
        <v>-0.36</v>
      </c>
    </row>
    <row r="3198" spans="1:2" x14ac:dyDescent="0.35">
      <c r="A3198">
        <v>179</v>
      </c>
      <c r="B3198" t="s">
        <v>24</v>
      </c>
    </row>
    <row r="3199" spans="1:2" x14ac:dyDescent="0.35">
      <c r="A3199">
        <v>179</v>
      </c>
      <c r="B3199">
        <v>2.1549999999999998</v>
      </c>
    </row>
    <row r="3200" spans="1:2" x14ac:dyDescent="0.35">
      <c r="A3200">
        <v>179</v>
      </c>
      <c r="B3200" t="s">
        <v>35</v>
      </c>
    </row>
    <row r="3201" spans="1:2" x14ac:dyDescent="0.35">
      <c r="A3201">
        <v>179</v>
      </c>
      <c r="B3201">
        <v>0.60599999999999998</v>
      </c>
    </row>
    <row r="3202" spans="1:2" x14ac:dyDescent="0.35">
      <c r="A3202">
        <v>179</v>
      </c>
      <c r="B3202" t="s">
        <v>36</v>
      </c>
    </row>
    <row r="3203" spans="1:2" x14ac:dyDescent="0.35">
      <c r="A3203">
        <v>179</v>
      </c>
      <c r="B3203">
        <v>0.36699999999999999</v>
      </c>
    </row>
    <row r="3204" spans="1:2" x14ac:dyDescent="0.35">
      <c r="A3204">
        <v>179</v>
      </c>
      <c r="B3204" t="s">
        <v>37</v>
      </c>
    </row>
    <row r="3205" spans="1:2" x14ac:dyDescent="0.35">
      <c r="A3205">
        <v>179</v>
      </c>
      <c r="B3205">
        <v>-0.48199999999999998</v>
      </c>
    </row>
    <row r="3206" spans="1:2" x14ac:dyDescent="0.35">
      <c r="A3206">
        <v>179</v>
      </c>
      <c r="B3206" t="s">
        <v>38</v>
      </c>
    </row>
    <row r="3207" spans="1:2" x14ac:dyDescent="0.35">
      <c r="A3207">
        <v>179</v>
      </c>
      <c r="B3207">
        <v>0.59299999999999997</v>
      </c>
    </row>
    <row r="3208" spans="1:2" x14ac:dyDescent="0.35">
      <c r="A3208">
        <v>179</v>
      </c>
      <c r="B3208" t="s">
        <v>39</v>
      </c>
    </row>
    <row r="3209" spans="1:2" x14ac:dyDescent="0.35">
      <c r="A3209">
        <v>179</v>
      </c>
      <c r="B3209">
        <v>-0.10299999999999999</v>
      </c>
    </row>
    <row r="3210" spans="1:2" x14ac:dyDescent="0.35">
      <c r="A3210">
        <v>179</v>
      </c>
      <c r="B3210" t="s">
        <v>40</v>
      </c>
    </row>
    <row r="3211" spans="1:2" x14ac:dyDescent="0.35">
      <c r="A3211">
        <v>179</v>
      </c>
      <c r="B3211" s="4">
        <v>0</v>
      </c>
    </row>
    <row r="3212" spans="1:2" x14ac:dyDescent="0.35">
      <c r="A3212">
        <v>179</v>
      </c>
      <c r="B3212" t="s">
        <v>41</v>
      </c>
    </row>
    <row r="3213" spans="1:2" x14ac:dyDescent="0.35">
      <c r="A3213">
        <v>179</v>
      </c>
      <c r="B3213" s="4">
        <v>19000000</v>
      </c>
    </row>
    <row r="3214" spans="1:2" x14ac:dyDescent="0.35">
      <c r="A3214">
        <v>179</v>
      </c>
      <c r="B3214" t="s">
        <v>42</v>
      </c>
    </row>
    <row r="3215" spans="1:2" x14ac:dyDescent="0.35">
      <c r="A3215">
        <v>179</v>
      </c>
      <c r="B3215" t="s">
        <v>44</v>
      </c>
    </row>
    <row r="3216" spans="1:2" x14ac:dyDescent="0.35">
      <c r="A3216">
        <v>178</v>
      </c>
      <c r="B3216" t="s">
        <v>27</v>
      </c>
    </row>
    <row r="3217" spans="1:2" x14ac:dyDescent="0.35">
      <c r="A3217">
        <v>178</v>
      </c>
      <c r="B3217" s="2">
        <v>9.3880000000000005E-2</v>
      </c>
    </row>
    <row r="3218" spans="1:2" x14ac:dyDescent="0.35">
      <c r="A3218">
        <v>178</v>
      </c>
      <c r="B3218" t="s">
        <v>1</v>
      </c>
    </row>
    <row r="3219" spans="1:2" x14ac:dyDescent="0.35">
      <c r="A3219">
        <v>178</v>
      </c>
      <c r="B3219">
        <v>-0.36699999999999999</v>
      </c>
    </row>
    <row r="3220" spans="1:2" x14ac:dyDescent="0.35">
      <c r="A3220">
        <v>178</v>
      </c>
      <c r="B3220" t="s">
        <v>28</v>
      </c>
    </row>
    <row r="3221" spans="1:2" x14ac:dyDescent="0.35">
      <c r="A3221">
        <v>178</v>
      </c>
      <c r="B3221">
        <v>459</v>
      </c>
    </row>
    <row r="3222" spans="1:2" x14ac:dyDescent="0.35">
      <c r="A3222">
        <v>178</v>
      </c>
      <c r="B3222" t="s">
        <v>25</v>
      </c>
    </row>
    <row r="3223" spans="1:2" x14ac:dyDescent="0.35">
      <c r="A3223">
        <v>178</v>
      </c>
      <c r="B3223" s="2">
        <v>4.1099999999999998E-2</v>
      </c>
    </row>
    <row r="3224" spans="1:2" x14ac:dyDescent="0.35">
      <c r="A3224">
        <v>178</v>
      </c>
      <c r="B3224" t="s">
        <v>29</v>
      </c>
    </row>
    <row r="3225" spans="1:2" x14ac:dyDescent="0.35">
      <c r="A3225">
        <v>178</v>
      </c>
      <c r="B3225" s="2">
        <v>-7.9299999999999995E-2</v>
      </c>
    </row>
    <row r="3226" spans="1:2" x14ac:dyDescent="0.35">
      <c r="A3226">
        <v>178</v>
      </c>
      <c r="B3226" t="s">
        <v>30</v>
      </c>
    </row>
    <row r="3227" spans="1:2" x14ac:dyDescent="0.35">
      <c r="A3227">
        <v>178</v>
      </c>
      <c r="B3227" s="2">
        <v>-0.46013999999999999</v>
      </c>
    </row>
    <row r="3228" spans="1:2" x14ac:dyDescent="0.35">
      <c r="A3228">
        <v>178</v>
      </c>
      <c r="B3228" t="s">
        <v>8</v>
      </c>
    </row>
    <row r="3229" spans="1:2" x14ac:dyDescent="0.35">
      <c r="A3229">
        <v>178</v>
      </c>
      <c r="B3229" s="2">
        <v>0.59299999999999997</v>
      </c>
    </row>
    <row r="3230" spans="1:2" x14ac:dyDescent="0.35">
      <c r="A3230">
        <v>178</v>
      </c>
      <c r="B3230" t="s">
        <v>31</v>
      </c>
    </row>
    <row r="3231" spans="1:2" x14ac:dyDescent="0.35">
      <c r="A3231">
        <v>178</v>
      </c>
      <c r="B3231">
        <v>-0.29099999999999998</v>
      </c>
    </row>
    <row r="3232" spans="1:2" x14ac:dyDescent="0.35">
      <c r="A3232">
        <v>178</v>
      </c>
      <c r="B3232" t="s">
        <v>32</v>
      </c>
    </row>
    <row r="3233" spans="1:2" x14ac:dyDescent="0.35">
      <c r="A3233">
        <v>178</v>
      </c>
      <c r="B3233" s="2">
        <v>-0.32754</v>
      </c>
    </row>
    <row r="3234" spans="1:2" x14ac:dyDescent="0.35">
      <c r="A3234">
        <v>178</v>
      </c>
      <c r="B3234" t="s">
        <v>33</v>
      </c>
    </row>
    <row r="3235" spans="1:2" x14ac:dyDescent="0.35">
      <c r="A3235">
        <v>178</v>
      </c>
      <c r="B3235" s="3">
        <v>0.53</v>
      </c>
    </row>
    <row r="3236" spans="1:2" x14ac:dyDescent="0.35">
      <c r="A3236">
        <v>178</v>
      </c>
      <c r="B3236" t="s">
        <v>34</v>
      </c>
    </row>
    <row r="3237" spans="1:2" x14ac:dyDescent="0.35">
      <c r="A3237">
        <v>178</v>
      </c>
      <c r="B3237" s="3">
        <v>0.47</v>
      </c>
    </row>
    <row r="3238" spans="1:2" x14ac:dyDescent="0.35">
      <c r="A3238">
        <v>178</v>
      </c>
      <c r="B3238" t="s">
        <v>26</v>
      </c>
    </row>
    <row r="3239" spans="1:2" x14ac:dyDescent="0.35">
      <c r="A3239">
        <v>178</v>
      </c>
      <c r="B3239">
        <v>0.52</v>
      </c>
    </row>
    <row r="3240" spans="1:2" x14ac:dyDescent="0.35">
      <c r="A3240">
        <v>178</v>
      </c>
      <c r="B3240" t="s">
        <v>23</v>
      </c>
    </row>
    <row r="3241" spans="1:2" x14ac:dyDescent="0.35">
      <c r="A3241">
        <v>178</v>
      </c>
      <c r="B3241">
        <v>-0.36</v>
      </c>
    </row>
    <row r="3242" spans="1:2" x14ac:dyDescent="0.35">
      <c r="A3242">
        <v>178</v>
      </c>
      <c r="B3242" t="s">
        <v>24</v>
      </c>
    </row>
    <row r="3243" spans="1:2" x14ac:dyDescent="0.35">
      <c r="A3243">
        <v>178</v>
      </c>
      <c r="B3243">
        <v>2.1549999999999998</v>
      </c>
    </row>
    <row r="3244" spans="1:2" x14ac:dyDescent="0.35">
      <c r="A3244">
        <v>178</v>
      </c>
      <c r="B3244" t="s">
        <v>35</v>
      </c>
    </row>
    <row r="3245" spans="1:2" x14ac:dyDescent="0.35">
      <c r="A3245">
        <v>178</v>
      </c>
      <c r="B3245">
        <v>0.60599999999999998</v>
      </c>
    </row>
    <row r="3246" spans="1:2" x14ac:dyDescent="0.35">
      <c r="A3246">
        <v>178</v>
      </c>
      <c r="B3246" t="s">
        <v>36</v>
      </c>
    </row>
    <row r="3247" spans="1:2" x14ac:dyDescent="0.35">
      <c r="A3247">
        <v>178</v>
      </c>
      <c r="B3247">
        <v>0.36699999999999999</v>
      </c>
    </row>
    <row r="3248" spans="1:2" x14ac:dyDescent="0.35">
      <c r="A3248">
        <v>178</v>
      </c>
      <c r="B3248" t="s">
        <v>37</v>
      </c>
    </row>
    <row r="3249" spans="1:2" x14ac:dyDescent="0.35">
      <c r="A3249">
        <v>178</v>
      </c>
      <c r="B3249">
        <v>-0.48199999999999998</v>
      </c>
    </row>
    <row r="3250" spans="1:2" x14ac:dyDescent="0.35">
      <c r="A3250">
        <v>178</v>
      </c>
      <c r="B3250" t="s">
        <v>38</v>
      </c>
    </row>
    <row r="3251" spans="1:2" x14ac:dyDescent="0.35">
      <c r="A3251">
        <v>178</v>
      </c>
      <c r="B3251">
        <v>0.59299999999999997</v>
      </c>
    </row>
    <row r="3252" spans="1:2" x14ac:dyDescent="0.35">
      <c r="A3252">
        <v>178</v>
      </c>
      <c r="B3252" t="s">
        <v>39</v>
      </c>
    </row>
    <row r="3253" spans="1:2" x14ac:dyDescent="0.35">
      <c r="A3253">
        <v>178</v>
      </c>
      <c r="B3253">
        <v>-0.10299999999999999</v>
      </c>
    </row>
    <row r="3254" spans="1:2" x14ac:dyDescent="0.35">
      <c r="A3254">
        <v>178</v>
      </c>
      <c r="B3254" t="s">
        <v>40</v>
      </c>
    </row>
    <row r="3255" spans="1:2" x14ac:dyDescent="0.35">
      <c r="A3255">
        <v>178</v>
      </c>
      <c r="B3255" s="4">
        <v>0</v>
      </c>
    </row>
    <row r="3256" spans="1:2" x14ac:dyDescent="0.35">
      <c r="A3256">
        <v>178</v>
      </c>
      <c r="B3256" t="s">
        <v>41</v>
      </c>
    </row>
    <row r="3257" spans="1:2" x14ac:dyDescent="0.35">
      <c r="A3257">
        <v>178</v>
      </c>
      <c r="B3257" s="4">
        <v>19000000</v>
      </c>
    </row>
    <row r="3258" spans="1:2" x14ac:dyDescent="0.35">
      <c r="A3258">
        <v>178</v>
      </c>
      <c r="B3258" t="s">
        <v>42</v>
      </c>
    </row>
    <row r="3259" spans="1:2" x14ac:dyDescent="0.35">
      <c r="A3259">
        <v>178</v>
      </c>
      <c r="B3259" t="s">
        <v>44</v>
      </c>
    </row>
    <row r="3260" spans="1:2" x14ac:dyDescent="0.35">
      <c r="A3260">
        <v>177</v>
      </c>
      <c r="B3260" t="s">
        <v>27</v>
      </c>
    </row>
    <row r="3261" spans="1:2" x14ac:dyDescent="0.35">
      <c r="A3261">
        <v>177</v>
      </c>
      <c r="B3261" s="2">
        <v>9.3880000000000005E-2</v>
      </c>
    </row>
    <row r="3262" spans="1:2" x14ac:dyDescent="0.35">
      <c r="A3262">
        <v>177</v>
      </c>
      <c r="B3262" t="s">
        <v>1</v>
      </c>
    </row>
    <row r="3263" spans="1:2" x14ac:dyDescent="0.35">
      <c r="A3263">
        <v>177</v>
      </c>
      <c r="B3263">
        <v>-0.36699999999999999</v>
      </c>
    </row>
    <row r="3264" spans="1:2" x14ac:dyDescent="0.35">
      <c r="A3264">
        <v>177</v>
      </c>
      <c r="B3264" t="s">
        <v>28</v>
      </c>
    </row>
    <row r="3265" spans="1:2" x14ac:dyDescent="0.35">
      <c r="A3265">
        <v>177</v>
      </c>
      <c r="B3265">
        <v>459</v>
      </c>
    </row>
    <row r="3266" spans="1:2" x14ac:dyDescent="0.35">
      <c r="A3266">
        <v>177</v>
      </c>
      <c r="B3266" t="s">
        <v>25</v>
      </c>
    </row>
    <row r="3267" spans="1:2" x14ac:dyDescent="0.35">
      <c r="A3267">
        <v>177</v>
      </c>
      <c r="B3267" s="2">
        <v>4.1099999999999998E-2</v>
      </c>
    </row>
    <row r="3268" spans="1:2" x14ac:dyDescent="0.35">
      <c r="A3268">
        <v>177</v>
      </c>
      <c r="B3268" t="s">
        <v>29</v>
      </c>
    </row>
    <row r="3269" spans="1:2" x14ac:dyDescent="0.35">
      <c r="A3269">
        <v>177</v>
      </c>
      <c r="B3269" s="2">
        <v>-7.9299999999999995E-2</v>
      </c>
    </row>
    <row r="3270" spans="1:2" x14ac:dyDescent="0.35">
      <c r="A3270">
        <v>177</v>
      </c>
      <c r="B3270" t="s">
        <v>30</v>
      </c>
    </row>
    <row r="3271" spans="1:2" x14ac:dyDescent="0.35">
      <c r="A3271">
        <v>177</v>
      </c>
      <c r="B3271" s="2">
        <v>-0.46013999999999999</v>
      </c>
    </row>
    <row r="3272" spans="1:2" x14ac:dyDescent="0.35">
      <c r="A3272">
        <v>177</v>
      </c>
      <c r="B3272" t="s">
        <v>8</v>
      </c>
    </row>
    <row r="3273" spans="1:2" x14ac:dyDescent="0.35">
      <c r="A3273">
        <v>177</v>
      </c>
      <c r="B3273" s="2">
        <v>0.59299999999999997</v>
      </c>
    </row>
    <row r="3274" spans="1:2" x14ac:dyDescent="0.35">
      <c r="A3274">
        <v>177</v>
      </c>
      <c r="B3274" t="s">
        <v>31</v>
      </c>
    </row>
    <row r="3275" spans="1:2" x14ac:dyDescent="0.35">
      <c r="A3275">
        <v>177</v>
      </c>
      <c r="B3275">
        <v>-0.29099999999999998</v>
      </c>
    </row>
    <row r="3276" spans="1:2" x14ac:dyDescent="0.35">
      <c r="A3276">
        <v>177</v>
      </c>
      <c r="B3276" t="s">
        <v>32</v>
      </c>
    </row>
    <row r="3277" spans="1:2" x14ac:dyDescent="0.35">
      <c r="A3277">
        <v>177</v>
      </c>
      <c r="B3277" s="2">
        <v>-0.32754</v>
      </c>
    </row>
    <row r="3278" spans="1:2" x14ac:dyDescent="0.35">
      <c r="A3278">
        <v>177</v>
      </c>
      <c r="B3278" t="s">
        <v>33</v>
      </c>
    </row>
    <row r="3279" spans="1:2" x14ac:dyDescent="0.35">
      <c r="A3279">
        <v>177</v>
      </c>
      <c r="B3279" s="3">
        <v>0.53</v>
      </c>
    </row>
    <row r="3280" spans="1:2" x14ac:dyDescent="0.35">
      <c r="A3280">
        <v>177</v>
      </c>
      <c r="B3280" t="s">
        <v>34</v>
      </c>
    </row>
    <row r="3281" spans="1:2" x14ac:dyDescent="0.35">
      <c r="A3281">
        <v>177</v>
      </c>
      <c r="B3281" s="3">
        <v>0.47</v>
      </c>
    </row>
    <row r="3282" spans="1:2" x14ac:dyDescent="0.35">
      <c r="A3282">
        <v>177</v>
      </c>
      <c r="B3282" t="s">
        <v>26</v>
      </c>
    </row>
    <row r="3283" spans="1:2" x14ac:dyDescent="0.35">
      <c r="A3283">
        <v>177</v>
      </c>
      <c r="B3283">
        <v>0.52</v>
      </c>
    </row>
    <row r="3284" spans="1:2" x14ac:dyDescent="0.35">
      <c r="A3284">
        <v>177</v>
      </c>
      <c r="B3284" t="s">
        <v>23</v>
      </c>
    </row>
    <row r="3285" spans="1:2" x14ac:dyDescent="0.35">
      <c r="A3285">
        <v>177</v>
      </c>
      <c r="B3285">
        <v>-0.36</v>
      </c>
    </row>
    <row r="3286" spans="1:2" x14ac:dyDescent="0.35">
      <c r="A3286">
        <v>177</v>
      </c>
      <c r="B3286" t="s">
        <v>24</v>
      </c>
    </row>
    <row r="3287" spans="1:2" x14ac:dyDescent="0.35">
      <c r="A3287">
        <v>177</v>
      </c>
      <c r="B3287">
        <v>2.1549999999999998</v>
      </c>
    </row>
    <row r="3288" spans="1:2" x14ac:dyDescent="0.35">
      <c r="A3288">
        <v>177</v>
      </c>
      <c r="B3288" t="s">
        <v>35</v>
      </c>
    </row>
    <row r="3289" spans="1:2" x14ac:dyDescent="0.35">
      <c r="A3289">
        <v>177</v>
      </c>
      <c r="B3289">
        <v>0.60599999999999998</v>
      </c>
    </row>
    <row r="3290" spans="1:2" x14ac:dyDescent="0.35">
      <c r="A3290">
        <v>177</v>
      </c>
      <c r="B3290" t="s">
        <v>36</v>
      </c>
    </row>
    <row r="3291" spans="1:2" x14ac:dyDescent="0.35">
      <c r="A3291">
        <v>177</v>
      </c>
      <c r="B3291">
        <v>0.36699999999999999</v>
      </c>
    </row>
    <row r="3292" spans="1:2" x14ac:dyDescent="0.35">
      <c r="A3292">
        <v>177</v>
      </c>
      <c r="B3292" t="s">
        <v>37</v>
      </c>
    </row>
    <row r="3293" spans="1:2" x14ac:dyDescent="0.35">
      <c r="A3293">
        <v>177</v>
      </c>
      <c r="B3293">
        <v>-0.48199999999999998</v>
      </c>
    </row>
    <row r="3294" spans="1:2" x14ac:dyDescent="0.35">
      <c r="A3294">
        <v>177</v>
      </c>
      <c r="B3294" t="s">
        <v>38</v>
      </c>
    </row>
    <row r="3295" spans="1:2" x14ac:dyDescent="0.35">
      <c r="A3295">
        <v>177</v>
      </c>
      <c r="B3295">
        <v>0.59299999999999997</v>
      </c>
    </row>
    <row r="3296" spans="1:2" x14ac:dyDescent="0.35">
      <c r="A3296">
        <v>177</v>
      </c>
      <c r="B3296" t="s">
        <v>39</v>
      </c>
    </row>
    <row r="3297" spans="1:2" x14ac:dyDescent="0.35">
      <c r="A3297">
        <v>177</v>
      </c>
      <c r="B3297">
        <v>-0.10299999999999999</v>
      </c>
    </row>
    <row r="3298" spans="1:2" x14ac:dyDescent="0.35">
      <c r="A3298">
        <v>177</v>
      </c>
      <c r="B3298" t="s">
        <v>40</v>
      </c>
    </row>
    <row r="3299" spans="1:2" x14ac:dyDescent="0.35">
      <c r="A3299">
        <v>177</v>
      </c>
      <c r="B3299" s="4">
        <v>0</v>
      </c>
    </row>
    <row r="3300" spans="1:2" x14ac:dyDescent="0.35">
      <c r="A3300">
        <v>177</v>
      </c>
      <c r="B3300" t="s">
        <v>41</v>
      </c>
    </row>
    <row r="3301" spans="1:2" x14ac:dyDescent="0.35">
      <c r="A3301">
        <v>177</v>
      </c>
      <c r="B3301" s="4">
        <v>19000000</v>
      </c>
    </row>
    <row r="3302" spans="1:2" x14ac:dyDescent="0.35">
      <c r="A3302">
        <v>177</v>
      </c>
      <c r="B3302" t="s">
        <v>42</v>
      </c>
    </row>
    <row r="3303" spans="1:2" x14ac:dyDescent="0.35">
      <c r="A3303">
        <v>177</v>
      </c>
      <c r="B3303" t="s">
        <v>44</v>
      </c>
    </row>
    <row r="3304" spans="1:2" x14ac:dyDescent="0.35">
      <c r="A3304">
        <v>176</v>
      </c>
      <c r="B3304" t="s">
        <v>27</v>
      </c>
    </row>
    <row r="3305" spans="1:2" x14ac:dyDescent="0.35">
      <c r="A3305">
        <v>176</v>
      </c>
      <c r="B3305" s="2">
        <v>9.3880000000000005E-2</v>
      </c>
    </row>
    <row r="3306" spans="1:2" x14ac:dyDescent="0.35">
      <c r="A3306">
        <v>176</v>
      </c>
      <c r="B3306" t="s">
        <v>1</v>
      </c>
    </row>
    <row r="3307" spans="1:2" x14ac:dyDescent="0.35">
      <c r="A3307">
        <v>176</v>
      </c>
      <c r="B3307">
        <v>-0.36699999999999999</v>
      </c>
    </row>
    <row r="3308" spans="1:2" x14ac:dyDescent="0.35">
      <c r="A3308">
        <v>176</v>
      </c>
      <c r="B3308" t="s">
        <v>28</v>
      </c>
    </row>
    <row r="3309" spans="1:2" x14ac:dyDescent="0.35">
      <c r="A3309">
        <v>176</v>
      </c>
      <c r="B3309">
        <v>459</v>
      </c>
    </row>
    <row r="3310" spans="1:2" x14ac:dyDescent="0.35">
      <c r="A3310">
        <v>176</v>
      </c>
      <c r="B3310" t="s">
        <v>25</v>
      </c>
    </row>
    <row r="3311" spans="1:2" x14ac:dyDescent="0.35">
      <c r="A3311">
        <v>176</v>
      </c>
      <c r="B3311" s="2">
        <v>4.1099999999999998E-2</v>
      </c>
    </row>
    <row r="3312" spans="1:2" x14ac:dyDescent="0.35">
      <c r="A3312">
        <v>176</v>
      </c>
      <c r="B3312" t="s">
        <v>29</v>
      </c>
    </row>
    <row r="3313" spans="1:2" x14ac:dyDescent="0.35">
      <c r="A3313">
        <v>176</v>
      </c>
      <c r="B3313" s="2">
        <v>-7.9299999999999995E-2</v>
      </c>
    </row>
    <row r="3314" spans="1:2" x14ac:dyDescent="0.35">
      <c r="A3314">
        <v>176</v>
      </c>
      <c r="B3314" t="s">
        <v>30</v>
      </c>
    </row>
    <row r="3315" spans="1:2" x14ac:dyDescent="0.35">
      <c r="A3315">
        <v>176</v>
      </c>
      <c r="B3315" s="2">
        <v>-0.46013999999999999</v>
      </c>
    </row>
    <row r="3316" spans="1:2" x14ac:dyDescent="0.35">
      <c r="A3316">
        <v>176</v>
      </c>
      <c r="B3316" t="s">
        <v>8</v>
      </c>
    </row>
    <row r="3317" spans="1:2" x14ac:dyDescent="0.35">
      <c r="A3317">
        <v>176</v>
      </c>
      <c r="B3317" s="2">
        <v>0.59299999999999997</v>
      </c>
    </row>
    <row r="3318" spans="1:2" x14ac:dyDescent="0.35">
      <c r="A3318">
        <v>176</v>
      </c>
      <c r="B3318" t="s">
        <v>31</v>
      </c>
    </row>
    <row r="3319" spans="1:2" x14ac:dyDescent="0.35">
      <c r="A3319">
        <v>176</v>
      </c>
      <c r="B3319">
        <v>-0.29099999999999998</v>
      </c>
    </row>
    <row r="3320" spans="1:2" x14ac:dyDescent="0.35">
      <c r="A3320">
        <v>176</v>
      </c>
      <c r="B3320" t="s">
        <v>32</v>
      </c>
    </row>
    <row r="3321" spans="1:2" x14ac:dyDescent="0.35">
      <c r="A3321">
        <v>176</v>
      </c>
      <c r="B3321" s="2">
        <v>-0.32754</v>
      </c>
    </row>
    <row r="3322" spans="1:2" x14ac:dyDescent="0.35">
      <c r="A3322">
        <v>176</v>
      </c>
      <c r="B3322" t="s">
        <v>33</v>
      </c>
    </row>
    <row r="3323" spans="1:2" x14ac:dyDescent="0.35">
      <c r="A3323">
        <v>176</v>
      </c>
      <c r="B3323" s="3">
        <v>0.53</v>
      </c>
    </row>
    <row r="3324" spans="1:2" x14ac:dyDescent="0.35">
      <c r="A3324">
        <v>176</v>
      </c>
      <c r="B3324" t="s">
        <v>34</v>
      </c>
    </row>
    <row r="3325" spans="1:2" x14ac:dyDescent="0.35">
      <c r="A3325">
        <v>176</v>
      </c>
      <c r="B3325" s="3">
        <v>0.47</v>
      </c>
    </row>
    <row r="3326" spans="1:2" x14ac:dyDescent="0.35">
      <c r="A3326">
        <v>176</v>
      </c>
      <c r="B3326" t="s">
        <v>26</v>
      </c>
    </row>
    <row r="3327" spans="1:2" x14ac:dyDescent="0.35">
      <c r="A3327">
        <v>176</v>
      </c>
      <c r="B3327">
        <v>0.52</v>
      </c>
    </row>
    <row r="3328" spans="1:2" x14ac:dyDescent="0.35">
      <c r="A3328">
        <v>176</v>
      </c>
      <c r="B3328" t="s">
        <v>23</v>
      </c>
    </row>
    <row r="3329" spans="1:2" x14ac:dyDescent="0.35">
      <c r="A3329">
        <v>176</v>
      </c>
      <c r="B3329">
        <v>-0.36</v>
      </c>
    </row>
    <row r="3330" spans="1:2" x14ac:dyDescent="0.35">
      <c r="A3330">
        <v>176</v>
      </c>
      <c r="B3330" t="s">
        <v>24</v>
      </c>
    </row>
    <row r="3331" spans="1:2" x14ac:dyDescent="0.35">
      <c r="A3331">
        <v>176</v>
      </c>
      <c r="B3331">
        <v>2.1549999999999998</v>
      </c>
    </row>
    <row r="3332" spans="1:2" x14ac:dyDescent="0.35">
      <c r="A3332">
        <v>176</v>
      </c>
      <c r="B3332" t="s">
        <v>35</v>
      </c>
    </row>
    <row r="3333" spans="1:2" x14ac:dyDescent="0.35">
      <c r="A3333">
        <v>176</v>
      </c>
      <c r="B3333">
        <v>0.60599999999999998</v>
      </c>
    </row>
    <row r="3334" spans="1:2" x14ac:dyDescent="0.35">
      <c r="A3334">
        <v>176</v>
      </c>
      <c r="B3334" t="s">
        <v>36</v>
      </c>
    </row>
    <row r="3335" spans="1:2" x14ac:dyDescent="0.35">
      <c r="A3335">
        <v>176</v>
      </c>
      <c r="B3335">
        <v>0.36699999999999999</v>
      </c>
    </row>
    <row r="3336" spans="1:2" x14ac:dyDescent="0.35">
      <c r="A3336">
        <v>176</v>
      </c>
      <c r="B3336" t="s">
        <v>37</v>
      </c>
    </row>
    <row r="3337" spans="1:2" x14ac:dyDescent="0.35">
      <c r="A3337">
        <v>176</v>
      </c>
      <c r="B3337">
        <v>-0.48199999999999998</v>
      </c>
    </row>
    <row r="3338" spans="1:2" x14ac:dyDescent="0.35">
      <c r="A3338">
        <v>176</v>
      </c>
      <c r="B3338" t="s">
        <v>38</v>
      </c>
    </row>
    <row r="3339" spans="1:2" x14ac:dyDescent="0.35">
      <c r="A3339">
        <v>176</v>
      </c>
      <c r="B3339">
        <v>0.59299999999999997</v>
      </c>
    </row>
    <row r="3340" spans="1:2" x14ac:dyDescent="0.35">
      <c r="A3340">
        <v>176</v>
      </c>
      <c r="B3340" t="s">
        <v>39</v>
      </c>
    </row>
    <row r="3341" spans="1:2" x14ac:dyDescent="0.35">
      <c r="A3341">
        <v>176</v>
      </c>
      <c r="B3341">
        <v>-0.10299999999999999</v>
      </c>
    </row>
    <row r="3342" spans="1:2" x14ac:dyDescent="0.35">
      <c r="A3342">
        <v>176</v>
      </c>
      <c r="B3342" t="s">
        <v>40</v>
      </c>
    </row>
    <row r="3343" spans="1:2" x14ac:dyDescent="0.35">
      <c r="A3343">
        <v>176</v>
      </c>
      <c r="B3343" s="4">
        <v>0</v>
      </c>
    </row>
    <row r="3344" spans="1:2" x14ac:dyDescent="0.35">
      <c r="A3344">
        <v>176</v>
      </c>
      <c r="B3344" t="s">
        <v>41</v>
      </c>
    </row>
    <row r="3345" spans="1:2" x14ac:dyDescent="0.35">
      <c r="A3345">
        <v>176</v>
      </c>
      <c r="B3345" s="4">
        <v>19000000</v>
      </c>
    </row>
    <row r="3346" spans="1:2" x14ac:dyDescent="0.35">
      <c r="A3346">
        <v>176</v>
      </c>
      <c r="B3346" t="s">
        <v>42</v>
      </c>
    </row>
    <row r="3347" spans="1:2" x14ac:dyDescent="0.35">
      <c r="A3347">
        <v>176</v>
      </c>
      <c r="B3347" t="s">
        <v>44</v>
      </c>
    </row>
    <row r="3348" spans="1:2" x14ac:dyDescent="0.35">
      <c r="A3348">
        <v>175</v>
      </c>
      <c r="B3348" t="s">
        <v>27</v>
      </c>
    </row>
    <row r="3349" spans="1:2" x14ac:dyDescent="0.35">
      <c r="A3349">
        <v>175</v>
      </c>
      <c r="B3349" s="2">
        <v>9.3880000000000005E-2</v>
      </c>
    </row>
    <row r="3350" spans="1:2" x14ac:dyDescent="0.35">
      <c r="A3350">
        <v>175</v>
      </c>
      <c r="B3350" t="s">
        <v>1</v>
      </c>
    </row>
    <row r="3351" spans="1:2" x14ac:dyDescent="0.35">
      <c r="A3351">
        <v>175</v>
      </c>
      <c r="B3351">
        <v>-0.36699999999999999</v>
      </c>
    </row>
    <row r="3352" spans="1:2" x14ac:dyDescent="0.35">
      <c r="A3352">
        <v>175</v>
      </c>
      <c r="B3352" t="s">
        <v>28</v>
      </c>
    </row>
    <row r="3353" spans="1:2" x14ac:dyDescent="0.35">
      <c r="A3353">
        <v>175</v>
      </c>
      <c r="B3353">
        <v>459</v>
      </c>
    </row>
    <row r="3354" spans="1:2" x14ac:dyDescent="0.35">
      <c r="A3354">
        <v>175</v>
      </c>
      <c r="B3354" t="s">
        <v>25</v>
      </c>
    </row>
    <row r="3355" spans="1:2" x14ac:dyDescent="0.35">
      <c r="A3355">
        <v>175</v>
      </c>
      <c r="B3355" s="2">
        <v>4.1099999999999998E-2</v>
      </c>
    </row>
    <row r="3356" spans="1:2" x14ac:dyDescent="0.35">
      <c r="A3356">
        <v>175</v>
      </c>
      <c r="B3356" t="s">
        <v>29</v>
      </c>
    </row>
    <row r="3357" spans="1:2" x14ac:dyDescent="0.35">
      <c r="A3357">
        <v>175</v>
      </c>
      <c r="B3357" s="2">
        <v>-7.9299999999999995E-2</v>
      </c>
    </row>
    <row r="3358" spans="1:2" x14ac:dyDescent="0.35">
      <c r="A3358">
        <v>175</v>
      </c>
      <c r="B3358" t="s">
        <v>30</v>
      </c>
    </row>
    <row r="3359" spans="1:2" x14ac:dyDescent="0.35">
      <c r="A3359">
        <v>175</v>
      </c>
      <c r="B3359" s="2">
        <v>-0.46013999999999999</v>
      </c>
    </row>
    <row r="3360" spans="1:2" x14ac:dyDescent="0.35">
      <c r="A3360">
        <v>175</v>
      </c>
      <c r="B3360" t="s">
        <v>8</v>
      </c>
    </row>
    <row r="3361" spans="1:2" x14ac:dyDescent="0.35">
      <c r="A3361">
        <v>175</v>
      </c>
      <c r="B3361" s="2">
        <v>0.59299999999999997</v>
      </c>
    </row>
    <row r="3362" spans="1:2" x14ac:dyDescent="0.35">
      <c r="A3362">
        <v>175</v>
      </c>
      <c r="B3362" t="s">
        <v>31</v>
      </c>
    </row>
    <row r="3363" spans="1:2" x14ac:dyDescent="0.35">
      <c r="A3363">
        <v>175</v>
      </c>
      <c r="B3363">
        <v>-0.29099999999999998</v>
      </c>
    </row>
    <row r="3364" spans="1:2" x14ac:dyDescent="0.35">
      <c r="A3364">
        <v>175</v>
      </c>
      <c r="B3364" t="s">
        <v>32</v>
      </c>
    </row>
    <row r="3365" spans="1:2" x14ac:dyDescent="0.35">
      <c r="A3365">
        <v>175</v>
      </c>
      <c r="B3365" s="2">
        <v>-0.32754</v>
      </c>
    </row>
    <row r="3366" spans="1:2" x14ac:dyDescent="0.35">
      <c r="A3366">
        <v>175</v>
      </c>
      <c r="B3366" t="s">
        <v>33</v>
      </c>
    </row>
    <row r="3367" spans="1:2" x14ac:dyDescent="0.35">
      <c r="A3367">
        <v>175</v>
      </c>
      <c r="B3367" s="3">
        <v>0.53</v>
      </c>
    </row>
    <row r="3368" spans="1:2" x14ac:dyDescent="0.35">
      <c r="A3368">
        <v>175</v>
      </c>
      <c r="B3368" t="s">
        <v>34</v>
      </c>
    </row>
    <row r="3369" spans="1:2" x14ac:dyDescent="0.35">
      <c r="A3369">
        <v>175</v>
      </c>
      <c r="B3369" s="3">
        <v>0.47</v>
      </c>
    </row>
    <row r="3370" spans="1:2" x14ac:dyDescent="0.35">
      <c r="A3370">
        <v>175</v>
      </c>
      <c r="B3370" t="s">
        <v>26</v>
      </c>
    </row>
    <row r="3371" spans="1:2" x14ac:dyDescent="0.35">
      <c r="A3371">
        <v>175</v>
      </c>
      <c r="B3371">
        <v>0.52</v>
      </c>
    </row>
    <row r="3372" spans="1:2" x14ac:dyDescent="0.35">
      <c r="A3372">
        <v>175</v>
      </c>
      <c r="B3372" t="s">
        <v>23</v>
      </c>
    </row>
    <row r="3373" spans="1:2" x14ac:dyDescent="0.35">
      <c r="A3373">
        <v>175</v>
      </c>
      <c r="B3373">
        <v>-0.36</v>
      </c>
    </row>
    <row r="3374" spans="1:2" x14ac:dyDescent="0.35">
      <c r="A3374">
        <v>175</v>
      </c>
      <c r="B3374" t="s">
        <v>24</v>
      </c>
    </row>
    <row r="3375" spans="1:2" x14ac:dyDescent="0.35">
      <c r="A3375">
        <v>175</v>
      </c>
      <c r="B3375">
        <v>2.1549999999999998</v>
      </c>
    </row>
    <row r="3376" spans="1:2" x14ac:dyDescent="0.35">
      <c r="A3376">
        <v>175</v>
      </c>
      <c r="B3376" t="s">
        <v>35</v>
      </c>
    </row>
    <row r="3377" spans="1:2" x14ac:dyDescent="0.35">
      <c r="A3377">
        <v>175</v>
      </c>
      <c r="B3377">
        <v>0.60599999999999998</v>
      </c>
    </row>
    <row r="3378" spans="1:2" x14ac:dyDescent="0.35">
      <c r="A3378">
        <v>175</v>
      </c>
      <c r="B3378" t="s">
        <v>36</v>
      </c>
    </row>
    <row r="3379" spans="1:2" x14ac:dyDescent="0.35">
      <c r="A3379">
        <v>175</v>
      </c>
      <c r="B3379">
        <v>0.36699999999999999</v>
      </c>
    </row>
    <row r="3380" spans="1:2" x14ac:dyDescent="0.35">
      <c r="A3380">
        <v>175</v>
      </c>
      <c r="B3380" t="s">
        <v>37</v>
      </c>
    </row>
    <row r="3381" spans="1:2" x14ac:dyDescent="0.35">
      <c r="A3381">
        <v>175</v>
      </c>
      <c r="B3381">
        <v>-0.48199999999999998</v>
      </c>
    </row>
    <row r="3382" spans="1:2" x14ac:dyDescent="0.35">
      <c r="A3382">
        <v>175</v>
      </c>
      <c r="B3382" t="s">
        <v>38</v>
      </c>
    </row>
    <row r="3383" spans="1:2" x14ac:dyDescent="0.35">
      <c r="A3383">
        <v>175</v>
      </c>
      <c r="B3383">
        <v>0.59299999999999997</v>
      </c>
    </row>
    <row r="3384" spans="1:2" x14ac:dyDescent="0.35">
      <c r="A3384">
        <v>175</v>
      </c>
      <c r="B3384" t="s">
        <v>39</v>
      </c>
    </row>
    <row r="3385" spans="1:2" x14ac:dyDescent="0.35">
      <c r="A3385">
        <v>175</v>
      </c>
      <c r="B3385">
        <v>-0.10299999999999999</v>
      </c>
    </row>
    <row r="3386" spans="1:2" x14ac:dyDescent="0.35">
      <c r="A3386">
        <v>175</v>
      </c>
      <c r="B3386" t="s">
        <v>40</v>
      </c>
    </row>
    <row r="3387" spans="1:2" x14ac:dyDescent="0.35">
      <c r="A3387">
        <v>175</v>
      </c>
      <c r="B3387" s="4">
        <v>0</v>
      </c>
    </row>
    <row r="3388" spans="1:2" x14ac:dyDescent="0.35">
      <c r="A3388">
        <v>175</v>
      </c>
      <c r="B3388" t="s">
        <v>41</v>
      </c>
    </row>
    <row r="3389" spans="1:2" x14ac:dyDescent="0.35">
      <c r="A3389">
        <v>175</v>
      </c>
      <c r="B3389" s="4">
        <v>19000000</v>
      </c>
    </row>
    <row r="3390" spans="1:2" x14ac:dyDescent="0.35">
      <c r="A3390">
        <v>175</v>
      </c>
      <c r="B3390" t="s">
        <v>42</v>
      </c>
    </row>
    <row r="3391" spans="1:2" x14ac:dyDescent="0.35">
      <c r="A3391">
        <v>175</v>
      </c>
      <c r="B3391" t="s">
        <v>44</v>
      </c>
    </row>
    <row r="3392" spans="1:2" x14ac:dyDescent="0.35">
      <c r="A3392">
        <v>174</v>
      </c>
      <c r="B3392" t="s">
        <v>27</v>
      </c>
    </row>
    <row r="3393" spans="1:2" x14ac:dyDescent="0.35">
      <c r="A3393">
        <v>174</v>
      </c>
      <c r="B3393" s="2">
        <v>9.3880000000000005E-2</v>
      </c>
    </row>
    <row r="3394" spans="1:2" x14ac:dyDescent="0.35">
      <c r="A3394">
        <v>174</v>
      </c>
      <c r="B3394" t="s">
        <v>1</v>
      </c>
    </row>
    <row r="3395" spans="1:2" x14ac:dyDescent="0.35">
      <c r="A3395">
        <v>174</v>
      </c>
      <c r="B3395">
        <v>-0.36699999999999999</v>
      </c>
    </row>
    <row r="3396" spans="1:2" x14ac:dyDescent="0.35">
      <c r="A3396">
        <v>174</v>
      </c>
      <c r="B3396" t="s">
        <v>28</v>
      </c>
    </row>
    <row r="3397" spans="1:2" x14ac:dyDescent="0.35">
      <c r="A3397">
        <v>174</v>
      </c>
      <c r="B3397">
        <v>459</v>
      </c>
    </row>
    <row r="3398" spans="1:2" x14ac:dyDescent="0.35">
      <c r="A3398">
        <v>174</v>
      </c>
      <c r="B3398" t="s">
        <v>25</v>
      </c>
    </row>
    <row r="3399" spans="1:2" x14ac:dyDescent="0.35">
      <c r="A3399">
        <v>174</v>
      </c>
      <c r="B3399" s="2">
        <v>4.1099999999999998E-2</v>
      </c>
    </row>
    <row r="3400" spans="1:2" x14ac:dyDescent="0.35">
      <c r="A3400">
        <v>174</v>
      </c>
      <c r="B3400" t="s">
        <v>29</v>
      </c>
    </row>
    <row r="3401" spans="1:2" x14ac:dyDescent="0.35">
      <c r="A3401">
        <v>174</v>
      </c>
      <c r="B3401" s="2">
        <v>-7.9299999999999995E-2</v>
      </c>
    </row>
    <row r="3402" spans="1:2" x14ac:dyDescent="0.35">
      <c r="A3402">
        <v>174</v>
      </c>
      <c r="B3402" t="s">
        <v>30</v>
      </c>
    </row>
    <row r="3403" spans="1:2" x14ac:dyDescent="0.35">
      <c r="A3403">
        <v>174</v>
      </c>
      <c r="B3403" s="2">
        <v>-0.46013999999999999</v>
      </c>
    </row>
    <row r="3404" spans="1:2" x14ac:dyDescent="0.35">
      <c r="A3404">
        <v>174</v>
      </c>
      <c r="B3404" t="s">
        <v>8</v>
      </c>
    </row>
    <row r="3405" spans="1:2" x14ac:dyDescent="0.35">
      <c r="A3405">
        <v>174</v>
      </c>
      <c r="B3405" s="2">
        <v>0.59299999999999997</v>
      </c>
    </row>
    <row r="3406" spans="1:2" x14ac:dyDescent="0.35">
      <c r="A3406">
        <v>174</v>
      </c>
      <c r="B3406" t="s">
        <v>31</v>
      </c>
    </row>
    <row r="3407" spans="1:2" x14ac:dyDescent="0.35">
      <c r="A3407">
        <v>174</v>
      </c>
      <c r="B3407">
        <v>-0.29099999999999998</v>
      </c>
    </row>
    <row r="3408" spans="1:2" x14ac:dyDescent="0.35">
      <c r="A3408">
        <v>174</v>
      </c>
      <c r="B3408" t="s">
        <v>32</v>
      </c>
    </row>
    <row r="3409" spans="1:2" x14ac:dyDescent="0.35">
      <c r="A3409">
        <v>174</v>
      </c>
      <c r="B3409" s="2">
        <v>-0.32754</v>
      </c>
    </row>
    <row r="3410" spans="1:2" x14ac:dyDescent="0.35">
      <c r="A3410">
        <v>174</v>
      </c>
      <c r="B3410" t="s">
        <v>33</v>
      </c>
    </row>
    <row r="3411" spans="1:2" x14ac:dyDescent="0.35">
      <c r="A3411">
        <v>174</v>
      </c>
      <c r="B3411" s="3">
        <v>0.53</v>
      </c>
    </row>
    <row r="3412" spans="1:2" x14ac:dyDescent="0.35">
      <c r="A3412">
        <v>174</v>
      </c>
      <c r="B3412" t="s">
        <v>34</v>
      </c>
    </row>
    <row r="3413" spans="1:2" x14ac:dyDescent="0.35">
      <c r="A3413">
        <v>174</v>
      </c>
      <c r="B3413" s="3">
        <v>0.47</v>
      </c>
    </row>
    <row r="3414" spans="1:2" x14ac:dyDescent="0.35">
      <c r="A3414">
        <v>174</v>
      </c>
      <c r="B3414" t="s">
        <v>26</v>
      </c>
    </row>
    <row r="3415" spans="1:2" x14ac:dyDescent="0.35">
      <c r="A3415">
        <v>174</v>
      </c>
      <c r="B3415">
        <v>0.52</v>
      </c>
    </row>
    <row r="3416" spans="1:2" x14ac:dyDescent="0.35">
      <c r="A3416">
        <v>174</v>
      </c>
      <c r="B3416" t="s">
        <v>23</v>
      </c>
    </row>
    <row r="3417" spans="1:2" x14ac:dyDescent="0.35">
      <c r="A3417">
        <v>174</v>
      </c>
      <c r="B3417">
        <v>-0.36</v>
      </c>
    </row>
    <row r="3418" spans="1:2" x14ac:dyDescent="0.35">
      <c r="A3418">
        <v>174</v>
      </c>
      <c r="B3418" t="s">
        <v>24</v>
      </c>
    </row>
    <row r="3419" spans="1:2" x14ac:dyDescent="0.35">
      <c r="A3419">
        <v>174</v>
      </c>
      <c r="B3419">
        <v>2.1549999999999998</v>
      </c>
    </row>
    <row r="3420" spans="1:2" x14ac:dyDescent="0.35">
      <c r="A3420">
        <v>174</v>
      </c>
      <c r="B3420" t="s">
        <v>35</v>
      </c>
    </row>
    <row r="3421" spans="1:2" x14ac:dyDescent="0.35">
      <c r="A3421">
        <v>174</v>
      </c>
      <c r="B3421">
        <v>0.60599999999999998</v>
      </c>
    </row>
    <row r="3422" spans="1:2" x14ac:dyDescent="0.35">
      <c r="A3422">
        <v>174</v>
      </c>
      <c r="B3422" t="s">
        <v>36</v>
      </c>
    </row>
    <row r="3423" spans="1:2" x14ac:dyDescent="0.35">
      <c r="A3423">
        <v>174</v>
      </c>
      <c r="B3423">
        <v>0.36699999999999999</v>
      </c>
    </row>
    <row r="3424" spans="1:2" x14ac:dyDescent="0.35">
      <c r="A3424">
        <v>174</v>
      </c>
      <c r="B3424" t="s">
        <v>37</v>
      </c>
    </row>
    <row r="3425" spans="1:2" x14ac:dyDescent="0.35">
      <c r="A3425">
        <v>174</v>
      </c>
      <c r="B3425">
        <v>-0.48199999999999998</v>
      </c>
    </row>
    <row r="3426" spans="1:2" x14ac:dyDescent="0.35">
      <c r="A3426">
        <v>174</v>
      </c>
      <c r="B3426" t="s">
        <v>38</v>
      </c>
    </row>
    <row r="3427" spans="1:2" x14ac:dyDescent="0.35">
      <c r="A3427">
        <v>174</v>
      </c>
      <c r="B3427">
        <v>0.59299999999999997</v>
      </c>
    </row>
    <row r="3428" spans="1:2" x14ac:dyDescent="0.35">
      <c r="A3428">
        <v>174</v>
      </c>
      <c r="B3428" t="s">
        <v>39</v>
      </c>
    </row>
    <row r="3429" spans="1:2" x14ac:dyDescent="0.35">
      <c r="A3429">
        <v>174</v>
      </c>
      <c r="B3429">
        <v>-0.10299999999999999</v>
      </c>
    </row>
    <row r="3430" spans="1:2" x14ac:dyDescent="0.35">
      <c r="A3430">
        <v>174</v>
      </c>
      <c r="B3430" t="s">
        <v>40</v>
      </c>
    </row>
    <row r="3431" spans="1:2" x14ac:dyDescent="0.35">
      <c r="A3431">
        <v>174</v>
      </c>
      <c r="B3431" s="4">
        <v>0</v>
      </c>
    </row>
    <row r="3432" spans="1:2" x14ac:dyDescent="0.35">
      <c r="A3432">
        <v>174</v>
      </c>
      <c r="B3432" t="s">
        <v>41</v>
      </c>
    </row>
    <row r="3433" spans="1:2" x14ac:dyDescent="0.35">
      <c r="A3433">
        <v>174</v>
      </c>
      <c r="B3433" s="4">
        <v>19000000</v>
      </c>
    </row>
    <row r="3434" spans="1:2" x14ac:dyDescent="0.35">
      <c r="A3434">
        <v>174</v>
      </c>
      <c r="B3434" t="s">
        <v>42</v>
      </c>
    </row>
    <row r="3435" spans="1:2" x14ac:dyDescent="0.35">
      <c r="A3435">
        <v>174</v>
      </c>
      <c r="B3435" t="s">
        <v>44</v>
      </c>
    </row>
    <row r="3436" spans="1:2" x14ac:dyDescent="0.35">
      <c r="A3436">
        <v>173</v>
      </c>
      <c r="B3436" t="s">
        <v>27</v>
      </c>
    </row>
    <row r="3437" spans="1:2" x14ac:dyDescent="0.35">
      <c r="A3437">
        <v>173</v>
      </c>
      <c r="B3437" s="2">
        <v>9.3880000000000005E-2</v>
      </c>
    </row>
    <row r="3438" spans="1:2" x14ac:dyDescent="0.35">
      <c r="A3438">
        <v>173</v>
      </c>
      <c r="B3438" t="s">
        <v>1</v>
      </c>
    </row>
    <row r="3439" spans="1:2" x14ac:dyDescent="0.35">
      <c r="A3439">
        <v>173</v>
      </c>
      <c r="B3439">
        <v>-0.36699999999999999</v>
      </c>
    </row>
    <row r="3440" spans="1:2" x14ac:dyDescent="0.35">
      <c r="A3440">
        <v>173</v>
      </c>
      <c r="B3440" t="s">
        <v>28</v>
      </c>
    </row>
    <row r="3441" spans="1:2" x14ac:dyDescent="0.35">
      <c r="A3441">
        <v>173</v>
      </c>
      <c r="B3441">
        <v>459</v>
      </c>
    </row>
    <row r="3442" spans="1:2" x14ac:dyDescent="0.35">
      <c r="A3442">
        <v>173</v>
      </c>
      <c r="B3442" t="s">
        <v>25</v>
      </c>
    </row>
    <row r="3443" spans="1:2" x14ac:dyDescent="0.35">
      <c r="A3443">
        <v>173</v>
      </c>
      <c r="B3443" s="2">
        <v>4.1099999999999998E-2</v>
      </c>
    </row>
    <row r="3444" spans="1:2" x14ac:dyDescent="0.35">
      <c r="A3444">
        <v>173</v>
      </c>
      <c r="B3444" t="s">
        <v>29</v>
      </c>
    </row>
    <row r="3445" spans="1:2" x14ac:dyDescent="0.35">
      <c r="A3445">
        <v>173</v>
      </c>
      <c r="B3445" s="2">
        <v>-7.9299999999999995E-2</v>
      </c>
    </row>
    <row r="3446" spans="1:2" x14ac:dyDescent="0.35">
      <c r="A3446">
        <v>173</v>
      </c>
      <c r="B3446" t="s">
        <v>30</v>
      </c>
    </row>
    <row r="3447" spans="1:2" x14ac:dyDescent="0.35">
      <c r="A3447">
        <v>173</v>
      </c>
      <c r="B3447" s="2">
        <v>-0.46013999999999999</v>
      </c>
    </row>
    <row r="3448" spans="1:2" x14ac:dyDescent="0.35">
      <c r="A3448">
        <v>173</v>
      </c>
      <c r="B3448" t="s">
        <v>8</v>
      </c>
    </row>
    <row r="3449" spans="1:2" x14ac:dyDescent="0.35">
      <c r="A3449">
        <v>173</v>
      </c>
      <c r="B3449" s="2">
        <v>0.59299999999999997</v>
      </c>
    </row>
    <row r="3450" spans="1:2" x14ac:dyDescent="0.35">
      <c r="A3450">
        <v>173</v>
      </c>
      <c r="B3450" t="s">
        <v>31</v>
      </c>
    </row>
    <row r="3451" spans="1:2" x14ac:dyDescent="0.35">
      <c r="A3451">
        <v>173</v>
      </c>
      <c r="B3451">
        <v>-0.29099999999999998</v>
      </c>
    </row>
    <row r="3452" spans="1:2" x14ac:dyDescent="0.35">
      <c r="A3452">
        <v>173</v>
      </c>
      <c r="B3452" t="s">
        <v>32</v>
      </c>
    </row>
    <row r="3453" spans="1:2" x14ac:dyDescent="0.35">
      <c r="A3453">
        <v>173</v>
      </c>
      <c r="B3453" s="2">
        <v>-0.32754</v>
      </c>
    </row>
    <row r="3454" spans="1:2" x14ac:dyDescent="0.35">
      <c r="A3454">
        <v>173</v>
      </c>
      <c r="B3454" t="s">
        <v>33</v>
      </c>
    </row>
    <row r="3455" spans="1:2" x14ac:dyDescent="0.35">
      <c r="A3455">
        <v>173</v>
      </c>
      <c r="B3455" s="3">
        <v>0.53</v>
      </c>
    </row>
    <row r="3456" spans="1:2" x14ac:dyDescent="0.35">
      <c r="A3456">
        <v>173</v>
      </c>
      <c r="B3456" t="s">
        <v>34</v>
      </c>
    </row>
    <row r="3457" spans="1:2" x14ac:dyDescent="0.35">
      <c r="A3457">
        <v>173</v>
      </c>
      <c r="B3457" s="3">
        <v>0.47</v>
      </c>
    </row>
    <row r="3458" spans="1:2" x14ac:dyDescent="0.35">
      <c r="A3458">
        <v>173</v>
      </c>
      <c r="B3458" t="s">
        <v>26</v>
      </c>
    </row>
    <row r="3459" spans="1:2" x14ac:dyDescent="0.35">
      <c r="A3459">
        <v>173</v>
      </c>
      <c r="B3459">
        <v>0.52</v>
      </c>
    </row>
    <row r="3460" spans="1:2" x14ac:dyDescent="0.35">
      <c r="A3460">
        <v>173</v>
      </c>
      <c r="B3460" t="s">
        <v>23</v>
      </c>
    </row>
    <row r="3461" spans="1:2" x14ac:dyDescent="0.35">
      <c r="A3461">
        <v>173</v>
      </c>
      <c r="B3461">
        <v>-0.36</v>
      </c>
    </row>
    <row r="3462" spans="1:2" x14ac:dyDescent="0.35">
      <c r="A3462">
        <v>173</v>
      </c>
      <c r="B3462" t="s">
        <v>24</v>
      </c>
    </row>
    <row r="3463" spans="1:2" x14ac:dyDescent="0.35">
      <c r="A3463">
        <v>173</v>
      </c>
      <c r="B3463">
        <v>2.1549999999999998</v>
      </c>
    </row>
    <row r="3464" spans="1:2" x14ac:dyDescent="0.35">
      <c r="A3464">
        <v>173</v>
      </c>
      <c r="B3464" t="s">
        <v>35</v>
      </c>
    </row>
    <row r="3465" spans="1:2" x14ac:dyDescent="0.35">
      <c r="A3465">
        <v>173</v>
      </c>
      <c r="B3465">
        <v>0.60599999999999998</v>
      </c>
    </row>
    <row r="3466" spans="1:2" x14ac:dyDescent="0.35">
      <c r="A3466">
        <v>173</v>
      </c>
      <c r="B3466" t="s">
        <v>36</v>
      </c>
    </row>
    <row r="3467" spans="1:2" x14ac:dyDescent="0.35">
      <c r="A3467">
        <v>173</v>
      </c>
      <c r="B3467">
        <v>0.36699999999999999</v>
      </c>
    </row>
    <row r="3468" spans="1:2" x14ac:dyDescent="0.35">
      <c r="A3468">
        <v>173</v>
      </c>
      <c r="B3468" t="s">
        <v>37</v>
      </c>
    </row>
    <row r="3469" spans="1:2" x14ac:dyDescent="0.35">
      <c r="A3469">
        <v>173</v>
      </c>
      <c r="B3469">
        <v>-0.48199999999999998</v>
      </c>
    </row>
    <row r="3470" spans="1:2" x14ac:dyDescent="0.35">
      <c r="A3470">
        <v>173</v>
      </c>
      <c r="B3470" t="s">
        <v>38</v>
      </c>
    </row>
    <row r="3471" spans="1:2" x14ac:dyDescent="0.35">
      <c r="A3471">
        <v>173</v>
      </c>
      <c r="B3471">
        <v>0.59299999999999997</v>
      </c>
    </row>
    <row r="3472" spans="1:2" x14ac:dyDescent="0.35">
      <c r="A3472">
        <v>173</v>
      </c>
      <c r="B3472" t="s">
        <v>39</v>
      </c>
    </row>
    <row r="3473" spans="1:2" x14ac:dyDescent="0.35">
      <c r="A3473">
        <v>173</v>
      </c>
      <c r="B3473">
        <v>-0.10299999999999999</v>
      </c>
    </row>
    <row r="3474" spans="1:2" x14ac:dyDescent="0.35">
      <c r="A3474">
        <v>173</v>
      </c>
      <c r="B3474" t="s">
        <v>40</v>
      </c>
    </row>
    <row r="3475" spans="1:2" x14ac:dyDescent="0.35">
      <c r="A3475">
        <v>173</v>
      </c>
      <c r="B3475" s="4">
        <v>0</v>
      </c>
    </row>
    <row r="3476" spans="1:2" x14ac:dyDescent="0.35">
      <c r="A3476">
        <v>173</v>
      </c>
      <c r="B3476" t="s">
        <v>41</v>
      </c>
    </row>
    <row r="3477" spans="1:2" x14ac:dyDescent="0.35">
      <c r="A3477">
        <v>173</v>
      </c>
      <c r="B3477" s="4">
        <v>19000000</v>
      </c>
    </row>
    <row r="3478" spans="1:2" x14ac:dyDescent="0.35">
      <c r="A3478">
        <v>173</v>
      </c>
      <c r="B3478" t="s">
        <v>42</v>
      </c>
    </row>
    <row r="3479" spans="1:2" x14ac:dyDescent="0.35">
      <c r="A3479">
        <v>173</v>
      </c>
      <c r="B3479" t="s">
        <v>44</v>
      </c>
    </row>
    <row r="3480" spans="1:2" x14ac:dyDescent="0.35">
      <c r="A3480">
        <v>172</v>
      </c>
      <c r="B3480" t="s">
        <v>27</v>
      </c>
    </row>
    <row r="3481" spans="1:2" x14ac:dyDescent="0.35">
      <c r="A3481">
        <v>172</v>
      </c>
      <c r="B3481" s="2">
        <v>9.3880000000000005E-2</v>
      </c>
    </row>
    <row r="3482" spans="1:2" x14ac:dyDescent="0.35">
      <c r="A3482">
        <v>172</v>
      </c>
      <c r="B3482" t="s">
        <v>1</v>
      </c>
    </row>
    <row r="3483" spans="1:2" x14ac:dyDescent="0.35">
      <c r="A3483">
        <v>172</v>
      </c>
      <c r="B3483">
        <v>-0.36699999999999999</v>
      </c>
    </row>
    <row r="3484" spans="1:2" x14ac:dyDescent="0.35">
      <c r="A3484">
        <v>172</v>
      </c>
      <c r="B3484" t="s">
        <v>28</v>
      </c>
    </row>
    <row r="3485" spans="1:2" x14ac:dyDescent="0.35">
      <c r="A3485">
        <v>172</v>
      </c>
      <c r="B3485">
        <v>459</v>
      </c>
    </row>
    <row r="3486" spans="1:2" x14ac:dyDescent="0.35">
      <c r="A3486">
        <v>172</v>
      </c>
      <c r="B3486" t="s">
        <v>25</v>
      </c>
    </row>
    <row r="3487" spans="1:2" x14ac:dyDescent="0.35">
      <c r="A3487">
        <v>172</v>
      </c>
      <c r="B3487" s="2">
        <v>4.1099999999999998E-2</v>
      </c>
    </row>
    <row r="3488" spans="1:2" x14ac:dyDescent="0.35">
      <c r="A3488">
        <v>172</v>
      </c>
      <c r="B3488" t="s">
        <v>29</v>
      </c>
    </row>
    <row r="3489" spans="1:2" x14ac:dyDescent="0.35">
      <c r="A3489">
        <v>172</v>
      </c>
      <c r="B3489" s="2">
        <v>-7.9299999999999995E-2</v>
      </c>
    </row>
    <row r="3490" spans="1:2" x14ac:dyDescent="0.35">
      <c r="A3490">
        <v>172</v>
      </c>
      <c r="B3490" t="s">
        <v>30</v>
      </c>
    </row>
    <row r="3491" spans="1:2" x14ac:dyDescent="0.35">
      <c r="A3491">
        <v>172</v>
      </c>
      <c r="B3491" s="2">
        <v>-0.46013999999999999</v>
      </c>
    </row>
    <row r="3492" spans="1:2" x14ac:dyDescent="0.35">
      <c r="A3492">
        <v>172</v>
      </c>
      <c r="B3492" t="s">
        <v>8</v>
      </c>
    </row>
    <row r="3493" spans="1:2" x14ac:dyDescent="0.35">
      <c r="A3493">
        <v>172</v>
      </c>
      <c r="B3493" s="2">
        <v>0.59299999999999997</v>
      </c>
    </row>
    <row r="3494" spans="1:2" x14ac:dyDescent="0.35">
      <c r="A3494">
        <v>172</v>
      </c>
      <c r="B3494" t="s">
        <v>31</v>
      </c>
    </row>
    <row r="3495" spans="1:2" x14ac:dyDescent="0.35">
      <c r="A3495">
        <v>172</v>
      </c>
      <c r="B3495">
        <v>-0.29099999999999998</v>
      </c>
    </row>
    <row r="3496" spans="1:2" x14ac:dyDescent="0.35">
      <c r="A3496">
        <v>172</v>
      </c>
      <c r="B3496" t="s">
        <v>32</v>
      </c>
    </row>
    <row r="3497" spans="1:2" x14ac:dyDescent="0.35">
      <c r="A3497">
        <v>172</v>
      </c>
      <c r="B3497" s="2">
        <v>-0.32754</v>
      </c>
    </row>
    <row r="3498" spans="1:2" x14ac:dyDescent="0.35">
      <c r="A3498">
        <v>172</v>
      </c>
      <c r="B3498" t="s">
        <v>33</v>
      </c>
    </row>
    <row r="3499" spans="1:2" x14ac:dyDescent="0.35">
      <c r="A3499">
        <v>172</v>
      </c>
      <c r="B3499" s="3">
        <v>0.53</v>
      </c>
    </row>
    <row r="3500" spans="1:2" x14ac:dyDescent="0.35">
      <c r="A3500">
        <v>172</v>
      </c>
      <c r="B3500" t="s">
        <v>34</v>
      </c>
    </row>
    <row r="3501" spans="1:2" x14ac:dyDescent="0.35">
      <c r="A3501">
        <v>172</v>
      </c>
      <c r="B3501" s="3">
        <v>0.47</v>
      </c>
    </row>
    <row r="3502" spans="1:2" x14ac:dyDescent="0.35">
      <c r="A3502">
        <v>172</v>
      </c>
      <c r="B3502" t="s">
        <v>26</v>
      </c>
    </row>
    <row r="3503" spans="1:2" x14ac:dyDescent="0.35">
      <c r="A3503">
        <v>172</v>
      </c>
      <c r="B3503">
        <v>0.52</v>
      </c>
    </row>
    <row r="3504" spans="1:2" x14ac:dyDescent="0.35">
      <c r="A3504">
        <v>172</v>
      </c>
      <c r="B3504" t="s">
        <v>23</v>
      </c>
    </row>
    <row r="3505" spans="1:2" x14ac:dyDescent="0.35">
      <c r="A3505">
        <v>172</v>
      </c>
      <c r="B3505">
        <v>-0.36</v>
      </c>
    </row>
    <row r="3506" spans="1:2" x14ac:dyDescent="0.35">
      <c r="A3506">
        <v>172</v>
      </c>
      <c r="B3506" t="s">
        <v>24</v>
      </c>
    </row>
    <row r="3507" spans="1:2" x14ac:dyDescent="0.35">
      <c r="A3507">
        <v>172</v>
      </c>
      <c r="B3507">
        <v>2.1549999999999998</v>
      </c>
    </row>
    <row r="3508" spans="1:2" x14ac:dyDescent="0.35">
      <c r="A3508">
        <v>172</v>
      </c>
      <c r="B3508" t="s">
        <v>35</v>
      </c>
    </row>
    <row r="3509" spans="1:2" x14ac:dyDescent="0.35">
      <c r="A3509">
        <v>172</v>
      </c>
      <c r="B3509">
        <v>0.60599999999999998</v>
      </c>
    </row>
    <row r="3510" spans="1:2" x14ac:dyDescent="0.35">
      <c r="A3510">
        <v>172</v>
      </c>
      <c r="B3510" t="s">
        <v>36</v>
      </c>
    </row>
    <row r="3511" spans="1:2" x14ac:dyDescent="0.35">
      <c r="A3511">
        <v>172</v>
      </c>
      <c r="B3511">
        <v>0.36699999999999999</v>
      </c>
    </row>
    <row r="3512" spans="1:2" x14ac:dyDescent="0.35">
      <c r="A3512">
        <v>172</v>
      </c>
      <c r="B3512" t="s">
        <v>37</v>
      </c>
    </row>
    <row r="3513" spans="1:2" x14ac:dyDescent="0.35">
      <c r="A3513">
        <v>172</v>
      </c>
      <c r="B3513">
        <v>-0.48199999999999998</v>
      </c>
    </row>
    <row r="3514" spans="1:2" x14ac:dyDescent="0.35">
      <c r="A3514">
        <v>172</v>
      </c>
      <c r="B3514" t="s">
        <v>38</v>
      </c>
    </row>
    <row r="3515" spans="1:2" x14ac:dyDescent="0.35">
      <c r="A3515">
        <v>172</v>
      </c>
      <c r="B3515">
        <v>0.59299999999999997</v>
      </c>
    </row>
    <row r="3516" spans="1:2" x14ac:dyDescent="0.35">
      <c r="A3516">
        <v>172</v>
      </c>
      <c r="B3516" t="s">
        <v>39</v>
      </c>
    </row>
    <row r="3517" spans="1:2" x14ac:dyDescent="0.35">
      <c r="A3517">
        <v>172</v>
      </c>
      <c r="B3517">
        <v>-0.10299999999999999</v>
      </c>
    </row>
    <row r="3518" spans="1:2" x14ac:dyDescent="0.35">
      <c r="A3518">
        <v>172</v>
      </c>
      <c r="B3518" t="s">
        <v>40</v>
      </c>
    </row>
    <row r="3519" spans="1:2" x14ac:dyDescent="0.35">
      <c r="A3519">
        <v>172</v>
      </c>
      <c r="B3519" s="4">
        <v>0</v>
      </c>
    </row>
    <row r="3520" spans="1:2" x14ac:dyDescent="0.35">
      <c r="A3520">
        <v>172</v>
      </c>
      <c r="B3520" t="s">
        <v>41</v>
      </c>
    </row>
    <row r="3521" spans="1:2" x14ac:dyDescent="0.35">
      <c r="A3521">
        <v>172</v>
      </c>
      <c r="B3521" s="4">
        <v>19000000</v>
      </c>
    </row>
    <row r="3522" spans="1:2" x14ac:dyDescent="0.35">
      <c r="A3522">
        <v>172</v>
      </c>
      <c r="B3522" t="s">
        <v>42</v>
      </c>
    </row>
    <row r="3523" spans="1:2" x14ac:dyDescent="0.35">
      <c r="A3523">
        <v>172</v>
      </c>
      <c r="B3523" t="s">
        <v>44</v>
      </c>
    </row>
    <row r="3524" spans="1:2" x14ac:dyDescent="0.35">
      <c r="A3524">
        <v>162</v>
      </c>
      <c r="B3524" t="s">
        <v>27</v>
      </c>
    </row>
    <row r="3525" spans="1:2" x14ac:dyDescent="0.35">
      <c r="A3525">
        <v>162</v>
      </c>
      <c r="B3525" s="2">
        <v>9.3880000000000005E-2</v>
      </c>
    </row>
    <row r="3526" spans="1:2" x14ac:dyDescent="0.35">
      <c r="A3526">
        <v>162</v>
      </c>
      <c r="B3526" t="s">
        <v>1</v>
      </c>
    </row>
    <row r="3527" spans="1:2" x14ac:dyDescent="0.35">
      <c r="A3527">
        <v>162</v>
      </c>
      <c r="B3527">
        <v>-0.36699999999999999</v>
      </c>
    </row>
    <row r="3528" spans="1:2" x14ac:dyDescent="0.35">
      <c r="A3528">
        <v>162</v>
      </c>
      <c r="B3528" t="s">
        <v>28</v>
      </c>
    </row>
    <row r="3529" spans="1:2" x14ac:dyDescent="0.35">
      <c r="A3529">
        <v>162</v>
      </c>
      <c r="B3529">
        <v>459</v>
      </c>
    </row>
    <row r="3530" spans="1:2" x14ac:dyDescent="0.35">
      <c r="A3530">
        <v>162</v>
      </c>
      <c r="B3530" t="s">
        <v>25</v>
      </c>
    </row>
    <row r="3531" spans="1:2" x14ac:dyDescent="0.35">
      <c r="A3531">
        <v>162</v>
      </c>
      <c r="B3531" s="2">
        <v>4.1099999999999998E-2</v>
      </c>
    </row>
    <row r="3532" spans="1:2" x14ac:dyDescent="0.35">
      <c r="A3532">
        <v>162</v>
      </c>
      <c r="B3532" t="s">
        <v>29</v>
      </c>
    </row>
    <row r="3533" spans="1:2" x14ac:dyDescent="0.35">
      <c r="A3533">
        <v>162</v>
      </c>
      <c r="B3533" s="2">
        <v>-7.9299999999999995E-2</v>
      </c>
    </row>
    <row r="3534" spans="1:2" x14ac:dyDescent="0.35">
      <c r="A3534">
        <v>162</v>
      </c>
      <c r="B3534" t="s">
        <v>30</v>
      </c>
    </row>
    <row r="3535" spans="1:2" x14ac:dyDescent="0.35">
      <c r="A3535">
        <v>162</v>
      </c>
      <c r="B3535" s="2">
        <v>-0.46013999999999999</v>
      </c>
    </row>
    <row r="3536" spans="1:2" x14ac:dyDescent="0.35">
      <c r="A3536">
        <v>162</v>
      </c>
      <c r="B3536" t="s">
        <v>8</v>
      </c>
    </row>
    <row r="3537" spans="1:2" x14ac:dyDescent="0.35">
      <c r="A3537">
        <v>162</v>
      </c>
      <c r="B3537" s="2">
        <v>0.59299999999999997</v>
      </c>
    </row>
    <row r="3538" spans="1:2" x14ac:dyDescent="0.35">
      <c r="A3538">
        <v>162</v>
      </c>
      <c r="B3538" t="s">
        <v>31</v>
      </c>
    </row>
    <row r="3539" spans="1:2" x14ac:dyDescent="0.35">
      <c r="A3539">
        <v>162</v>
      </c>
      <c r="B3539">
        <v>-0.29099999999999998</v>
      </c>
    </row>
    <row r="3540" spans="1:2" x14ac:dyDescent="0.35">
      <c r="A3540">
        <v>162</v>
      </c>
      <c r="B3540" t="s">
        <v>32</v>
      </c>
    </row>
    <row r="3541" spans="1:2" x14ac:dyDescent="0.35">
      <c r="A3541">
        <v>162</v>
      </c>
      <c r="B3541" s="2">
        <v>-0.32754</v>
      </c>
    </row>
    <row r="3542" spans="1:2" x14ac:dyDescent="0.35">
      <c r="A3542">
        <v>162</v>
      </c>
      <c r="B3542" t="s">
        <v>33</v>
      </c>
    </row>
    <row r="3543" spans="1:2" x14ac:dyDescent="0.35">
      <c r="A3543">
        <v>162</v>
      </c>
      <c r="B3543" s="3">
        <v>0.53</v>
      </c>
    </row>
    <row r="3544" spans="1:2" x14ac:dyDescent="0.35">
      <c r="A3544">
        <v>162</v>
      </c>
      <c r="B3544" t="s">
        <v>34</v>
      </c>
    </row>
    <row r="3545" spans="1:2" x14ac:dyDescent="0.35">
      <c r="A3545">
        <v>162</v>
      </c>
      <c r="B3545" s="3">
        <v>0.47</v>
      </c>
    </row>
    <row r="3546" spans="1:2" x14ac:dyDescent="0.35">
      <c r="A3546">
        <v>162</v>
      </c>
      <c r="B3546" t="s">
        <v>26</v>
      </c>
    </row>
    <row r="3547" spans="1:2" x14ac:dyDescent="0.35">
      <c r="A3547">
        <v>162</v>
      </c>
      <c r="B3547">
        <v>0.52</v>
      </c>
    </row>
    <row r="3548" spans="1:2" x14ac:dyDescent="0.35">
      <c r="A3548">
        <v>162</v>
      </c>
      <c r="B3548" t="s">
        <v>23</v>
      </c>
    </row>
    <row r="3549" spans="1:2" x14ac:dyDescent="0.35">
      <c r="A3549">
        <v>162</v>
      </c>
      <c r="B3549">
        <v>-0.36</v>
      </c>
    </row>
    <row r="3550" spans="1:2" x14ac:dyDescent="0.35">
      <c r="A3550">
        <v>162</v>
      </c>
      <c r="B3550" t="s">
        <v>24</v>
      </c>
    </row>
    <row r="3551" spans="1:2" x14ac:dyDescent="0.35">
      <c r="A3551">
        <v>162</v>
      </c>
      <c r="B3551">
        <v>2.1549999999999998</v>
      </c>
    </row>
    <row r="3552" spans="1:2" x14ac:dyDescent="0.35">
      <c r="A3552">
        <v>162</v>
      </c>
      <c r="B3552" t="s">
        <v>35</v>
      </c>
    </row>
    <row r="3553" spans="1:2" x14ac:dyDescent="0.35">
      <c r="A3553">
        <v>162</v>
      </c>
      <c r="B3553">
        <v>0.60599999999999998</v>
      </c>
    </row>
    <row r="3554" spans="1:2" x14ac:dyDescent="0.35">
      <c r="A3554">
        <v>162</v>
      </c>
      <c r="B3554" t="s">
        <v>36</v>
      </c>
    </row>
    <row r="3555" spans="1:2" x14ac:dyDescent="0.35">
      <c r="A3555">
        <v>162</v>
      </c>
      <c r="B3555">
        <v>0.36699999999999999</v>
      </c>
    </row>
    <row r="3556" spans="1:2" x14ac:dyDescent="0.35">
      <c r="A3556">
        <v>162</v>
      </c>
      <c r="B3556" t="s">
        <v>37</v>
      </c>
    </row>
    <row r="3557" spans="1:2" x14ac:dyDescent="0.35">
      <c r="A3557">
        <v>162</v>
      </c>
      <c r="B3557">
        <v>-0.48199999999999998</v>
      </c>
    </row>
    <row r="3558" spans="1:2" x14ac:dyDescent="0.35">
      <c r="A3558">
        <v>162</v>
      </c>
      <c r="B3558" t="s">
        <v>38</v>
      </c>
    </row>
    <row r="3559" spans="1:2" x14ac:dyDescent="0.35">
      <c r="A3559">
        <v>162</v>
      </c>
      <c r="B3559">
        <v>0.59299999999999997</v>
      </c>
    </row>
    <row r="3560" spans="1:2" x14ac:dyDescent="0.35">
      <c r="A3560">
        <v>162</v>
      </c>
      <c r="B3560" t="s">
        <v>39</v>
      </c>
    </row>
    <row r="3561" spans="1:2" x14ac:dyDescent="0.35">
      <c r="A3561">
        <v>162</v>
      </c>
      <c r="B3561">
        <v>-0.10299999999999999</v>
      </c>
    </row>
    <row r="3562" spans="1:2" x14ac:dyDescent="0.35">
      <c r="A3562">
        <v>162</v>
      </c>
      <c r="B3562" t="s">
        <v>40</v>
      </c>
    </row>
    <row r="3563" spans="1:2" x14ac:dyDescent="0.35">
      <c r="A3563">
        <v>162</v>
      </c>
      <c r="B3563" s="4">
        <v>0</v>
      </c>
    </row>
    <row r="3564" spans="1:2" x14ac:dyDescent="0.35">
      <c r="A3564">
        <v>162</v>
      </c>
      <c r="B3564" t="s">
        <v>41</v>
      </c>
    </row>
    <row r="3565" spans="1:2" x14ac:dyDescent="0.35">
      <c r="A3565">
        <v>162</v>
      </c>
      <c r="B3565" s="4">
        <v>19000000</v>
      </c>
    </row>
    <row r="3566" spans="1:2" x14ac:dyDescent="0.35">
      <c r="A3566">
        <v>162</v>
      </c>
      <c r="B3566" t="s">
        <v>42</v>
      </c>
    </row>
    <row r="3567" spans="1:2" x14ac:dyDescent="0.35">
      <c r="A3567">
        <v>162</v>
      </c>
      <c r="B3567" t="s">
        <v>44</v>
      </c>
    </row>
    <row r="3568" spans="1:2" x14ac:dyDescent="0.35">
      <c r="A3568">
        <v>161</v>
      </c>
      <c r="B3568" t="s">
        <v>27</v>
      </c>
    </row>
    <row r="3569" spans="1:2" x14ac:dyDescent="0.35">
      <c r="A3569">
        <v>161</v>
      </c>
      <c r="B3569" s="2">
        <v>9.3880000000000005E-2</v>
      </c>
    </row>
    <row r="3570" spans="1:2" x14ac:dyDescent="0.35">
      <c r="A3570">
        <v>161</v>
      </c>
      <c r="B3570" t="s">
        <v>1</v>
      </c>
    </row>
    <row r="3571" spans="1:2" x14ac:dyDescent="0.35">
      <c r="A3571">
        <v>161</v>
      </c>
      <c r="B3571">
        <v>-0.36699999999999999</v>
      </c>
    </row>
    <row r="3572" spans="1:2" x14ac:dyDescent="0.35">
      <c r="A3572">
        <v>161</v>
      </c>
      <c r="B3572" t="s">
        <v>28</v>
      </c>
    </row>
    <row r="3573" spans="1:2" x14ac:dyDescent="0.35">
      <c r="A3573">
        <v>161</v>
      </c>
      <c r="B3573">
        <v>459</v>
      </c>
    </row>
    <row r="3574" spans="1:2" x14ac:dyDescent="0.35">
      <c r="A3574">
        <v>161</v>
      </c>
      <c r="B3574" t="s">
        <v>25</v>
      </c>
    </row>
    <row r="3575" spans="1:2" x14ac:dyDescent="0.35">
      <c r="A3575">
        <v>161</v>
      </c>
      <c r="B3575" s="2">
        <v>4.1099999999999998E-2</v>
      </c>
    </row>
    <row r="3576" spans="1:2" x14ac:dyDescent="0.35">
      <c r="A3576">
        <v>161</v>
      </c>
      <c r="B3576" t="s">
        <v>29</v>
      </c>
    </row>
    <row r="3577" spans="1:2" x14ac:dyDescent="0.35">
      <c r="A3577">
        <v>161</v>
      </c>
      <c r="B3577" s="2">
        <v>-7.9299999999999995E-2</v>
      </c>
    </row>
    <row r="3578" spans="1:2" x14ac:dyDescent="0.35">
      <c r="A3578">
        <v>161</v>
      </c>
      <c r="B3578" t="s">
        <v>30</v>
      </c>
    </row>
    <row r="3579" spans="1:2" x14ac:dyDescent="0.35">
      <c r="A3579">
        <v>161</v>
      </c>
      <c r="B3579" s="2">
        <v>-0.46013999999999999</v>
      </c>
    </row>
    <row r="3580" spans="1:2" x14ac:dyDescent="0.35">
      <c r="A3580">
        <v>161</v>
      </c>
      <c r="B3580" t="s">
        <v>8</v>
      </c>
    </row>
    <row r="3581" spans="1:2" x14ac:dyDescent="0.35">
      <c r="A3581">
        <v>161</v>
      </c>
      <c r="B3581" s="2">
        <v>0.59299999999999997</v>
      </c>
    </row>
    <row r="3582" spans="1:2" x14ac:dyDescent="0.35">
      <c r="A3582">
        <v>161</v>
      </c>
      <c r="B3582" t="s">
        <v>31</v>
      </c>
    </row>
    <row r="3583" spans="1:2" x14ac:dyDescent="0.35">
      <c r="A3583">
        <v>161</v>
      </c>
      <c r="B3583">
        <v>-0.29099999999999998</v>
      </c>
    </row>
    <row r="3584" spans="1:2" x14ac:dyDescent="0.35">
      <c r="A3584">
        <v>161</v>
      </c>
      <c r="B3584" t="s">
        <v>32</v>
      </c>
    </row>
    <row r="3585" spans="1:2" x14ac:dyDescent="0.35">
      <c r="A3585">
        <v>161</v>
      </c>
      <c r="B3585" s="2">
        <v>-0.32754</v>
      </c>
    </row>
    <row r="3586" spans="1:2" x14ac:dyDescent="0.35">
      <c r="A3586">
        <v>161</v>
      </c>
      <c r="B3586" t="s">
        <v>33</v>
      </c>
    </row>
    <row r="3587" spans="1:2" x14ac:dyDescent="0.35">
      <c r="A3587">
        <v>161</v>
      </c>
      <c r="B3587" s="3">
        <v>0.53</v>
      </c>
    </row>
    <row r="3588" spans="1:2" x14ac:dyDescent="0.35">
      <c r="A3588">
        <v>161</v>
      </c>
      <c r="B3588" t="s">
        <v>34</v>
      </c>
    </row>
    <row r="3589" spans="1:2" x14ac:dyDescent="0.35">
      <c r="A3589">
        <v>161</v>
      </c>
      <c r="B3589" s="3">
        <v>0.47</v>
      </c>
    </row>
    <row r="3590" spans="1:2" x14ac:dyDescent="0.35">
      <c r="A3590">
        <v>161</v>
      </c>
      <c r="B3590" t="s">
        <v>26</v>
      </c>
    </row>
    <row r="3591" spans="1:2" x14ac:dyDescent="0.35">
      <c r="A3591">
        <v>161</v>
      </c>
      <c r="B3591">
        <v>0.52</v>
      </c>
    </row>
    <row r="3592" spans="1:2" x14ac:dyDescent="0.35">
      <c r="A3592">
        <v>161</v>
      </c>
      <c r="B3592" t="s">
        <v>23</v>
      </c>
    </row>
    <row r="3593" spans="1:2" x14ac:dyDescent="0.35">
      <c r="A3593">
        <v>161</v>
      </c>
      <c r="B3593">
        <v>-0.36</v>
      </c>
    </row>
    <row r="3594" spans="1:2" x14ac:dyDescent="0.35">
      <c r="A3594">
        <v>161</v>
      </c>
      <c r="B3594" t="s">
        <v>24</v>
      </c>
    </row>
    <row r="3595" spans="1:2" x14ac:dyDescent="0.35">
      <c r="A3595">
        <v>161</v>
      </c>
      <c r="B3595">
        <v>2.1549999999999998</v>
      </c>
    </row>
    <row r="3596" spans="1:2" x14ac:dyDescent="0.35">
      <c r="A3596">
        <v>161</v>
      </c>
      <c r="B3596" t="s">
        <v>35</v>
      </c>
    </row>
    <row r="3597" spans="1:2" x14ac:dyDescent="0.35">
      <c r="A3597">
        <v>161</v>
      </c>
      <c r="B3597">
        <v>0.60599999999999998</v>
      </c>
    </row>
    <row r="3598" spans="1:2" x14ac:dyDescent="0.35">
      <c r="A3598">
        <v>161</v>
      </c>
      <c r="B3598" t="s">
        <v>36</v>
      </c>
    </row>
    <row r="3599" spans="1:2" x14ac:dyDescent="0.35">
      <c r="A3599">
        <v>161</v>
      </c>
      <c r="B3599">
        <v>0.36699999999999999</v>
      </c>
    </row>
    <row r="3600" spans="1:2" x14ac:dyDescent="0.35">
      <c r="A3600">
        <v>161</v>
      </c>
      <c r="B3600" t="s">
        <v>37</v>
      </c>
    </row>
    <row r="3601" spans="1:2" x14ac:dyDescent="0.35">
      <c r="A3601">
        <v>161</v>
      </c>
      <c r="B3601">
        <v>-0.48199999999999998</v>
      </c>
    </row>
    <row r="3602" spans="1:2" x14ac:dyDescent="0.35">
      <c r="A3602">
        <v>161</v>
      </c>
      <c r="B3602" t="s">
        <v>38</v>
      </c>
    </row>
    <row r="3603" spans="1:2" x14ac:dyDescent="0.35">
      <c r="A3603">
        <v>161</v>
      </c>
      <c r="B3603">
        <v>0.59299999999999997</v>
      </c>
    </row>
    <row r="3604" spans="1:2" x14ac:dyDescent="0.35">
      <c r="A3604">
        <v>161</v>
      </c>
      <c r="B3604" t="s">
        <v>39</v>
      </c>
    </row>
    <row r="3605" spans="1:2" x14ac:dyDescent="0.35">
      <c r="A3605">
        <v>161</v>
      </c>
      <c r="B3605">
        <v>-0.10299999999999999</v>
      </c>
    </row>
    <row r="3606" spans="1:2" x14ac:dyDescent="0.35">
      <c r="A3606">
        <v>161</v>
      </c>
      <c r="B3606" t="s">
        <v>40</v>
      </c>
    </row>
    <row r="3607" spans="1:2" x14ac:dyDescent="0.35">
      <c r="A3607">
        <v>161</v>
      </c>
      <c r="B3607" s="4">
        <v>0</v>
      </c>
    </row>
    <row r="3608" spans="1:2" x14ac:dyDescent="0.35">
      <c r="A3608">
        <v>161</v>
      </c>
      <c r="B3608" t="s">
        <v>41</v>
      </c>
    </row>
    <row r="3609" spans="1:2" x14ac:dyDescent="0.35">
      <c r="A3609">
        <v>161</v>
      </c>
      <c r="B3609" s="4">
        <v>19000000</v>
      </c>
    </row>
    <row r="3610" spans="1:2" x14ac:dyDescent="0.35">
      <c r="A3610">
        <v>161</v>
      </c>
      <c r="B3610" t="s">
        <v>42</v>
      </c>
    </row>
    <row r="3611" spans="1:2" x14ac:dyDescent="0.35">
      <c r="A3611">
        <v>161</v>
      </c>
      <c r="B3611" t="s">
        <v>44</v>
      </c>
    </row>
    <row r="3612" spans="1:2" x14ac:dyDescent="0.35">
      <c r="A3612">
        <v>160</v>
      </c>
      <c r="B3612" t="s">
        <v>27</v>
      </c>
    </row>
    <row r="3613" spans="1:2" x14ac:dyDescent="0.35">
      <c r="A3613">
        <v>160</v>
      </c>
      <c r="B3613" s="2">
        <v>9.3880000000000005E-2</v>
      </c>
    </row>
    <row r="3614" spans="1:2" x14ac:dyDescent="0.35">
      <c r="A3614">
        <v>160</v>
      </c>
      <c r="B3614" t="s">
        <v>1</v>
      </c>
    </row>
    <row r="3615" spans="1:2" x14ac:dyDescent="0.35">
      <c r="A3615">
        <v>160</v>
      </c>
      <c r="B3615">
        <v>-0.36699999999999999</v>
      </c>
    </row>
    <row r="3616" spans="1:2" x14ac:dyDescent="0.35">
      <c r="A3616">
        <v>160</v>
      </c>
      <c r="B3616" t="s">
        <v>28</v>
      </c>
    </row>
    <row r="3617" spans="1:2" x14ac:dyDescent="0.35">
      <c r="A3617">
        <v>160</v>
      </c>
      <c r="B3617">
        <v>459</v>
      </c>
    </row>
    <row r="3618" spans="1:2" x14ac:dyDescent="0.35">
      <c r="A3618">
        <v>160</v>
      </c>
      <c r="B3618" t="s">
        <v>25</v>
      </c>
    </row>
    <row r="3619" spans="1:2" x14ac:dyDescent="0.35">
      <c r="A3619">
        <v>160</v>
      </c>
      <c r="B3619" s="2">
        <v>4.1099999999999998E-2</v>
      </c>
    </row>
    <row r="3620" spans="1:2" x14ac:dyDescent="0.35">
      <c r="A3620">
        <v>160</v>
      </c>
      <c r="B3620" t="s">
        <v>29</v>
      </c>
    </row>
    <row r="3621" spans="1:2" x14ac:dyDescent="0.35">
      <c r="A3621">
        <v>160</v>
      </c>
      <c r="B3621" s="2">
        <v>-7.9299999999999995E-2</v>
      </c>
    </row>
    <row r="3622" spans="1:2" x14ac:dyDescent="0.35">
      <c r="A3622">
        <v>160</v>
      </c>
      <c r="B3622" t="s">
        <v>30</v>
      </c>
    </row>
    <row r="3623" spans="1:2" x14ac:dyDescent="0.35">
      <c r="A3623">
        <v>160</v>
      </c>
      <c r="B3623" s="2">
        <v>-0.46013999999999999</v>
      </c>
    </row>
    <row r="3624" spans="1:2" x14ac:dyDescent="0.35">
      <c r="A3624">
        <v>160</v>
      </c>
      <c r="B3624" t="s">
        <v>8</v>
      </c>
    </row>
    <row r="3625" spans="1:2" x14ac:dyDescent="0.35">
      <c r="A3625">
        <v>160</v>
      </c>
      <c r="B3625" s="2">
        <v>0.59299999999999997</v>
      </c>
    </row>
    <row r="3626" spans="1:2" x14ac:dyDescent="0.35">
      <c r="A3626">
        <v>160</v>
      </c>
      <c r="B3626" t="s">
        <v>31</v>
      </c>
    </row>
    <row r="3627" spans="1:2" x14ac:dyDescent="0.35">
      <c r="A3627">
        <v>160</v>
      </c>
      <c r="B3627">
        <v>-0.29099999999999998</v>
      </c>
    </row>
    <row r="3628" spans="1:2" x14ac:dyDescent="0.35">
      <c r="A3628">
        <v>160</v>
      </c>
      <c r="B3628" t="s">
        <v>32</v>
      </c>
    </row>
    <row r="3629" spans="1:2" x14ac:dyDescent="0.35">
      <c r="A3629">
        <v>160</v>
      </c>
      <c r="B3629" s="2">
        <v>-0.32754</v>
      </c>
    </row>
    <row r="3630" spans="1:2" x14ac:dyDescent="0.35">
      <c r="A3630">
        <v>160</v>
      </c>
      <c r="B3630" t="s">
        <v>33</v>
      </c>
    </row>
    <row r="3631" spans="1:2" x14ac:dyDescent="0.35">
      <c r="A3631">
        <v>160</v>
      </c>
      <c r="B3631" s="3">
        <v>0.53</v>
      </c>
    </row>
    <row r="3632" spans="1:2" x14ac:dyDescent="0.35">
      <c r="A3632">
        <v>160</v>
      </c>
      <c r="B3632" t="s">
        <v>34</v>
      </c>
    </row>
    <row r="3633" spans="1:2" x14ac:dyDescent="0.35">
      <c r="A3633">
        <v>160</v>
      </c>
      <c r="B3633" s="3">
        <v>0.47</v>
      </c>
    </row>
    <row r="3634" spans="1:2" x14ac:dyDescent="0.35">
      <c r="A3634">
        <v>160</v>
      </c>
      <c r="B3634" t="s">
        <v>26</v>
      </c>
    </row>
    <row r="3635" spans="1:2" x14ac:dyDescent="0.35">
      <c r="A3635">
        <v>160</v>
      </c>
      <c r="B3635">
        <v>0.52</v>
      </c>
    </row>
    <row r="3636" spans="1:2" x14ac:dyDescent="0.35">
      <c r="A3636">
        <v>160</v>
      </c>
      <c r="B3636" t="s">
        <v>23</v>
      </c>
    </row>
    <row r="3637" spans="1:2" x14ac:dyDescent="0.35">
      <c r="A3637">
        <v>160</v>
      </c>
      <c r="B3637">
        <v>-0.36</v>
      </c>
    </row>
    <row r="3638" spans="1:2" x14ac:dyDescent="0.35">
      <c r="A3638">
        <v>160</v>
      </c>
      <c r="B3638" t="s">
        <v>24</v>
      </c>
    </row>
    <row r="3639" spans="1:2" x14ac:dyDescent="0.35">
      <c r="A3639">
        <v>160</v>
      </c>
      <c r="B3639">
        <v>2.1549999999999998</v>
      </c>
    </row>
    <row r="3640" spans="1:2" x14ac:dyDescent="0.35">
      <c r="A3640">
        <v>160</v>
      </c>
      <c r="B3640" t="s">
        <v>35</v>
      </c>
    </row>
    <row r="3641" spans="1:2" x14ac:dyDescent="0.35">
      <c r="A3641">
        <v>160</v>
      </c>
      <c r="B3641">
        <v>0.60599999999999998</v>
      </c>
    </row>
    <row r="3642" spans="1:2" x14ac:dyDescent="0.35">
      <c r="A3642">
        <v>160</v>
      </c>
      <c r="B3642" t="s">
        <v>36</v>
      </c>
    </row>
    <row r="3643" spans="1:2" x14ac:dyDescent="0.35">
      <c r="A3643">
        <v>160</v>
      </c>
      <c r="B3643">
        <v>0.36699999999999999</v>
      </c>
    </row>
    <row r="3644" spans="1:2" x14ac:dyDescent="0.35">
      <c r="A3644">
        <v>160</v>
      </c>
      <c r="B3644" t="s">
        <v>37</v>
      </c>
    </row>
    <row r="3645" spans="1:2" x14ac:dyDescent="0.35">
      <c r="A3645">
        <v>160</v>
      </c>
      <c r="B3645">
        <v>-0.48199999999999998</v>
      </c>
    </row>
    <row r="3646" spans="1:2" x14ac:dyDescent="0.35">
      <c r="A3646">
        <v>160</v>
      </c>
      <c r="B3646" t="s">
        <v>38</v>
      </c>
    </row>
    <row r="3647" spans="1:2" x14ac:dyDescent="0.35">
      <c r="A3647">
        <v>160</v>
      </c>
      <c r="B3647">
        <v>0.59299999999999997</v>
      </c>
    </row>
    <row r="3648" spans="1:2" x14ac:dyDescent="0.35">
      <c r="A3648">
        <v>160</v>
      </c>
      <c r="B3648" t="s">
        <v>39</v>
      </c>
    </row>
    <row r="3649" spans="1:2" x14ac:dyDescent="0.35">
      <c r="A3649">
        <v>160</v>
      </c>
      <c r="B3649">
        <v>-0.10299999999999999</v>
      </c>
    </row>
    <row r="3650" spans="1:2" x14ac:dyDescent="0.35">
      <c r="A3650">
        <v>160</v>
      </c>
      <c r="B3650" t="s">
        <v>40</v>
      </c>
    </row>
    <row r="3651" spans="1:2" x14ac:dyDescent="0.35">
      <c r="A3651">
        <v>160</v>
      </c>
      <c r="B3651" s="4">
        <v>0</v>
      </c>
    </row>
    <row r="3652" spans="1:2" x14ac:dyDescent="0.35">
      <c r="A3652">
        <v>160</v>
      </c>
      <c r="B3652" t="s">
        <v>41</v>
      </c>
    </row>
    <row r="3653" spans="1:2" x14ac:dyDescent="0.35">
      <c r="A3653">
        <v>160</v>
      </c>
      <c r="B3653" s="4">
        <v>19000000</v>
      </c>
    </row>
    <row r="3654" spans="1:2" x14ac:dyDescent="0.35">
      <c r="A3654">
        <v>160</v>
      </c>
      <c r="B3654" t="s">
        <v>42</v>
      </c>
    </row>
    <row r="3655" spans="1:2" x14ac:dyDescent="0.35">
      <c r="A3655">
        <v>160</v>
      </c>
      <c r="B3655" t="s">
        <v>44</v>
      </c>
    </row>
    <row r="3656" spans="1:2" x14ac:dyDescent="0.35">
      <c r="A3656">
        <v>159</v>
      </c>
      <c r="B3656" t="s">
        <v>27</v>
      </c>
    </row>
    <row r="3657" spans="1:2" x14ac:dyDescent="0.35">
      <c r="A3657">
        <v>159</v>
      </c>
      <c r="B3657" s="2">
        <v>9.3880000000000005E-2</v>
      </c>
    </row>
    <row r="3658" spans="1:2" x14ac:dyDescent="0.35">
      <c r="A3658">
        <v>159</v>
      </c>
      <c r="B3658" t="s">
        <v>1</v>
      </c>
    </row>
    <row r="3659" spans="1:2" x14ac:dyDescent="0.35">
      <c r="A3659">
        <v>159</v>
      </c>
      <c r="B3659">
        <v>-0.36699999999999999</v>
      </c>
    </row>
    <row r="3660" spans="1:2" x14ac:dyDescent="0.35">
      <c r="A3660">
        <v>159</v>
      </c>
      <c r="B3660" t="s">
        <v>28</v>
      </c>
    </row>
    <row r="3661" spans="1:2" x14ac:dyDescent="0.35">
      <c r="A3661">
        <v>159</v>
      </c>
      <c r="B3661">
        <v>459</v>
      </c>
    </row>
    <row r="3662" spans="1:2" x14ac:dyDescent="0.35">
      <c r="A3662">
        <v>159</v>
      </c>
      <c r="B3662" t="s">
        <v>25</v>
      </c>
    </row>
    <row r="3663" spans="1:2" x14ac:dyDescent="0.35">
      <c r="A3663">
        <v>159</v>
      </c>
      <c r="B3663" s="2">
        <v>4.1099999999999998E-2</v>
      </c>
    </row>
    <row r="3664" spans="1:2" x14ac:dyDescent="0.35">
      <c r="A3664">
        <v>159</v>
      </c>
      <c r="B3664" t="s">
        <v>29</v>
      </c>
    </row>
    <row r="3665" spans="1:2" x14ac:dyDescent="0.35">
      <c r="A3665">
        <v>159</v>
      </c>
      <c r="B3665" s="2">
        <v>-7.9299999999999995E-2</v>
      </c>
    </row>
    <row r="3666" spans="1:2" x14ac:dyDescent="0.35">
      <c r="A3666">
        <v>159</v>
      </c>
      <c r="B3666" t="s">
        <v>30</v>
      </c>
    </row>
    <row r="3667" spans="1:2" x14ac:dyDescent="0.35">
      <c r="A3667">
        <v>159</v>
      </c>
      <c r="B3667" s="2">
        <v>-0.46013999999999999</v>
      </c>
    </row>
    <row r="3668" spans="1:2" x14ac:dyDescent="0.35">
      <c r="A3668">
        <v>159</v>
      </c>
      <c r="B3668" t="s">
        <v>8</v>
      </c>
    </row>
    <row r="3669" spans="1:2" x14ac:dyDescent="0.35">
      <c r="A3669">
        <v>159</v>
      </c>
      <c r="B3669" s="2">
        <v>0.59299999999999997</v>
      </c>
    </row>
    <row r="3670" spans="1:2" x14ac:dyDescent="0.35">
      <c r="A3670">
        <v>159</v>
      </c>
      <c r="B3670" t="s">
        <v>31</v>
      </c>
    </row>
    <row r="3671" spans="1:2" x14ac:dyDescent="0.35">
      <c r="A3671">
        <v>159</v>
      </c>
      <c r="B3671">
        <v>-0.29099999999999998</v>
      </c>
    </row>
    <row r="3672" spans="1:2" x14ac:dyDescent="0.35">
      <c r="A3672">
        <v>159</v>
      </c>
      <c r="B3672" t="s">
        <v>32</v>
      </c>
    </row>
    <row r="3673" spans="1:2" x14ac:dyDescent="0.35">
      <c r="A3673">
        <v>159</v>
      </c>
      <c r="B3673" s="2">
        <v>-0.32754</v>
      </c>
    </row>
    <row r="3674" spans="1:2" x14ac:dyDescent="0.35">
      <c r="A3674">
        <v>159</v>
      </c>
      <c r="B3674" t="s">
        <v>33</v>
      </c>
    </row>
    <row r="3675" spans="1:2" x14ac:dyDescent="0.35">
      <c r="A3675">
        <v>159</v>
      </c>
      <c r="B3675" s="3">
        <v>0.53</v>
      </c>
    </row>
    <row r="3676" spans="1:2" x14ac:dyDescent="0.35">
      <c r="A3676">
        <v>159</v>
      </c>
      <c r="B3676" t="s">
        <v>34</v>
      </c>
    </row>
    <row r="3677" spans="1:2" x14ac:dyDescent="0.35">
      <c r="A3677">
        <v>159</v>
      </c>
      <c r="B3677" s="3">
        <v>0.47</v>
      </c>
    </row>
    <row r="3678" spans="1:2" x14ac:dyDescent="0.35">
      <c r="A3678">
        <v>159</v>
      </c>
      <c r="B3678" t="s">
        <v>26</v>
      </c>
    </row>
    <row r="3679" spans="1:2" x14ac:dyDescent="0.35">
      <c r="A3679">
        <v>159</v>
      </c>
      <c r="B3679">
        <v>0.52</v>
      </c>
    </row>
    <row r="3680" spans="1:2" x14ac:dyDescent="0.35">
      <c r="A3680">
        <v>159</v>
      </c>
      <c r="B3680" t="s">
        <v>23</v>
      </c>
    </row>
    <row r="3681" spans="1:2" x14ac:dyDescent="0.35">
      <c r="A3681">
        <v>159</v>
      </c>
      <c r="B3681">
        <v>-0.36</v>
      </c>
    </row>
    <row r="3682" spans="1:2" x14ac:dyDescent="0.35">
      <c r="A3682">
        <v>159</v>
      </c>
      <c r="B3682" t="s">
        <v>24</v>
      </c>
    </row>
    <row r="3683" spans="1:2" x14ac:dyDescent="0.35">
      <c r="A3683">
        <v>159</v>
      </c>
      <c r="B3683">
        <v>2.1549999999999998</v>
      </c>
    </row>
    <row r="3684" spans="1:2" x14ac:dyDescent="0.35">
      <c r="A3684">
        <v>159</v>
      </c>
      <c r="B3684" t="s">
        <v>35</v>
      </c>
    </row>
    <row r="3685" spans="1:2" x14ac:dyDescent="0.35">
      <c r="A3685">
        <v>159</v>
      </c>
      <c r="B3685">
        <v>0.60599999999999998</v>
      </c>
    </row>
    <row r="3686" spans="1:2" x14ac:dyDescent="0.35">
      <c r="A3686">
        <v>159</v>
      </c>
      <c r="B3686" t="s">
        <v>36</v>
      </c>
    </row>
    <row r="3687" spans="1:2" x14ac:dyDescent="0.35">
      <c r="A3687">
        <v>159</v>
      </c>
      <c r="B3687">
        <v>0.36699999999999999</v>
      </c>
    </row>
    <row r="3688" spans="1:2" x14ac:dyDescent="0.35">
      <c r="A3688">
        <v>159</v>
      </c>
      <c r="B3688" t="s">
        <v>37</v>
      </c>
    </row>
    <row r="3689" spans="1:2" x14ac:dyDescent="0.35">
      <c r="A3689">
        <v>159</v>
      </c>
      <c r="B3689">
        <v>-0.48199999999999998</v>
      </c>
    </row>
    <row r="3690" spans="1:2" x14ac:dyDescent="0.35">
      <c r="A3690">
        <v>159</v>
      </c>
      <c r="B3690" t="s">
        <v>38</v>
      </c>
    </row>
    <row r="3691" spans="1:2" x14ac:dyDescent="0.35">
      <c r="A3691">
        <v>159</v>
      </c>
      <c r="B3691">
        <v>0.59299999999999997</v>
      </c>
    </row>
    <row r="3692" spans="1:2" x14ac:dyDescent="0.35">
      <c r="A3692">
        <v>159</v>
      </c>
      <c r="B3692" t="s">
        <v>39</v>
      </c>
    </row>
    <row r="3693" spans="1:2" x14ac:dyDescent="0.35">
      <c r="A3693">
        <v>159</v>
      </c>
      <c r="B3693">
        <v>-0.10299999999999999</v>
      </c>
    </row>
    <row r="3694" spans="1:2" x14ac:dyDescent="0.35">
      <c r="A3694">
        <v>159</v>
      </c>
      <c r="B3694" t="s">
        <v>40</v>
      </c>
    </row>
    <row r="3695" spans="1:2" x14ac:dyDescent="0.35">
      <c r="A3695">
        <v>159</v>
      </c>
      <c r="B3695" s="4">
        <v>0</v>
      </c>
    </row>
    <row r="3696" spans="1:2" x14ac:dyDescent="0.35">
      <c r="A3696">
        <v>159</v>
      </c>
      <c r="B3696" t="s">
        <v>41</v>
      </c>
    </row>
    <row r="3697" spans="1:2" x14ac:dyDescent="0.35">
      <c r="A3697">
        <v>159</v>
      </c>
      <c r="B3697" s="4">
        <v>19000000</v>
      </c>
    </row>
    <row r="3698" spans="1:2" x14ac:dyDescent="0.35">
      <c r="A3698">
        <v>159</v>
      </c>
      <c r="B3698" t="s">
        <v>42</v>
      </c>
    </row>
    <row r="3699" spans="1:2" x14ac:dyDescent="0.35">
      <c r="A3699">
        <v>159</v>
      </c>
      <c r="B3699" t="s">
        <v>44</v>
      </c>
    </row>
    <row r="3700" spans="1:2" x14ac:dyDescent="0.35">
      <c r="A3700">
        <v>158</v>
      </c>
      <c r="B3700" t="s">
        <v>27</v>
      </c>
    </row>
    <row r="3701" spans="1:2" x14ac:dyDescent="0.35">
      <c r="A3701">
        <v>158</v>
      </c>
      <c r="B3701" s="2">
        <v>9.3880000000000005E-2</v>
      </c>
    </row>
    <row r="3702" spans="1:2" x14ac:dyDescent="0.35">
      <c r="A3702">
        <v>158</v>
      </c>
      <c r="B3702" t="s">
        <v>1</v>
      </c>
    </row>
    <row r="3703" spans="1:2" x14ac:dyDescent="0.35">
      <c r="A3703">
        <v>158</v>
      </c>
      <c r="B3703">
        <v>-0.36699999999999999</v>
      </c>
    </row>
    <row r="3704" spans="1:2" x14ac:dyDescent="0.35">
      <c r="A3704">
        <v>158</v>
      </c>
      <c r="B3704" t="s">
        <v>28</v>
      </c>
    </row>
    <row r="3705" spans="1:2" x14ac:dyDescent="0.35">
      <c r="A3705">
        <v>158</v>
      </c>
      <c r="B3705">
        <v>459</v>
      </c>
    </row>
    <row r="3706" spans="1:2" x14ac:dyDescent="0.35">
      <c r="A3706">
        <v>158</v>
      </c>
      <c r="B3706" t="s">
        <v>25</v>
      </c>
    </row>
    <row r="3707" spans="1:2" x14ac:dyDescent="0.35">
      <c r="A3707">
        <v>158</v>
      </c>
      <c r="B3707" s="2">
        <v>4.1099999999999998E-2</v>
      </c>
    </row>
    <row r="3708" spans="1:2" x14ac:dyDescent="0.35">
      <c r="A3708">
        <v>158</v>
      </c>
      <c r="B3708" t="s">
        <v>29</v>
      </c>
    </row>
    <row r="3709" spans="1:2" x14ac:dyDescent="0.35">
      <c r="A3709">
        <v>158</v>
      </c>
      <c r="B3709" s="2">
        <v>-7.9299999999999995E-2</v>
      </c>
    </row>
    <row r="3710" spans="1:2" x14ac:dyDescent="0.35">
      <c r="A3710">
        <v>158</v>
      </c>
      <c r="B3710" t="s">
        <v>30</v>
      </c>
    </row>
    <row r="3711" spans="1:2" x14ac:dyDescent="0.35">
      <c r="A3711">
        <v>158</v>
      </c>
      <c r="B3711" s="2">
        <v>-0.46013999999999999</v>
      </c>
    </row>
    <row r="3712" spans="1:2" x14ac:dyDescent="0.35">
      <c r="A3712">
        <v>158</v>
      </c>
      <c r="B3712" t="s">
        <v>8</v>
      </c>
    </row>
    <row r="3713" spans="1:2" x14ac:dyDescent="0.35">
      <c r="A3713">
        <v>158</v>
      </c>
      <c r="B3713" s="2">
        <v>0.59299999999999997</v>
      </c>
    </row>
    <row r="3714" spans="1:2" x14ac:dyDescent="0.35">
      <c r="A3714">
        <v>158</v>
      </c>
      <c r="B3714" t="s">
        <v>31</v>
      </c>
    </row>
    <row r="3715" spans="1:2" x14ac:dyDescent="0.35">
      <c r="A3715">
        <v>158</v>
      </c>
      <c r="B3715">
        <v>-0.29099999999999998</v>
      </c>
    </row>
    <row r="3716" spans="1:2" x14ac:dyDescent="0.35">
      <c r="A3716">
        <v>158</v>
      </c>
      <c r="B3716" t="s">
        <v>32</v>
      </c>
    </row>
    <row r="3717" spans="1:2" x14ac:dyDescent="0.35">
      <c r="A3717">
        <v>158</v>
      </c>
      <c r="B3717" s="2">
        <v>-0.32754</v>
      </c>
    </row>
    <row r="3718" spans="1:2" x14ac:dyDescent="0.35">
      <c r="A3718">
        <v>158</v>
      </c>
      <c r="B3718" t="s">
        <v>33</v>
      </c>
    </row>
    <row r="3719" spans="1:2" x14ac:dyDescent="0.35">
      <c r="A3719">
        <v>158</v>
      </c>
      <c r="B3719" s="3">
        <v>0.53</v>
      </c>
    </row>
    <row r="3720" spans="1:2" x14ac:dyDescent="0.35">
      <c r="A3720">
        <v>158</v>
      </c>
      <c r="B3720" t="s">
        <v>34</v>
      </c>
    </row>
    <row r="3721" spans="1:2" x14ac:dyDescent="0.35">
      <c r="A3721">
        <v>158</v>
      </c>
      <c r="B3721" s="3">
        <v>0.47</v>
      </c>
    </row>
    <row r="3722" spans="1:2" x14ac:dyDescent="0.35">
      <c r="A3722">
        <v>158</v>
      </c>
      <c r="B3722" t="s">
        <v>26</v>
      </c>
    </row>
    <row r="3723" spans="1:2" x14ac:dyDescent="0.35">
      <c r="A3723">
        <v>158</v>
      </c>
      <c r="B3723">
        <v>0.52</v>
      </c>
    </row>
    <row r="3724" spans="1:2" x14ac:dyDescent="0.35">
      <c r="A3724">
        <v>158</v>
      </c>
      <c r="B3724" t="s">
        <v>23</v>
      </c>
    </row>
    <row r="3725" spans="1:2" x14ac:dyDescent="0.35">
      <c r="A3725">
        <v>158</v>
      </c>
      <c r="B3725">
        <v>-0.36</v>
      </c>
    </row>
    <row r="3726" spans="1:2" x14ac:dyDescent="0.35">
      <c r="A3726">
        <v>158</v>
      </c>
      <c r="B3726" t="s">
        <v>24</v>
      </c>
    </row>
    <row r="3727" spans="1:2" x14ac:dyDescent="0.35">
      <c r="A3727">
        <v>158</v>
      </c>
      <c r="B3727">
        <v>2.1549999999999998</v>
      </c>
    </row>
    <row r="3728" spans="1:2" x14ac:dyDescent="0.35">
      <c r="A3728">
        <v>158</v>
      </c>
      <c r="B3728" t="s">
        <v>35</v>
      </c>
    </row>
    <row r="3729" spans="1:2" x14ac:dyDescent="0.35">
      <c r="A3729">
        <v>158</v>
      </c>
      <c r="B3729">
        <v>0.60599999999999998</v>
      </c>
    </row>
    <row r="3730" spans="1:2" x14ac:dyDescent="0.35">
      <c r="A3730">
        <v>158</v>
      </c>
      <c r="B3730" t="s">
        <v>36</v>
      </c>
    </row>
    <row r="3731" spans="1:2" x14ac:dyDescent="0.35">
      <c r="A3731">
        <v>158</v>
      </c>
      <c r="B3731">
        <v>0.36699999999999999</v>
      </c>
    </row>
    <row r="3732" spans="1:2" x14ac:dyDescent="0.35">
      <c r="A3732">
        <v>158</v>
      </c>
      <c r="B3732" t="s">
        <v>37</v>
      </c>
    </row>
    <row r="3733" spans="1:2" x14ac:dyDescent="0.35">
      <c r="A3733">
        <v>158</v>
      </c>
      <c r="B3733">
        <v>-0.48199999999999998</v>
      </c>
    </row>
    <row r="3734" spans="1:2" x14ac:dyDescent="0.35">
      <c r="A3734">
        <v>158</v>
      </c>
      <c r="B3734" t="s">
        <v>38</v>
      </c>
    </row>
    <row r="3735" spans="1:2" x14ac:dyDescent="0.35">
      <c r="A3735">
        <v>158</v>
      </c>
      <c r="B3735">
        <v>0.59299999999999997</v>
      </c>
    </row>
    <row r="3736" spans="1:2" x14ac:dyDescent="0.35">
      <c r="A3736">
        <v>158</v>
      </c>
      <c r="B3736" t="s">
        <v>39</v>
      </c>
    </row>
    <row r="3737" spans="1:2" x14ac:dyDescent="0.35">
      <c r="A3737">
        <v>158</v>
      </c>
      <c r="B3737">
        <v>-0.10299999999999999</v>
      </c>
    </row>
    <row r="3738" spans="1:2" x14ac:dyDescent="0.35">
      <c r="A3738">
        <v>158</v>
      </c>
      <c r="B3738" t="s">
        <v>40</v>
      </c>
    </row>
    <row r="3739" spans="1:2" x14ac:dyDescent="0.35">
      <c r="A3739">
        <v>158</v>
      </c>
      <c r="B3739" s="4">
        <v>0</v>
      </c>
    </row>
    <row r="3740" spans="1:2" x14ac:dyDescent="0.35">
      <c r="A3740">
        <v>158</v>
      </c>
      <c r="B3740" t="s">
        <v>41</v>
      </c>
    </row>
    <row r="3741" spans="1:2" x14ac:dyDescent="0.35">
      <c r="A3741">
        <v>158</v>
      </c>
      <c r="B3741" s="4">
        <v>19000000</v>
      </c>
    </row>
    <row r="3742" spans="1:2" x14ac:dyDescent="0.35">
      <c r="A3742">
        <v>158</v>
      </c>
      <c r="B3742" t="s">
        <v>42</v>
      </c>
    </row>
    <row r="3743" spans="1:2" x14ac:dyDescent="0.35">
      <c r="A3743">
        <v>158</v>
      </c>
      <c r="B3743" t="s">
        <v>44</v>
      </c>
    </row>
    <row r="3744" spans="1:2" x14ac:dyDescent="0.35">
      <c r="A3744">
        <v>157</v>
      </c>
      <c r="B3744" t="s">
        <v>27</v>
      </c>
    </row>
    <row r="3745" spans="1:2" x14ac:dyDescent="0.35">
      <c r="A3745">
        <v>157</v>
      </c>
      <c r="B3745" s="2">
        <v>9.3880000000000005E-2</v>
      </c>
    </row>
    <row r="3746" spans="1:2" x14ac:dyDescent="0.35">
      <c r="A3746">
        <v>157</v>
      </c>
      <c r="B3746" t="s">
        <v>1</v>
      </c>
    </row>
    <row r="3747" spans="1:2" x14ac:dyDescent="0.35">
      <c r="A3747">
        <v>157</v>
      </c>
      <c r="B3747">
        <v>-0.36699999999999999</v>
      </c>
    </row>
    <row r="3748" spans="1:2" x14ac:dyDescent="0.35">
      <c r="A3748">
        <v>157</v>
      </c>
      <c r="B3748" t="s">
        <v>28</v>
      </c>
    </row>
    <row r="3749" spans="1:2" x14ac:dyDescent="0.35">
      <c r="A3749">
        <v>157</v>
      </c>
      <c r="B3749">
        <v>459</v>
      </c>
    </row>
    <row r="3750" spans="1:2" x14ac:dyDescent="0.35">
      <c r="A3750">
        <v>157</v>
      </c>
      <c r="B3750" t="s">
        <v>25</v>
      </c>
    </row>
    <row r="3751" spans="1:2" x14ac:dyDescent="0.35">
      <c r="A3751">
        <v>157</v>
      </c>
      <c r="B3751" s="2">
        <v>4.1099999999999998E-2</v>
      </c>
    </row>
    <row r="3752" spans="1:2" x14ac:dyDescent="0.35">
      <c r="A3752">
        <v>157</v>
      </c>
      <c r="B3752" t="s">
        <v>29</v>
      </c>
    </row>
    <row r="3753" spans="1:2" x14ac:dyDescent="0.35">
      <c r="A3753">
        <v>157</v>
      </c>
      <c r="B3753" s="2">
        <v>-7.9299999999999995E-2</v>
      </c>
    </row>
    <row r="3754" spans="1:2" x14ac:dyDescent="0.35">
      <c r="A3754">
        <v>157</v>
      </c>
      <c r="B3754" t="s">
        <v>30</v>
      </c>
    </row>
    <row r="3755" spans="1:2" x14ac:dyDescent="0.35">
      <c r="A3755">
        <v>157</v>
      </c>
      <c r="B3755" s="2">
        <v>-0.46013999999999999</v>
      </c>
    </row>
    <row r="3756" spans="1:2" x14ac:dyDescent="0.35">
      <c r="A3756">
        <v>157</v>
      </c>
      <c r="B3756" t="s">
        <v>8</v>
      </c>
    </row>
    <row r="3757" spans="1:2" x14ac:dyDescent="0.35">
      <c r="A3757">
        <v>157</v>
      </c>
      <c r="B3757" s="2">
        <v>0.59299999999999997</v>
      </c>
    </row>
    <row r="3758" spans="1:2" x14ac:dyDescent="0.35">
      <c r="A3758">
        <v>157</v>
      </c>
      <c r="B3758" t="s">
        <v>31</v>
      </c>
    </row>
    <row r="3759" spans="1:2" x14ac:dyDescent="0.35">
      <c r="A3759">
        <v>157</v>
      </c>
      <c r="B3759">
        <v>-0.29099999999999998</v>
      </c>
    </row>
    <row r="3760" spans="1:2" x14ac:dyDescent="0.35">
      <c r="A3760">
        <v>157</v>
      </c>
      <c r="B3760" t="s">
        <v>32</v>
      </c>
    </row>
    <row r="3761" spans="1:2" x14ac:dyDescent="0.35">
      <c r="A3761">
        <v>157</v>
      </c>
      <c r="B3761" s="2">
        <v>-0.32754</v>
      </c>
    </row>
    <row r="3762" spans="1:2" x14ac:dyDescent="0.35">
      <c r="A3762">
        <v>157</v>
      </c>
      <c r="B3762" t="s">
        <v>33</v>
      </c>
    </row>
    <row r="3763" spans="1:2" x14ac:dyDescent="0.35">
      <c r="A3763">
        <v>157</v>
      </c>
      <c r="B3763" s="3">
        <v>0.53</v>
      </c>
    </row>
    <row r="3764" spans="1:2" x14ac:dyDescent="0.35">
      <c r="A3764">
        <v>157</v>
      </c>
      <c r="B3764" t="s">
        <v>34</v>
      </c>
    </row>
    <row r="3765" spans="1:2" x14ac:dyDescent="0.35">
      <c r="A3765">
        <v>157</v>
      </c>
      <c r="B3765" s="3">
        <v>0.47</v>
      </c>
    </row>
    <row r="3766" spans="1:2" x14ac:dyDescent="0.35">
      <c r="A3766">
        <v>157</v>
      </c>
      <c r="B3766" t="s">
        <v>26</v>
      </c>
    </row>
    <row r="3767" spans="1:2" x14ac:dyDescent="0.35">
      <c r="A3767">
        <v>157</v>
      </c>
      <c r="B3767">
        <v>0.52</v>
      </c>
    </row>
    <row r="3768" spans="1:2" x14ac:dyDescent="0.35">
      <c r="A3768">
        <v>157</v>
      </c>
      <c r="B3768" t="s">
        <v>23</v>
      </c>
    </row>
    <row r="3769" spans="1:2" x14ac:dyDescent="0.35">
      <c r="A3769">
        <v>157</v>
      </c>
      <c r="B3769">
        <v>-0.36</v>
      </c>
    </row>
    <row r="3770" spans="1:2" x14ac:dyDescent="0.35">
      <c r="A3770">
        <v>157</v>
      </c>
      <c r="B3770" t="s">
        <v>24</v>
      </c>
    </row>
    <row r="3771" spans="1:2" x14ac:dyDescent="0.35">
      <c r="A3771">
        <v>157</v>
      </c>
      <c r="B3771">
        <v>2.1549999999999998</v>
      </c>
    </row>
    <row r="3772" spans="1:2" x14ac:dyDescent="0.35">
      <c r="A3772">
        <v>157</v>
      </c>
      <c r="B3772" t="s">
        <v>35</v>
      </c>
    </row>
    <row r="3773" spans="1:2" x14ac:dyDescent="0.35">
      <c r="A3773">
        <v>157</v>
      </c>
      <c r="B3773">
        <v>0.60599999999999998</v>
      </c>
    </row>
    <row r="3774" spans="1:2" x14ac:dyDescent="0.35">
      <c r="A3774">
        <v>157</v>
      </c>
      <c r="B3774" t="s">
        <v>36</v>
      </c>
    </row>
    <row r="3775" spans="1:2" x14ac:dyDescent="0.35">
      <c r="A3775">
        <v>157</v>
      </c>
      <c r="B3775">
        <v>0.36699999999999999</v>
      </c>
    </row>
    <row r="3776" spans="1:2" x14ac:dyDescent="0.35">
      <c r="A3776">
        <v>157</v>
      </c>
      <c r="B3776" t="s">
        <v>37</v>
      </c>
    </row>
    <row r="3777" spans="1:2" x14ac:dyDescent="0.35">
      <c r="A3777">
        <v>157</v>
      </c>
      <c r="B3777">
        <v>-0.48199999999999998</v>
      </c>
    </row>
    <row r="3778" spans="1:2" x14ac:dyDescent="0.35">
      <c r="A3778">
        <v>157</v>
      </c>
      <c r="B3778" t="s">
        <v>38</v>
      </c>
    </row>
    <row r="3779" spans="1:2" x14ac:dyDescent="0.35">
      <c r="A3779">
        <v>157</v>
      </c>
      <c r="B3779">
        <v>0.59299999999999997</v>
      </c>
    </row>
    <row r="3780" spans="1:2" x14ac:dyDescent="0.35">
      <c r="A3780">
        <v>157</v>
      </c>
      <c r="B3780" t="s">
        <v>39</v>
      </c>
    </row>
    <row r="3781" spans="1:2" x14ac:dyDescent="0.35">
      <c r="A3781">
        <v>157</v>
      </c>
      <c r="B3781">
        <v>-0.10299999999999999</v>
      </c>
    </row>
    <row r="3782" spans="1:2" x14ac:dyDescent="0.35">
      <c r="A3782">
        <v>157</v>
      </c>
      <c r="B3782" t="s">
        <v>40</v>
      </c>
    </row>
    <row r="3783" spans="1:2" x14ac:dyDescent="0.35">
      <c r="A3783">
        <v>157</v>
      </c>
      <c r="B3783" s="4">
        <v>0</v>
      </c>
    </row>
    <row r="3784" spans="1:2" x14ac:dyDescent="0.35">
      <c r="A3784">
        <v>157</v>
      </c>
      <c r="B3784" t="s">
        <v>41</v>
      </c>
    </row>
    <row r="3785" spans="1:2" x14ac:dyDescent="0.35">
      <c r="A3785">
        <v>157</v>
      </c>
      <c r="B3785" s="4">
        <v>19000000</v>
      </c>
    </row>
    <row r="3786" spans="1:2" x14ac:dyDescent="0.35">
      <c r="A3786">
        <v>157</v>
      </c>
      <c r="B3786" t="s">
        <v>42</v>
      </c>
    </row>
    <row r="3787" spans="1:2" x14ac:dyDescent="0.35">
      <c r="A3787">
        <v>157</v>
      </c>
      <c r="B3787" t="s">
        <v>44</v>
      </c>
    </row>
    <row r="3788" spans="1:2" x14ac:dyDescent="0.35">
      <c r="A3788">
        <v>156</v>
      </c>
      <c r="B3788" t="s">
        <v>27</v>
      </c>
    </row>
    <row r="3789" spans="1:2" x14ac:dyDescent="0.35">
      <c r="A3789">
        <v>156</v>
      </c>
      <c r="B3789" s="2">
        <v>9.3880000000000005E-2</v>
      </c>
    </row>
    <row r="3790" spans="1:2" x14ac:dyDescent="0.35">
      <c r="A3790">
        <v>156</v>
      </c>
      <c r="B3790" t="s">
        <v>1</v>
      </c>
    </row>
    <row r="3791" spans="1:2" x14ac:dyDescent="0.35">
      <c r="A3791">
        <v>156</v>
      </c>
      <c r="B3791">
        <v>-0.36699999999999999</v>
      </c>
    </row>
    <row r="3792" spans="1:2" x14ac:dyDescent="0.35">
      <c r="A3792">
        <v>156</v>
      </c>
      <c r="B3792" t="s">
        <v>28</v>
      </c>
    </row>
    <row r="3793" spans="1:2" x14ac:dyDescent="0.35">
      <c r="A3793">
        <v>156</v>
      </c>
      <c r="B3793">
        <v>459</v>
      </c>
    </row>
    <row r="3794" spans="1:2" x14ac:dyDescent="0.35">
      <c r="A3794">
        <v>156</v>
      </c>
      <c r="B3794" t="s">
        <v>25</v>
      </c>
    </row>
    <row r="3795" spans="1:2" x14ac:dyDescent="0.35">
      <c r="A3795">
        <v>156</v>
      </c>
      <c r="B3795" s="2">
        <v>4.1099999999999998E-2</v>
      </c>
    </row>
    <row r="3796" spans="1:2" x14ac:dyDescent="0.35">
      <c r="A3796">
        <v>156</v>
      </c>
      <c r="B3796" t="s">
        <v>29</v>
      </c>
    </row>
    <row r="3797" spans="1:2" x14ac:dyDescent="0.35">
      <c r="A3797">
        <v>156</v>
      </c>
      <c r="B3797" s="2">
        <v>-7.9299999999999995E-2</v>
      </c>
    </row>
    <row r="3798" spans="1:2" x14ac:dyDescent="0.35">
      <c r="A3798">
        <v>156</v>
      </c>
      <c r="B3798" t="s">
        <v>30</v>
      </c>
    </row>
    <row r="3799" spans="1:2" x14ac:dyDescent="0.35">
      <c r="A3799">
        <v>156</v>
      </c>
      <c r="B3799" s="2">
        <v>-0.46013999999999999</v>
      </c>
    </row>
    <row r="3800" spans="1:2" x14ac:dyDescent="0.35">
      <c r="A3800">
        <v>156</v>
      </c>
      <c r="B3800" t="s">
        <v>8</v>
      </c>
    </row>
    <row r="3801" spans="1:2" x14ac:dyDescent="0.35">
      <c r="A3801">
        <v>156</v>
      </c>
      <c r="B3801" s="2">
        <v>0.59299999999999997</v>
      </c>
    </row>
    <row r="3802" spans="1:2" x14ac:dyDescent="0.35">
      <c r="A3802">
        <v>156</v>
      </c>
      <c r="B3802" t="s">
        <v>31</v>
      </c>
    </row>
    <row r="3803" spans="1:2" x14ac:dyDescent="0.35">
      <c r="A3803">
        <v>156</v>
      </c>
      <c r="B3803">
        <v>-0.29099999999999998</v>
      </c>
    </row>
    <row r="3804" spans="1:2" x14ac:dyDescent="0.35">
      <c r="A3804">
        <v>156</v>
      </c>
      <c r="B3804" t="s">
        <v>32</v>
      </c>
    </row>
    <row r="3805" spans="1:2" x14ac:dyDescent="0.35">
      <c r="A3805">
        <v>156</v>
      </c>
      <c r="B3805" s="2">
        <v>-0.32754</v>
      </c>
    </row>
    <row r="3806" spans="1:2" x14ac:dyDescent="0.35">
      <c r="A3806">
        <v>156</v>
      </c>
      <c r="B3806" t="s">
        <v>33</v>
      </c>
    </row>
    <row r="3807" spans="1:2" x14ac:dyDescent="0.35">
      <c r="A3807">
        <v>156</v>
      </c>
      <c r="B3807" s="3">
        <v>0.53</v>
      </c>
    </row>
    <row r="3808" spans="1:2" x14ac:dyDescent="0.35">
      <c r="A3808">
        <v>156</v>
      </c>
      <c r="B3808" t="s">
        <v>34</v>
      </c>
    </row>
    <row r="3809" spans="1:2" x14ac:dyDescent="0.35">
      <c r="A3809">
        <v>156</v>
      </c>
      <c r="B3809" s="3">
        <v>0.47</v>
      </c>
    </row>
    <row r="3810" spans="1:2" x14ac:dyDescent="0.35">
      <c r="A3810">
        <v>156</v>
      </c>
      <c r="B3810" t="s">
        <v>26</v>
      </c>
    </row>
    <row r="3811" spans="1:2" x14ac:dyDescent="0.35">
      <c r="A3811">
        <v>156</v>
      </c>
      <c r="B3811">
        <v>0.52</v>
      </c>
    </row>
    <row r="3812" spans="1:2" x14ac:dyDescent="0.35">
      <c r="A3812">
        <v>156</v>
      </c>
      <c r="B3812" t="s">
        <v>23</v>
      </c>
    </row>
    <row r="3813" spans="1:2" x14ac:dyDescent="0.35">
      <c r="A3813">
        <v>156</v>
      </c>
      <c r="B3813">
        <v>-0.36</v>
      </c>
    </row>
    <row r="3814" spans="1:2" x14ac:dyDescent="0.35">
      <c r="A3814">
        <v>156</v>
      </c>
      <c r="B3814" t="s">
        <v>24</v>
      </c>
    </row>
    <row r="3815" spans="1:2" x14ac:dyDescent="0.35">
      <c r="A3815">
        <v>156</v>
      </c>
      <c r="B3815">
        <v>2.1549999999999998</v>
      </c>
    </row>
    <row r="3816" spans="1:2" x14ac:dyDescent="0.35">
      <c r="A3816">
        <v>156</v>
      </c>
      <c r="B3816" t="s">
        <v>35</v>
      </c>
    </row>
    <row r="3817" spans="1:2" x14ac:dyDescent="0.35">
      <c r="A3817">
        <v>156</v>
      </c>
      <c r="B3817">
        <v>0.60599999999999998</v>
      </c>
    </row>
    <row r="3818" spans="1:2" x14ac:dyDescent="0.35">
      <c r="A3818">
        <v>156</v>
      </c>
      <c r="B3818" t="s">
        <v>36</v>
      </c>
    </row>
    <row r="3819" spans="1:2" x14ac:dyDescent="0.35">
      <c r="A3819">
        <v>156</v>
      </c>
      <c r="B3819">
        <v>0.36699999999999999</v>
      </c>
    </row>
    <row r="3820" spans="1:2" x14ac:dyDescent="0.35">
      <c r="A3820">
        <v>156</v>
      </c>
      <c r="B3820" t="s">
        <v>37</v>
      </c>
    </row>
    <row r="3821" spans="1:2" x14ac:dyDescent="0.35">
      <c r="A3821">
        <v>156</v>
      </c>
      <c r="B3821">
        <v>-0.48199999999999998</v>
      </c>
    </row>
    <row r="3822" spans="1:2" x14ac:dyDescent="0.35">
      <c r="A3822">
        <v>156</v>
      </c>
      <c r="B3822" t="s">
        <v>38</v>
      </c>
    </row>
    <row r="3823" spans="1:2" x14ac:dyDescent="0.35">
      <c r="A3823">
        <v>156</v>
      </c>
      <c r="B3823">
        <v>0.59299999999999997</v>
      </c>
    </row>
    <row r="3824" spans="1:2" x14ac:dyDescent="0.35">
      <c r="A3824">
        <v>156</v>
      </c>
      <c r="B3824" t="s">
        <v>39</v>
      </c>
    </row>
    <row r="3825" spans="1:2" x14ac:dyDescent="0.35">
      <c r="A3825">
        <v>156</v>
      </c>
      <c r="B3825">
        <v>-0.10299999999999999</v>
      </c>
    </row>
    <row r="3826" spans="1:2" x14ac:dyDescent="0.35">
      <c r="A3826">
        <v>156</v>
      </c>
      <c r="B3826" t="s">
        <v>40</v>
      </c>
    </row>
    <row r="3827" spans="1:2" x14ac:dyDescent="0.35">
      <c r="A3827">
        <v>156</v>
      </c>
      <c r="B3827" s="4">
        <v>0</v>
      </c>
    </row>
    <row r="3828" spans="1:2" x14ac:dyDescent="0.35">
      <c r="A3828">
        <v>156</v>
      </c>
      <c r="B3828" t="s">
        <v>41</v>
      </c>
    </row>
    <row r="3829" spans="1:2" x14ac:dyDescent="0.35">
      <c r="A3829">
        <v>156</v>
      </c>
      <c r="B3829" s="4">
        <v>19000000</v>
      </c>
    </row>
    <row r="3830" spans="1:2" x14ac:dyDescent="0.35">
      <c r="A3830">
        <v>156</v>
      </c>
      <c r="B3830" t="s">
        <v>42</v>
      </c>
    </row>
    <row r="3831" spans="1:2" x14ac:dyDescent="0.35">
      <c r="A3831">
        <v>156</v>
      </c>
      <c r="B3831" t="s">
        <v>44</v>
      </c>
    </row>
    <row r="3832" spans="1:2" x14ac:dyDescent="0.35">
      <c r="A3832">
        <v>155</v>
      </c>
      <c r="B3832" t="s">
        <v>27</v>
      </c>
    </row>
    <row r="3833" spans="1:2" x14ac:dyDescent="0.35">
      <c r="A3833">
        <v>155</v>
      </c>
      <c r="B3833" s="2">
        <v>9.3880000000000005E-2</v>
      </c>
    </row>
    <row r="3834" spans="1:2" x14ac:dyDescent="0.35">
      <c r="A3834">
        <v>155</v>
      </c>
      <c r="B3834" t="s">
        <v>1</v>
      </c>
    </row>
    <row r="3835" spans="1:2" x14ac:dyDescent="0.35">
      <c r="A3835">
        <v>155</v>
      </c>
      <c r="B3835">
        <v>-0.36699999999999999</v>
      </c>
    </row>
    <row r="3836" spans="1:2" x14ac:dyDescent="0.35">
      <c r="A3836">
        <v>155</v>
      </c>
      <c r="B3836" t="s">
        <v>28</v>
      </c>
    </row>
    <row r="3837" spans="1:2" x14ac:dyDescent="0.35">
      <c r="A3837">
        <v>155</v>
      </c>
      <c r="B3837">
        <v>459</v>
      </c>
    </row>
    <row r="3838" spans="1:2" x14ac:dyDescent="0.35">
      <c r="A3838">
        <v>155</v>
      </c>
      <c r="B3838" t="s">
        <v>25</v>
      </c>
    </row>
    <row r="3839" spans="1:2" x14ac:dyDescent="0.35">
      <c r="A3839">
        <v>155</v>
      </c>
      <c r="B3839" s="2">
        <v>4.1099999999999998E-2</v>
      </c>
    </row>
    <row r="3840" spans="1:2" x14ac:dyDescent="0.35">
      <c r="A3840">
        <v>155</v>
      </c>
      <c r="B3840" t="s">
        <v>29</v>
      </c>
    </row>
    <row r="3841" spans="1:2" x14ac:dyDescent="0.35">
      <c r="A3841">
        <v>155</v>
      </c>
      <c r="B3841" s="2">
        <v>-7.9299999999999995E-2</v>
      </c>
    </row>
    <row r="3842" spans="1:2" x14ac:dyDescent="0.35">
      <c r="A3842">
        <v>155</v>
      </c>
      <c r="B3842" t="s">
        <v>30</v>
      </c>
    </row>
    <row r="3843" spans="1:2" x14ac:dyDescent="0.35">
      <c r="A3843">
        <v>155</v>
      </c>
      <c r="B3843" s="2">
        <v>-0.46013999999999999</v>
      </c>
    </row>
    <row r="3844" spans="1:2" x14ac:dyDescent="0.35">
      <c r="A3844">
        <v>155</v>
      </c>
      <c r="B3844" t="s">
        <v>8</v>
      </c>
    </row>
    <row r="3845" spans="1:2" x14ac:dyDescent="0.35">
      <c r="A3845">
        <v>155</v>
      </c>
      <c r="B3845" s="2">
        <v>0.59299999999999997</v>
      </c>
    </row>
    <row r="3846" spans="1:2" x14ac:dyDescent="0.35">
      <c r="A3846">
        <v>155</v>
      </c>
      <c r="B3846" t="s">
        <v>31</v>
      </c>
    </row>
    <row r="3847" spans="1:2" x14ac:dyDescent="0.35">
      <c r="A3847">
        <v>155</v>
      </c>
      <c r="B3847">
        <v>-0.29099999999999998</v>
      </c>
    </row>
    <row r="3848" spans="1:2" x14ac:dyDescent="0.35">
      <c r="A3848">
        <v>155</v>
      </c>
      <c r="B3848" t="s">
        <v>32</v>
      </c>
    </row>
    <row r="3849" spans="1:2" x14ac:dyDescent="0.35">
      <c r="A3849">
        <v>155</v>
      </c>
      <c r="B3849" s="2">
        <v>-0.32754</v>
      </c>
    </row>
    <row r="3850" spans="1:2" x14ac:dyDescent="0.35">
      <c r="A3850">
        <v>155</v>
      </c>
      <c r="B3850" t="s">
        <v>33</v>
      </c>
    </row>
    <row r="3851" spans="1:2" x14ac:dyDescent="0.35">
      <c r="A3851">
        <v>155</v>
      </c>
      <c r="B3851" s="3">
        <v>0.53</v>
      </c>
    </row>
    <row r="3852" spans="1:2" x14ac:dyDescent="0.35">
      <c r="A3852">
        <v>155</v>
      </c>
      <c r="B3852" t="s">
        <v>34</v>
      </c>
    </row>
    <row r="3853" spans="1:2" x14ac:dyDescent="0.35">
      <c r="A3853">
        <v>155</v>
      </c>
      <c r="B3853" s="3">
        <v>0.47</v>
      </c>
    </row>
    <row r="3854" spans="1:2" x14ac:dyDescent="0.35">
      <c r="A3854">
        <v>155</v>
      </c>
      <c r="B3854" t="s">
        <v>26</v>
      </c>
    </row>
    <row r="3855" spans="1:2" x14ac:dyDescent="0.35">
      <c r="A3855">
        <v>155</v>
      </c>
      <c r="B3855">
        <v>0.52</v>
      </c>
    </row>
    <row r="3856" spans="1:2" x14ac:dyDescent="0.35">
      <c r="A3856">
        <v>155</v>
      </c>
      <c r="B3856" t="s">
        <v>23</v>
      </c>
    </row>
    <row r="3857" spans="1:2" x14ac:dyDescent="0.35">
      <c r="A3857">
        <v>155</v>
      </c>
      <c r="B3857">
        <v>-0.36</v>
      </c>
    </row>
    <row r="3858" spans="1:2" x14ac:dyDescent="0.35">
      <c r="A3858">
        <v>155</v>
      </c>
      <c r="B3858" t="s">
        <v>24</v>
      </c>
    </row>
    <row r="3859" spans="1:2" x14ac:dyDescent="0.35">
      <c r="A3859">
        <v>155</v>
      </c>
      <c r="B3859">
        <v>2.1549999999999998</v>
      </c>
    </row>
    <row r="3860" spans="1:2" x14ac:dyDescent="0.35">
      <c r="A3860">
        <v>155</v>
      </c>
      <c r="B3860" t="s">
        <v>35</v>
      </c>
    </row>
    <row r="3861" spans="1:2" x14ac:dyDescent="0.35">
      <c r="A3861">
        <v>155</v>
      </c>
      <c r="B3861">
        <v>0.60599999999999998</v>
      </c>
    </row>
    <row r="3862" spans="1:2" x14ac:dyDescent="0.35">
      <c r="A3862">
        <v>155</v>
      </c>
      <c r="B3862" t="s">
        <v>36</v>
      </c>
    </row>
    <row r="3863" spans="1:2" x14ac:dyDescent="0.35">
      <c r="A3863">
        <v>155</v>
      </c>
      <c r="B3863">
        <v>0.36699999999999999</v>
      </c>
    </row>
    <row r="3864" spans="1:2" x14ac:dyDescent="0.35">
      <c r="A3864">
        <v>155</v>
      </c>
      <c r="B3864" t="s">
        <v>37</v>
      </c>
    </row>
    <row r="3865" spans="1:2" x14ac:dyDescent="0.35">
      <c r="A3865">
        <v>155</v>
      </c>
      <c r="B3865">
        <v>-0.48199999999999998</v>
      </c>
    </row>
    <row r="3866" spans="1:2" x14ac:dyDescent="0.35">
      <c r="A3866">
        <v>155</v>
      </c>
      <c r="B3866" t="s">
        <v>38</v>
      </c>
    </row>
    <row r="3867" spans="1:2" x14ac:dyDescent="0.35">
      <c r="A3867">
        <v>155</v>
      </c>
      <c r="B3867">
        <v>0.59299999999999997</v>
      </c>
    </row>
    <row r="3868" spans="1:2" x14ac:dyDescent="0.35">
      <c r="A3868">
        <v>155</v>
      </c>
      <c r="B3868" t="s">
        <v>39</v>
      </c>
    </row>
    <row r="3869" spans="1:2" x14ac:dyDescent="0.35">
      <c r="A3869">
        <v>155</v>
      </c>
      <c r="B3869">
        <v>-0.10299999999999999</v>
      </c>
    </row>
    <row r="3870" spans="1:2" x14ac:dyDescent="0.35">
      <c r="A3870">
        <v>155</v>
      </c>
      <c r="B3870" t="s">
        <v>40</v>
      </c>
    </row>
    <row r="3871" spans="1:2" x14ac:dyDescent="0.35">
      <c r="A3871">
        <v>155</v>
      </c>
      <c r="B3871" s="4">
        <v>0</v>
      </c>
    </row>
    <row r="3872" spans="1:2" x14ac:dyDescent="0.35">
      <c r="A3872">
        <v>155</v>
      </c>
      <c r="B3872" t="s">
        <v>41</v>
      </c>
    </row>
    <row r="3873" spans="1:2" x14ac:dyDescent="0.35">
      <c r="A3873">
        <v>155</v>
      </c>
      <c r="B3873" s="4">
        <v>19000000</v>
      </c>
    </row>
    <row r="3874" spans="1:2" x14ac:dyDescent="0.35">
      <c r="A3874">
        <v>155</v>
      </c>
      <c r="B3874" t="s">
        <v>42</v>
      </c>
    </row>
    <row r="3875" spans="1:2" x14ac:dyDescent="0.35">
      <c r="A3875">
        <v>155</v>
      </c>
      <c r="B3875" t="s">
        <v>44</v>
      </c>
    </row>
    <row r="3876" spans="1:2" x14ac:dyDescent="0.35">
      <c r="A3876">
        <v>154</v>
      </c>
      <c r="B3876" t="s">
        <v>27</v>
      </c>
    </row>
    <row r="3877" spans="1:2" x14ac:dyDescent="0.35">
      <c r="A3877">
        <v>154</v>
      </c>
      <c r="B3877" s="2">
        <v>9.3880000000000005E-2</v>
      </c>
    </row>
    <row r="3878" spans="1:2" x14ac:dyDescent="0.35">
      <c r="A3878">
        <v>154</v>
      </c>
      <c r="B3878" t="s">
        <v>1</v>
      </c>
    </row>
    <row r="3879" spans="1:2" x14ac:dyDescent="0.35">
      <c r="A3879">
        <v>154</v>
      </c>
      <c r="B3879">
        <v>-0.36699999999999999</v>
      </c>
    </row>
    <row r="3880" spans="1:2" x14ac:dyDescent="0.35">
      <c r="A3880">
        <v>154</v>
      </c>
      <c r="B3880" t="s">
        <v>28</v>
      </c>
    </row>
    <row r="3881" spans="1:2" x14ac:dyDescent="0.35">
      <c r="A3881">
        <v>154</v>
      </c>
      <c r="B3881">
        <v>459</v>
      </c>
    </row>
    <row r="3882" spans="1:2" x14ac:dyDescent="0.35">
      <c r="A3882">
        <v>154</v>
      </c>
      <c r="B3882" t="s">
        <v>25</v>
      </c>
    </row>
    <row r="3883" spans="1:2" x14ac:dyDescent="0.35">
      <c r="A3883">
        <v>154</v>
      </c>
      <c r="B3883" s="2">
        <v>4.1099999999999998E-2</v>
      </c>
    </row>
    <row r="3884" spans="1:2" x14ac:dyDescent="0.35">
      <c r="A3884">
        <v>154</v>
      </c>
      <c r="B3884" t="s">
        <v>29</v>
      </c>
    </row>
    <row r="3885" spans="1:2" x14ac:dyDescent="0.35">
      <c r="A3885">
        <v>154</v>
      </c>
      <c r="B3885" s="2">
        <v>-7.9299999999999995E-2</v>
      </c>
    </row>
    <row r="3886" spans="1:2" x14ac:dyDescent="0.35">
      <c r="A3886">
        <v>154</v>
      </c>
      <c r="B3886" t="s">
        <v>30</v>
      </c>
    </row>
    <row r="3887" spans="1:2" x14ac:dyDescent="0.35">
      <c r="A3887">
        <v>154</v>
      </c>
      <c r="B3887" s="2">
        <v>-0.46013999999999999</v>
      </c>
    </row>
    <row r="3888" spans="1:2" x14ac:dyDescent="0.35">
      <c r="A3888">
        <v>154</v>
      </c>
      <c r="B3888" t="s">
        <v>8</v>
      </c>
    </row>
    <row r="3889" spans="1:2" x14ac:dyDescent="0.35">
      <c r="A3889">
        <v>154</v>
      </c>
      <c r="B3889" s="2">
        <v>0.59299999999999997</v>
      </c>
    </row>
    <row r="3890" spans="1:2" x14ac:dyDescent="0.35">
      <c r="A3890">
        <v>154</v>
      </c>
      <c r="B3890" t="s">
        <v>31</v>
      </c>
    </row>
    <row r="3891" spans="1:2" x14ac:dyDescent="0.35">
      <c r="A3891">
        <v>154</v>
      </c>
      <c r="B3891">
        <v>-0.29099999999999998</v>
      </c>
    </row>
    <row r="3892" spans="1:2" x14ac:dyDescent="0.35">
      <c r="A3892">
        <v>154</v>
      </c>
      <c r="B3892" t="s">
        <v>32</v>
      </c>
    </row>
    <row r="3893" spans="1:2" x14ac:dyDescent="0.35">
      <c r="A3893">
        <v>154</v>
      </c>
      <c r="B3893" s="2">
        <v>-0.32754</v>
      </c>
    </row>
    <row r="3894" spans="1:2" x14ac:dyDescent="0.35">
      <c r="A3894">
        <v>154</v>
      </c>
      <c r="B3894" t="s">
        <v>33</v>
      </c>
    </row>
    <row r="3895" spans="1:2" x14ac:dyDescent="0.35">
      <c r="A3895">
        <v>154</v>
      </c>
      <c r="B3895" s="3">
        <v>0.53</v>
      </c>
    </row>
    <row r="3896" spans="1:2" x14ac:dyDescent="0.35">
      <c r="A3896">
        <v>154</v>
      </c>
      <c r="B3896" t="s">
        <v>34</v>
      </c>
    </row>
    <row r="3897" spans="1:2" x14ac:dyDescent="0.35">
      <c r="A3897">
        <v>154</v>
      </c>
      <c r="B3897" s="3">
        <v>0.47</v>
      </c>
    </row>
    <row r="3898" spans="1:2" x14ac:dyDescent="0.35">
      <c r="A3898">
        <v>154</v>
      </c>
      <c r="B3898" t="s">
        <v>26</v>
      </c>
    </row>
    <row r="3899" spans="1:2" x14ac:dyDescent="0.35">
      <c r="A3899">
        <v>154</v>
      </c>
      <c r="B3899">
        <v>0.52</v>
      </c>
    </row>
    <row r="3900" spans="1:2" x14ac:dyDescent="0.35">
      <c r="A3900">
        <v>154</v>
      </c>
      <c r="B3900" t="s">
        <v>23</v>
      </c>
    </row>
    <row r="3901" spans="1:2" x14ac:dyDescent="0.35">
      <c r="A3901">
        <v>154</v>
      </c>
      <c r="B3901">
        <v>-0.36</v>
      </c>
    </row>
    <row r="3902" spans="1:2" x14ac:dyDescent="0.35">
      <c r="A3902">
        <v>154</v>
      </c>
      <c r="B3902" t="s">
        <v>24</v>
      </c>
    </row>
    <row r="3903" spans="1:2" x14ac:dyDescent="0.35">
      <c r="A3903">
        <v>154</v>
      </c>
      <c r="B3903">
        <v>2.1549999999999998</v>
      </c>
    </row>
    <row r="3904" spans="1:2" x14ac:dyDescent="0.35">
      <c r="A3904">
        <v>154</v>
      </c>
      <c r="B3904" t="s">
        <v>35</v>
      </c>
    </row>
    <row r="3905" spans="1:2" x14ac:dyDescent="0.35">
      <c r="A3905">
        <v>154</v>
      </c>
      <c r="B3905">
        <v>0.60599999999999998</v>
      </c>
    </row>
    <row r="3906" spans="1:2" x14ac:dyDescent="0.35">
      <c r="A3906">
        <v>154</v>
      </c>
      <c r="B3906" t="s">
        <v>36</v>
      </c>
    </row>
    <row r="3907" spans="1:2" x14ac:dyDescent="0.35">
      <c r="A3907">
        <v>154</v>
      </c>
      <c r="B3907">
        <v>0.36699999999999999</v>
      </c>
    </row>
    <row r="3908" spans="1:2" x14ac:dyDescent="0.35">
      <c r="A3908">
        <v>154</v>
      </c>
      <c r="B3908" t="s">
        <v>37</v>
      </c>
    </row>
    <row r="3909" spans="1:2" x14ac:dyDescent="0.35">
      <c r="A3909">
        <v>154</v>
      </c>
      <c r="B3909">
        <v>-0.48199999999999998</v>
      </c>
    </row>
    <row r="3910" spans="1:2" x14ac:dyDescent="0.35">
      <c r="A3910">
        <v>154</v>
      </c>
      <c r="B3910" t="s">
        <v>38</v>
      </c>
    </row>
    <row r="3911" spans="1:2" x14ac:dyDescent="0.35">
      <c r="A3911">
        <v>154</v>
      </c>
      <c r="B3911">
        <v>0.59299999999999997</v>
      </c>
    </row>
    <row r="3912" spans="1:2" x14ac:dyDescent="0.35">
      <c r="A3912">
        <v>154</v>
      </c>
      <c r="B3912" t="s">
        <v>39</v>
      </c>
    </row>
    <row r="3913" spans="1:2" x14ac:dyDescent="0.35">
      <c r="A3913">
        <v>154</v>
      </c>
      <c r="B3913">
        <v>-0.10299999999999999</v>
      </c>
    </row>
    <row r="3914" spans="1:2" x14ac:dyDescent="0.35">
      <c r="A3914">
        <v>154</v>
      </c>
      <c r="B3914" t="s">
        <v>40</v>
      </c>
    </row>
    <row r="3915" spans="1:2" x14ac:dyDescent="0.35">
      <c r="A3915">
        <v>154</v>
      </c>
      <c r="B3915" s="4">
        <v>0</v>
      </c>
    </row>
    <row r="3916" spans="1:2" x14ac:dyDescent="0.35">
      <c r="A3916">
        <v>154</v>
      </c>
      <c r="B3916" t="s">
        <v>41</v>
      </c>
    </row>
    <row r="3917" spans="1:2" x14ac:dyDescent="0.35">
      <c r="A3917">
        <v>154</v>
      </c>
      <c r="B3917" s="4">
        <v>19000000</v>
      </c>
    </row>
    <row r="3918" spans="1:2" x14ac:dyDescent="0.35">
      <c r="A3918">
        <v>154</v>
      </c>
      <c r="B3918" t="s">
        <v>42</v>
      </c>
    </row>
    <row r="3919" spans="1:2" x14ac:dyDescent="0.35">
      <c r="A3919">
        <v>154</v>
      </c>
      <c r="B3919" t="s">
        <v>44</v>
      </c>
    </row>
    <row r="3920" spans="1:2" x14ac:dyDescent="0.35">
      <c r="A3920">
        <v>153</v>
      </c>
      <c r="B3920" t="s">
        <v>27</v>
      </c>
    </row>
    <row r="3921" spans="1:2" x14ac:dyDescent="0.35">
      <c r="A3921">
        <v>153</v>
      </c>
      <c r="B3921" s="2">
        <v>9.3880000000000005E-2</v>
      </c>
    </row>
    <row r="3922" spans="1:2" x14ac:dyDescent="0.35">
      <c r="A3922">
        <v>153</v>
      </c>
      <c r="B3922" t="s">
        <v>1</v>
      </c>
    </row>
    <row r="3923" spans="1:2" x14ac:dyDescent="0.35">
      <c r="A3923">
        <v>153</v>
      </c>
      <c r="B3923">
        <v>-0.36699999999999999</v>
      </c>
    </row>
    <row r="3924" spans="1:2" x14ac:dyDescent="0.35">
      <c r="A3924">
        <v>153</v>
      </c>
      <c r="B3924" t="s">
        <v>28</v>
      </c>
    </row>
    <row r="3925" spans="1:2" x14ac:dyDescent="0.35">
      <c r="A3925">
        <v>153</v>
      </c>
      <c r="B3925">
        <v>459</v>
      </c>
    </row>
    <row r="3926" spans="1:2" x14ac:dyDescent="0.35">
      <c r="A3926">
        <v>153</v>
      </c>
      <c r="B3926" t="s">
        <v>25</v>
      </c>
    </row>
    <row r="3927" spans="1:2" x14ac:dyDescent="0.35">
      <c r="A3927">
        <v>153</v>
      </c>
      <c r="B3927" s="2">
        <v>4.1099999999999998E-2</v>
      </c>
    </row>
    <row r="3928" spans="1:2" x14ac:dyDescent="0.35">
      <c r="A3928">
        <v>153</v>
      </c>
      <c r="B3928" t="s">
        <v>29</v>
      </c>
    </row>
    <row r="3929" spans="1:2" x14ac:dyDescent="0.35">
      <c r="A3929">
        <v>153</v>
      </c>
      <c r="B3929" s="2">
        <v>-7.9299999999999995E-2</v>
      </c>
    </row>
    <row r="3930" spans="1:2" x14ac:dyDescent="0.35">
      <c r="A3930">
        <v>153</v>
      </c>
      <c r="B3930" t="s">
        <v>30</v>
      </c>
    </row>
    <row r="3931" spans="1:2" x14ac:dyDescent="0.35">
      <c r="A3931">
        <v>153</v>
      </c>
      <c r="B3931" s="2">
        <v>-0.46013999999999999</v>
      </c>
    </row>
    <row r="3932" spans="1:2" x14ac:dyDescent="0.35">
      <c r="A3932">
        <v>153</v>
      </c>
      <c r="B3932" t="s">
        <v>8</v>
      </c>
    </row>
    <row r="3933" spans="1:2" x14ac:dyDescent="0.35">
      <c r="A3933">
        <v>153</v>
      </c>
      <c r="B3933" s="2">
        <v>0.59299999999999997</v>
      </c>
    </row>
    <row r="3934" spans="1:2" x14ac:dyDescent="0.35">
      <c r="A3934">
        <v>153</v>
      </c>
      <c r="B3934" t="s">
        <v>31</v>
      </c>
    </row>
    <row r="3935" spans="1:2" x14ac:dyDescent="0.35">
      <c r="A3935">
        <v>153</v>
      </c>
      <c r="B3935">
        <v>-0.29099999999999998</v>
      </c>
    </row>
    <row r="3936" spans="1:2" x14ac:dyDescent="0.35">
      <c r="A3936">
        <v>153</v>
      </c>
      <c r="B3936" t="s">
        <v>32</v>
      </c>
    </row>
    <row r="3937" spans="1:2" x14ac:dyDescent="0.35">
      <c r="A3937">
        <v>153</v>
      </c>
      <c r="B3937" s="2">
        <v>-0.32754</v>
      </c>
    </row>
    <row r="3938" spans="1:2" x14ac:dyDescent="0.35">
      <c r="A3938">
        <v>153</v>
      </c>
      <c r="B3938" t="s">
        <v>33</v>
      </c>
    </row>
    <row r="3939" spans="1:2" x14ac:dyDescent="0.35">
      <c r="A3939">
        <v>153</v>
      </c>
      <c r="B3939" s="3">
        <v>0.53</v>
      </c>
    </row>
    <row r="3940" spans="1:2" x14ac:dyDescent="0.35">
      <c r="A3940">
        <v>153</v>
      </c>
      <c r="B3940" t="s">
        <v>34</v>
      </c>
    </row>
    <row r="3941" spans="1:2" x14ac:dyDescent="0.35">
      <c r="A3941">
        <v>153</v>
      </c>
      <c r="B3941" s="3">
        <v>0.47</v>
      </c>
    </row>
    <row r="3942" spans="1:2" x14ac:dyDescent="0.35">
      <c r="A3942">
        <v>153</v>
      </c>
      <c r="B3942" t="s">
        <v>26</v>
      </c>
    </row>
    <row r="3943" spans="1:2" x14ac:dyDescent="0.35">
      <c r="A3943">
        <v>153</v>
      </c>
      <c r="B3943">
        <v>0.52</v>
      </c>
    </row>
    <row r="3944" spans="1:2" x14ac:dyDescent="0.35">
      <c r="A3944">
        <v>153</v>
      </c>
      <c r="B3944" t="s">
        <v>23</v>
      </c>
    </row>
    <row r="3945" spans="1:2" x14ac:dyDescent="0.35">
      <c r="A3945">
        <v>153</v>
      </c>
      <c r="B3945">
        <v>-0.36</v>
      </c>
    </row>
    <row r="3946" spans="1:2" x14ac:dyDescent="0.35">
      <c r="A3946">
        <v>153</v>
      </c>
      <c r="B3946" t="s">
        <v>24</v>
      </c>
    </row>
    <row r="3947" spans="1:2" x14ac:dyDescent="0.35">
      <c r="A3947">
        <v>153</v>
      </c>
      <c r="B3947">
        <v>2.1549999999999998</v>
      </c>
    </row>
    <row r="3948" spans="1:2" x14ac:dyDescent="0.35">
      <c r="A3948">
        <v>153</v>
      </c>
      <c r="B3948" t="s">
        <v>35</v>
      </c>
    </row>
    <row r="3949" spans="1:2" x14ac:dyDescent="0.35">
      <c r="A3949">
        <v>153</v>
      </c>
      <c r="B3949">
        <v>0.60599999999999998</v>
      </c>
    </row>
    <row r="3950" spans="1:2" x14ac:dyDescent="0.35">
      <c r="A3950">
        <v>153</v>
      </c>
      <c r="B3950" t="s">
        <v>36</v>
      </c>
    </row>
    <row r="3951" spans="1:2" x14ac:dyDescent="0.35">
      <c r="A3951">
        <v>153</v>
      </c>
      <c r="B3951">
        <v>0.36699999999999999</v>
      </c>
    </row>
    <row r="3952" spans="1:2" x14ac:dyDescent="0.35">
      <c r="A3952">
        <v>153</v>
      </c>
      <c r="B3952" t="s">
        <v>37</v>
      </c>
    </row>
    <row r="3953" spans="1:2" x14ac:dyDescent="0.35">
      <c r="A3953">
        <v>153</v>
      </c>
      <c r="B3953">
        <v>-0.48199999999999998</v>
      </c>
    </row>
    <row r="3954" spans="1:2" x14ac:dyDescent="0.35">
      <c r="A3954">
        <v>153</v>
      </c>
      <c r="B3954" t="s">
        <v>38</v>
      </c>
    </row>
    <row r="3955" spans="1:2" x14ac:dyDescent="0.35">
      <c r="A3955">
        <v>153</v>
      </c>
      <c r="B3955">
        <v>0.59299999999999997</v>
      </c>
    </row>
    <row r="3956" spans="1:2" x14ac:dyDescent="0.35">
      <c r="A3956">
        <v>153</v>
      </c>
      <c r="B3956" t="s">
        <v>39</v>
      </c>
    </row>
    <row r="3957" spans="1:2" x14ac:dyDescent="0.35">
      <c r="A3957">
        <v>153</v>
      </c>
      <c r="B3957">
        <v>-0.10299999999999999</v>
      </c>
    </row>
    <row r="3958" spans="1:2" x14ac:dyDescent="0.35">
      <c r="A3958">
        <v>153</v>
      </c>
      <c r="B3958" t="s">
        <v>40</v>
      </c>
    </row>
    <row r="3959" spans="1:2" x14ac:dyDescent="0.35">
      <c r="A3959">
        <v>153</v>
      </c>
      <c r="B3959" s="4">
        <v>0</v>
      </c>
    </row>
    <row r="3960" spans="1:2" x14ac:dyDescent="0.35">
      <c r="A3960">
        <v>153</v>
      </c>
      <c r="B3960" t="s">
        <v>41</v>
      </c>
    </row>
    <row r="3961" spans="1:2" x14ac:dyDescent="0.35">
      <c r="A3961">
        <v>153</v>
      </c>
      <c r="B3961" s="4">
        <v>19000000</v>
      </c>
    </row>
    <row r="3962" spans="1:2" x14ac:dyDescent="0.35">
      <c r="A3962">
        <v>153</v>
      </c>
      <c r="B3962" t="s">
        <v>42</v>
      </c>
    </row>
    <row r="3963" spans="1:2" x14ac:dyDescent="0.35">
      <c r="A3963">
        <v>153</v>
      </c>
      <c r="B3963" t="s">
        <v>44</v>
      </c>
    </row>
    <row r="3964" spans="1:2" x14ac:dyDescent="0.35">
      <c r="A3964">
        <v>152</v>
      </c>
      <c r="B3964" t="s">
        <v>27</v>
      </c>
    </row>
    <row r="3965" spans="1:2" x14ac:dyDescent="0.35">
      <c r="A3965">
        <v>152</v>
      </c>
      <c r="B3965" s="2">
        <v>9.3880000000000005E-2</v>
      </c>
    </row>
    <row r="3966" spans="1:2" x14ac:dyDescent="0.35">
      <c r="A3966">
        <v>152</v>
      </c>
      <c r="B3966" t="s">
        <v>1</v>
      </c>
    </row>
    <row r="3967" spans="1:2" x14ac:dyDescent="0.35">
      <c r="A3967">
        <v>152</v>
      </c>
      <c r="B3967">
        <v>-0.36699999999999999</v>
      </c>
    </row>
    <row r="3968" spans="1:2" x14ac:dyDescent="0.35">
      <c r="A3968">
        <v>152</v>
      </c>
      <c r="B3968" t="s">
        <v>28</v>
      </c>
    </row>
    <row r="3969" spans="1:2" x14ac:dyDescent="0.35">
      <c r="A3969">
        <v>152</v>
      </c>
      <c r="B3969">
        <v>459</v>
      </c>
    </row>
    <row r="3970" spans="1:2" x14ac:dyDescent="0.35">
      <c r="A3970">
        <v>152</v>
      </c>
      <c r="B3970" t="s">
        <v>25</v>
      </c>
    </row>
    <row r="3971" spans="1:2" x14ac:dyDescent="0.35">
      <c r="A3971">
        <v>152</v>
      </c>
      <c r="B3971" s="2">
        <v>4.1099999999999998E-2</v>
      </c>
    </row>
    <row r="3972" spans="1:2" x14ac:dyDescent="0.35">
      <c r="A3972">
        <v>152</v>
      </c>
      <c r="B3972" t="s">
        <v>29</v>
      </c>
    </row>
    <row r="3973" spans="1:2" x14ac:dyDescent="0.35">
      <c r="A3973">
        <v>152</v>
      </c>
      <c r="B3973" s="2">
        <v>-7.9299999999999995E-2</v>
      </c>
    </row>
    <row r="3974" spans="1:2" x14ac:dyDescent="0.35">
      <c r="A3974">
        <v>152</v>
      </c>
      <c r="B3974" t="s">
        <v>30</v>
      </c>
    </row>
    <row r="3975" spans="1:2" x14ac:dyDescent="0.35">
      <c r="A3975">
        <v>152</v>
      </c>
      <c r="B3975" s="2">
        <v>-0.46013999999999999</v>
      </c>
    </row>
    <row r="3976" spans="1:2" x14ac:dyDescent="0.35">
      <c r="A3976">
        <v>152</v>
      </c>
      <c r="B3976" t="s">
        <v>8</v>
      </c>
    </row>
    <row r="3977" spans="1:2" x14ac:dyDescent="0.35">
      <c r="A3977">
        <v>152</v>
      </c>
      <c r="B3977" s="2">
        <v>0.59299999999999997</v>
      </c>
    </row>
    <row r="3978" spans="1:2" x14ac:dyDescent="0.35">
      <c r="A3978">
        <v>152</v>
      </c>
      <c r="B3978" t="s">
        <v>31</v>
      </c>
    </row>
    <row r="3979" spans="1:2" x14ac:dyDescent="0.35">
      <c r="A3979">
        <v>152</v>
      </c>
      <c r="B3979">
        <v>-0.29099999999999998</v>
      </c>
    </row>
    <row r="3980" spans="1:2" x14ac:dyDescent="0.35">
      <c r="A3980">
        <v>152</v>
      </c>
      <c r="B3980" t="s">
        <v>32</v>
      </c>
    </row>
    <row r="3981" spans="1:2" x14ac:dyDescent="0.35">
      <c r="A3981">
        <v>152</v>
      </c>
      <c r="B3981" s="2">
        <v>-0.32754</v>
      </c>
    </row>
    <row r="3982" spans="1:2" x14ac:dyDescent="0.35">
      <c r="A3982">
        <v>152</v>
      </c>
      <c r="B3982" t="s">
        <v>33</v>
      </c>
    </row>
    <row r="3983" spans="1:2" x14ac:dyDescent="0.35">
      <c r="A3983">
        <v>152</v>
      </c>
      <c r="B3983" s="3">
        <v>0.53</v>
      </c>
    </row>
    <row r="3984" spans="1:2" x14ac:dyDescent="0.35">
      <c r="A3984">
        <v>152</v>
      </c>
      <c r="B3984" t="s">
        <v>34</v>
      </c>
    </row>
    <row r="3985" spans="1:2" x14ac:dyDescent="0.35">
      <c r="A3985">
        <v>152</v>
      </c>
      <c r="B3985" s="3">
        <v>0.47</v>
      </c>
    </row>
    <row r="3986" spans="1:2" x14ac:dyDescent="0.35">
      <c r="A3986">
        <v>152</v>
      </c>
      <c r="B3986" t="s">
        <v>26</v>
      </c>
    </row>
    <row r="3987" spans="1:2" x14ac:dyDescent="0.35">
      <c r="A3987">
        <v>152</v>
      </c>
      <c r="B3987">
        <v>0.52</v>
      </c>
    </row>
    <row r="3988" spans="1:2" x14ac:dyDescent="0.35">
      <c r="A3988">
        <v>152</v>
      </c>
      <c r="B3988" t="s">
        <v>23</v>
      </c>
    </row>
    <row r="3989" spans="1:2" x14ac:dyDescent="0.35">
      <c r="A3989">
        <v>152</v>
      </c>
      <c r="B3989">
        <v>-0.36</v>
      </c>
    </row>
    <row r="3990" spans="1:2" x14ac:dyDescent="0.35">
      <c r="A3990">
        <v>152</v>
      </c>
      <c r="B3990" t="s">
        <v>24</v>
      </c>
    </row>
    <row r="3991" spans="1:2" x14ac:dyDescent="0.35">
      <c r="A3991">
        <v>152</v>
      </c>
      <c r="B3991">
        <v>2.1549999999999998</v>
      </c>
    </row>
    <row r="3992" spans="1:2" x14ac:dyDescent="0.35">
      <c r="A3992">
        <v>152</v>
      </c>
      <c r="B3992" t="s">
        <v>35</v>
      </c>
    </row>
    <row r="3993" spans="1:2" x14ac:dyDescent="0.35">
      <c r="A3993">
        <v>152</v>
      </c>
      <c r="B3993">
        <v>0.60599999999999998</v>
      </c>
    </row>
    <row r="3994" spans="1:2" x14ac:dyDescent="0.35">
      <c r="A3994">
        <v>152</v>
      </c>
      <c r="B3994" t="s">
        <v>36</v>
      </c>
    </row>
    <row r="3995" spans="1:2" x14ac:dyDescent="0.35">
      <c r="A3995">
        <v>152</v>
      </c>
      <c r="B3995">
        <v>0.36699999999999999</v>
      </c>
    </row>
    <row r="3996" spans="1:2" x14ac:dyDescent="0.35">
      <c r="A3996">
        <v>152</v>
      </c>
      <c r="B3996" t="s">
        <v>37</v>
      </c>
    </row>
    <row r="3997" spans="1:2" x14ac:dyDescent="0.35">
      <c r="A3997">
        <v>152</v>
      </c>
      <c r="B3997">
        <v>-0.48199999999999998</v>
      </c>
    </row>
    <row r="3998" spans="1:2" x14ac:dyDescent="0.35">
      <c r="A3998">
        <v>152</v>
      </c>
      <c r="B3998" t="s">
        <v>38</v>
      </c>
    </row>
    <row r="3999" spans="1:2" x14ac:dyDescent="0.35">
      <c r="A3999">
        <v>152</v>
      </c>
      <c r="B3999">
        <v>0.59299999999999997</v>
      </c>
    </row>
    <row r="4000" spans="1:2" x14ac:dyDescent="0.35">
      <c r="A4000">
        <v>152</v>
      </c>
      <c r="B4000" t="s">
        <v>39</v>
      </c>
    </row>
    <row r="4001" spans="1:2" x14ac:dyDescent="0.35">
      <c r="A4001">
        <v>152</v>
      </c>
      <c r="B4001">
        <v>-0.10299999999999999</v>
      </c>
    </row>
    <row r="4002" spans="1:2" x14ac:dyDescent="0.35">
      <c r="A4002">
        <v>152</v>
      </c>
      <c r="B4002" t="s">
        <v>40</v>
      </c>
    </row>
    <row r="4003" spans="1:2" x14ac:dyDescent="0.35">
      <c r="A4003">
        <v>152</v>
      </c>
      <c r="B4003" s="4">
        <v>0</v>
      </c>
    </row>
    <row r="4004" spans="1:2" x14ac:dyDescent="0.35">
      <c r="A4004">
        <v>152</v>
      </c>
      <c r="B4004" t="s">
        <v>41</v>
      </c>
    </row>
    <row r="4005" spans="1:2" x14ac:dyDescent="0.35">
      <c r="A4005">
        <v>152</v>
      </c>
      <c r="B4005" s="4">
        <v>19000000</v>
      </c>
    </row>
    <row r="4006" spans="1:2" x14ac:dyDescent="0.35">
      <c r="A4006">
        <v>152</v>
      </c>
      <c r="B4006" t="s">
        <v>42</v>
      </c>
    </row>
    <row r="4007" spans="1:2" x14ac:dyDescent="0.35">
      <c r="A4007">
        <v>152</v>
      </c>
      <c r="B4007" t="s">
        <v>44</v>
      </c>
    </row>
    <row r="4008" spans="1:2" x14ac:dyDescent="0.35">
      <c r="A4008">
        <v>151</v>
      </c>
      <c r="B4008" t="s">
        <v>27</v>
      </c>
    </row>
    <row r="4009" spans="1:2" x14ac:dyDescent="0.35">
      <c r="A4009">
        <v>151</v>
      </c>
      <c r="B4009" s="2">
        <v>9.3880000000000005E-2</v>
      </c>
    </row>
    <row r="4010" spans="1:2" x14ac:dyDescent="0.35">
      <c r="A4010">
        <v>151</v>
      </c>
      <c r="B4010" t="s">
        <v>1</v>
      </c>
    </row>
    <row r="4011" spans="1:2" x14ac:dyDescent="0.35">
      <c r="A4011">
        <v>151</v>
      </c>
      <c r="B4011">
        <v>-0.36699999999999999</v>
      </c>
    </row>
    <row r="4012" spans="1:2" x14ac:dyDescent="0.35">
      <c r="A4012">
        <v>151</v>
      </c>
      <c r="B4012" t="s">
        <v>28</v>
      </c>
    </row>
    <row r="4013" spans="1:2" x14ac:dyDescent="0.35">
      <c r="A4013">
        <v>151</v>
      </c>
      <c r="B4013">
        <v>459</v>
      </c>
    </row>
    <row r="4014" spans="1:2" x14ac:dyDescent="0.35">
      <c r="A4014">
        <v>151</v>
      </c>
      <c r="B4014" t="s">
        <v>25</v>
      </c>
    </row>
    <row r="4015" spans="1:2" x14ac:dyDescent="0.35">
      <c r="A4015">
        <v>151</v>
      </c>
      <c r="B4015" s="2">
        <v>4.1099999999999998E-2</v>
      </c>
    </row>
    <row r="4016" spans="1:2" x14ac:dyDescent="0.35">
      <c r="A4016">
        <v>151</v>
      </c>
      <c r="B4016" t="s">
        <v>29</v>
      </c>
    </row>
    <row r="4017" spans="1:2" x14ac:dyDescent="0.35">
      <c r="A4017">
        <v>151</v>
      </c>
      <c r="B4017" s="2">
        <v>-7.9299999999999995E-2</v>
      </c>
    </row>
    <row r="4018" spans="1:2" x14ac:dyDescent="0.35">
      <c r="A4018">
        <v>151</v>
      </c>
      <c r="B4018" t="s">
        <v>30</v>
      </c>
    </row>
    <row r="4019" spans="1:2" x14ac:dyDescent="0.35">
      <c r="A4019">
        <v>151</v>
      </c>
      <c r="B4019" s="2">
        <v>-0.46013999999999999</v>
      </c>
    </row>
    <row r="4020" spans="1:2" x14ac:dyDescent="0.35">
      <c r="A4020">
        <v>151</v>
      </c>
      <c r="B4020" t="s">
        <v>8</v>
      </c>
    </row>
    <row r="4021" spans="1:2" x14ac:dyDescent="0.35">
      <c r="A4021">
        <v>151</v>
      </c>
      <c r="B4021" s="2">
        <v>0.59299999999999997</v>
      </c>
    </row>
    <row r="4022" spans="1:2" x14ac:dyDescent="0.35">
      <c r="A4022">
        <v>151</v>
      </c>
      <c r="B4022" t="s">
        <v>31</v>
      </c>
    </row>
    <row r="4023" spans="1:2" x14ac:dyDescent="0.35">
      <c r="A4023">
        <v>151</v>
      </c>
      <c r="B4023">
        <v>-0.29099999999999998</v>
      </c>
    </row>
    <row r="4024" spans="1:2" x14ac:dyDescent="0.35">
      <c r="A4024">
        <v>151</v>
      </c>
      <c r="B4024" t="s">
        <v>32</v>
      </c>
    </row>
    <row r="4025" spans="1:2" x14ac:dyDescent="0.35">
      <c r="A4025">
        <v>151</v>
      </c>
      <c r="B4025" s="2">
        <v>-0.32754</v>
      </c>
    </row>
    <row r="4026" spans="1:2" x14ac:dyDescent="0.35">
      <c r="A4026">
        <v>151</v>
      </c>
      <c r="B4026" t="s">
        <v>33</v>
      </c>
    </row>
    <row r="4027" spans="1:2" x14ac:dyDescent="0.35">
      <c r="A4027">
        <v>151</v>
      </c>
      <c r="B4027" s="3">
        <v>0.53</v>
      </c>
    </row>
    <row r="4028" spans="1:2" x14ac:dyDescent="0.35">
      <c r="A4028">
        <v>151</v>
      </c>
      <c r="B4028" t="s">
        <v>34</v>
      </c>
    </row>
    <row r="4029" spans="1:2" x14ac:dyDescent="0.35">
      <c r="A4029">
        <v>151</v>
      </c>
      <c r="B4029" s="3">
        <v>0.47</v>
      </c>
    </row>
    <row r="4030" spans="1:2" x14ac:dyDescent="0.35">
      <c r="A4030">
        <v>151</v>
      </c>
      <c r="B4030" t="s">
        <v>26</v>
      </c>
    </row>
    <row r="4031" spans="1:2" x14ac:dyDescent="0.35">
      <c r="A4031">
        <v>151</v>
      </c>
      <c r="B4031">
        <v>0.52</v>
      </c>
    </row>
    <row r="4032" spans="1:2" x14ac:dyDescent="0.35">
      <c r="A4032">
        <v>151</v>
      </c>
      <c r="B4032" t="s">
        <v>23</v>
      </c>
    </row>
    <row r="4033" spans="1:2" x14ac:dyDescent="0.35">
      <c r="A4033">
        <v>151</v>
      </c>
      <c r="B4033">
        <v>-0.36</v>
      </c>
    </row>
    <row r="4034" spans="1:2" x14ac:dyDescent="0.35">
      <c r="A4034">
        <v>151</v>
      </c>
      <c r="B4034" t="s">
        <v>24</v>
      </c>
    </row>
    <row r="4035" spans="1:2" x14ac:dyDescent="0.35">
      <c r="A4035">
        <v>151</v>
      </c>
      <c r="B4035">
        <v>2.1549999999999998</v>
      </c>
    </row>
    <row r="4036" spans="1:2" x14ac:dyDescent="0.35">
      <c r="A4036">
        <v>151</v>
      </c>
      <c r="B4036" t="s">
        <v>35</v>
      </c>
    </row>
    <row r="4037" spans="1:2" x14ac:dyDescent="0.35">
      <c r="A4037">
        <v>151</v>
      </c>
      <c r="B4037">
        <v>0.60599999999999998</v>
      </c>
    </row>
    <row r="4038" spans="1:2" x14ac:dyDescent="0.35">
      <c r="A4038">
        <v>151</v>
      </c>
      <c r="B4038" t="s">
        <v>36</v>
      </c>
    </row>
    <row r="4039" spans="1:2" x14ac:dyDescent="0.35">
      <c r="A4039">
        <v>151</v>
      </c>
      <c r="B4039">
        <v>0.36699999999999999</v>
      </c>
    </row>
    <row r="4040" spans="1:2" x14ac:dyDescent="0.35">
      <c r="A4040">
        <v>151</v>
      </c>
      <c r="B4040" t="s">
        <v>37</v>
      </c>
    </row>
    <row r="4041" spans="1:2" x14ac:dyDescent="0.35">
      <c r="A4041">
        <v>151</v>
      </c>
      <c r="B4041">
        <v>-0.48199999999999998</v>
      </c>
    </row>
    <row r="4042" spans="1:2" x14ac:dyDescent="0.35">
      <c r="A4042">
        <v>151</v>
      </c>
      <c r="B4042" t="s">
        <v>38</v>
      </c>
    </row>
    <row r="4043" spans="1:2" x14ac:dyDescent="0.35">
      <c r="A4043">
        <v>151</v>
      </c>
      <c r="B4043">
        <v>0.59299999999999997</v>
      </c>
    </row>
    <row r="4044" spans="1:2" x14ac:dyDescent="0.35">
      <c r="A4044">
        <v>151</v>
      </c>
      <c r="B4044" t="s">
        <v>39</v>
      </c>
    </row>
    <row r="4045" spans="1:2" x14ac:dyDescent="0.35">
      <c r="A4045">
        <v>151</v>
      </c>
      <c r="B4045">
        <v>-0.10299999999999999</v>
      </c>
    </row>
    <row r="4046" spans="1:2" x14ac:dyDescent="0.35">
      <c r="A4046">
        <v>151</v>
      </c>
      <c r="B4046" t="s">
        <v>40</v>
      </c>
    </row>
    <row r="4047" spans="1:2" x14ac:dyDescent="0.35">
      <c r="A4047">
        <v>151</v>
      </c>
      <c r="B4047" s="4">
        <v>0</v>
      </c>
    </row>
    <row r="4048" spans="1:2" x14ac:dyDescent="0.35">
      <c r="A4048">
        <v>151</v>
      </c>
      <c r="B4048" t="s">
        <v>41</v>
      </c>
    </row>
    <row r="4049" spans="1:2" x14ac:dyDescent="0.35">
      <c r="A4049">
        <v>151</v>
      </c>
      <c r="B4049" s="4">
        <v>19000000</v>
      </c>
    </row>
    <row r="4050" spans="1:2" x14ac:dyDescent="0.35">
      <c r="A4050">
        <v>151</v>
      </c>
      <c r="B4050" t="s">
        <v>42</v>
      </c>
    </row>
    <row r="4051" spans="1:2" x14ac:dyDescent="0.35">
      <c r="A4051">
        <v>151</v>
      </c>
      <c r="B4051" t="s">
        <v>44</v>
      </c>
    </row>
    <row r="4052" spans="1:2" x14ac:dyDescent="0.35">
      <c r="A4052">
        <v>150</v>
      </c>
      <c r="B4052" t="s">
        <v>27</v>
      </c>
    </row>
    <row r="4053" spans="1:2" x14ac:dyDescent="0.35">
      <c r="A4053">
        <v>150</v>
      </c>
      <c r="B4053" s="2">
        <v>9.3880000000000005E-2</v>
      </c>
    </row>
    <row r="4054" spans="1:2" x14ac:dyDescent="0.35">
      <c r="A4054">
        <v>150</v>
      </c>
      <c r="B4054" t="s">
        <v>1</v>
      </c>
    </row>
    <row r="4055" spans="1:2" x14ac:dyDescent="0.35">
      <c r="A4055">
        <v>150</v>
      </c>
      <c r="B4055">
        <v>-0.36699999999999999</v>
      </c>
    </row>
    <row r="4056" spans="1:2" x14ac:dyDescent="0.35">
      <c r="A4056">
        <v>150</v>
      </c>
      <c r="B4056" t="s">
        <v>28</v>
      </c>
    </row>
    <row r="4057" spans="1:2" x14ac:dyDescent="0.35">
      <c r="A4057">
        <v>150</v>
      </c>
      <c r="B4057">
        <v>459</v>
      </c>
    </row>
    <row r="4058" spans="1:2" x14ac:dyDescent="0.35">
      <c r="A4058">
        <v>150</v>
      </c>
      <c r="B4058" t="s">
        <v>25</v>
      </c>
    </row>
    <row r="4059" spans="1:2" x14ac:dyDescent="0.35">
      <c r="A4059">
        <v>150</v>
      </c>
      <c r="B4059" s="2">
        <v>4.1099999999999998E-2</v>
      </c>
    </row>
    <row r="4060" spans="1:2" x14ac:dyDescent="0.35">
      <c r="A4060">
        <v>150</v>
      </c>
      <c r="B4060" t="s">
        <v>29</v>
      </c>
    </row>
    <row r="4061" spans="1:2" x14ac:dyDescent="0.35">
      <c r="A4061">
        <v>150</v>
      </c>
      <c r="B4061" s="2">
        <v>-7.9299999999999995E-2</v>
      </c>
    </row>
    <row r="4062" spans="1:2" x14ac:dyDescent="0.35">
      <c r="A4062">
        <v>150</v>
      </c>
      <c r="B4062" t="s">
        <v>30</v>
      </c>
    </row>
    <row r="4063" spans="1:2" x14ac:dyDescent="0.35">
      <c r="A4063">
        <v>150</v>
      </c>
      <c r="B4063" s="2">
        <v>-0.46013999999999999</v>
      </c>
    </row>
    <row r="4064" spans="1:2" x14ac:dyDescent="0.35">
      <c r="A4064">
        <v>150</v>
      </c>
      <c r="B4064" t="s">
        <v>8</v>
      </c>
    </row>
    <row r="4065" spans="1:2" x14ac:dyDescent="0.35">
      <c r="A4065">
        <v>150</v>
      </c>
      <c r="B4065" s="2">
        <v>0.59299999999999997</v>
      </c>
    </row>
    <row r="4066" spans="1:2" x14ac:dyDescent="0.35">
      <c r="A4066">
        <v>150</v>
      </c>
      <c r="B4066" t="s">
        <v>31</v>
      </c>
    </row>
    <row r="4067" spans="1:2" x14ac:dyDescent="0.35">
      <c r="A4067">
        <v>150</v>
      </c>
      <c r="B4067">
        <v>-0.29099999999999998</v>
      </c>
    </row>
    <row r="4068" spans="1:2" x14ac:dyDescent="0.35">
      <c r="A4068">
        <v>150</v>
      </c>
      <c r="B4068" t="s">
        <v>32</v>
      </c>
    </row>
    <row r="4069" spans="1:2" x14ac:dyDescent="0.35">
      <c r="A4069">
        <v>150</v>
      </c>
      <c r="B4069" s="2">
        <v>-0.32754</v>
      </c>
    </row>
    <row r="4070" spans="1:2" x14ac:dyDescent="0.35">
      <c r="A4070">
        <v>150</v>
      </c>
      <c r="B4070" t="s">
        <v>33</v>
      </c>
    </row>
    <row r="4071" spans="1:2" x14ac:dyDescent="0.35">
      <c r="A4071">
        <v>150</v>
      </c>
      <c r="B4071" s="3">
        <v>0.53</v>
      </c>
    </row>
    <row r="4072" spans="1:2" x14ac:dyDescent="0.35">
      <c r="A4072">
        <v>150</v>
      </c>
      <c r="B4072" t="s">
        <v>34</v>
      </c>
    </row>
    <row r="4073" spans="1:2" x14ac:dyDescent="0.35">
      <c r="A4073">
        <v>150</v>
      </c>
      <c r="B4073" s="3">
        <v>0.47</v>
      </c>
    </row>
    <row r="4074" spans="1:2" x14ac:dyDescent="0.35">
      <c r="A4074">
        <v>150</v>
      </c>
      <c r="B4074" t="s">
        <v>26</v>
      </c>
    </row>
    <row r="4075" spans="1:2" x14ac:dyDescent="0.35">
      <c r="A4075">
        <v>150</v>
      </c>
      <c r="B4075">
        <v>0.52</v>
      </c>
    </row>
    <row r="4076" spans="1:2" x14ac:dyDescent="0.35">
      <c r="A4076">
        <v>150</v>
      </c>
      <c r="B4076" t="s">
        <v>23</v>
      </c>
    </row>
    <row r="4077" spans="1:2" x14ac:dyDescent="0.35">
      <c r="A4077">
        <v>150</v>
      </c>
      <c r="B4077">
        <v>-0.36</v>
      </c>
    </row>
    <row r="4078" spans="1:2" x14ac:dyDescent="0.35">
      <c r="A4078">
        <v>150</v>
      </c>
      <c r="B4078" t="s">
        <v>24</v>
      </c>
    </row>
    <row r="4079" spans="1:2" x14ac:dyDescent="0.35">
      <c r="A4079">
        <v>150</v>
      </c>
      <c r="B4079">
        <v>2.1549999999999998</v>
      </c>
    </row>
    <row r="4080" spans="1:2" x14ac:dyDescent="0.35">
      <c r="A4080">
        <v>150</v>
      </c>
      <c r="B4080" t="s">
        <v>35</v>
      </c>
    </row>
    <row r="4081" spans="1:2" x14ac:dyDescent="0.35">
      <c r="A4081">
        <v>150</v>
      </c>
      <c r="B4081">
        <v>0.60599999999999998</v>
      </c>
    </row>
    <row r="4082" spans="1:2" x14ac:dyDescent="0.35">
      <c r="A4082">
        <v>150</v>
      </c>
      <c r="B4082" t="s">
        <v>36</v>
      </c>
    </row>
    <row r="4083" spans="1:2" x14ac:dyDescent="0.35">
      <c r="A4083">
        <v>150</v>
      </c>
      <c r="B4083">
        <v>0.36699999999999999</v>
      </c>
    </row>
    <row r="4084" spans="1:2" x14ac:dyDescent="0.35">
      <c r="A4084">
        <v>150</v>
      </c>
      <c r="B4084" t="s">
        <v>37</v>
      </c>
    </row>
    <row r="4085" spans="1:2" x14ac:dyDescent="0.35">
      <c r="A4085">
        <v>150</v>
      </c>
      <c r="B4085">
        <v>-0.48199999999999998</v>
      </c>
    </row>
    <row r="4086" spans="1:2" x14ac:dyDescent="0.35">
      <c r="A4086">
        <v>150</v>
      </c>
      <c r="B4086" t="s">
        <v>38</v>
      </c>
    </row>
    <row r="4087" spans="1:2" x14ac:dyDescent="0.35">
      <c r="A4087">
        <v>150</v>
      </c>
      <c r="B4087">
        <v>0.59299999999999997</v>
      </c>
    </row>
    <row r="4088" spans="1:2" x14ac:dyDescent="0.35">
      <c r="A4088">
        <v>150</v>
      </c>
      <c r="B4088" t="s">
        <v>39</v>
      </c>
    </row>
    <row r="4089" spans="1:2" x14ac:dyDescent="0.35">
      <c r="A4089">
        <v>150</v>
      </c>
      <c r="B4089">
        <v>-0.10299999999999999</v>
      </c>
    </row>
    <row r="4090" spans="1:2" x14ac:dyDescent="0.35">
      <c r="A4090">
        <v>150</v>
      </c>
      <c r="B4090" t="s">
        <v>40</v>
      </c>
    </row>
    <row r="4091" spans="1:2" x14ac:dyDescent="0.35">
      <c r="A4091">
        <v>150</v>
      </c>
      <c r="B4091" s="4">
        <v>0</v>
      </c>
    </row>
    <row r="4092" spans="1:2" x14ac:dyDescent="0.35">
      <c r="A4092">
        <v>150</v>
      </c>
      <c r="B4092" t="s">
        <v>41</v>
      </c>
    </row>
    <row r="4093" spans="1:2" x14ac:dyDescent="0.35">
      <c r="A4093">
        <v>150</v>
      </c>
      <c r="B4093" s="4">
        <v>19000000</v>
      </c>
    </row>
    <row r="4094" spans="1:2" x14ac:dyDescent="0.35">
      <c r="A4094">
        <v>150</v>
      </c>
      <c r="B4094" t="s">
        <v>42</v>
      </c>
    </row>
    <row r="4095" spans="1:2" x14ac:dyDescent="0.35">
      <c r="A4095">
        <v>150</v>
      </c>
      <c r="B4095" t="s">
        <v>44</v>
      </c>
    </row>
    <row r="4096" spans="1:2" x14ac:dyDescent="0.35">
      <c r="A4096">
        <v>149</v>
      </c>
      <c r="B4096" t="s">
        <v>27</v>
      </c>
    </row>
    <row r="4097" spans="1:2" x14ac:dyDescent="0.35">
      <c r="A4097">
        <v>149</v>
      </c>
      <c r="B4097" s="2">
        <v>9.3880000000000005E-2</v>
      </c>
    </row>
    <row r="4098" spans="1:2" x14ac:dyDescent="0.35">
      <c r="A4098">
        <v>149</v>
      </c>
      <c r="B4098" t="s">
        <v>1</v>
      </c>
    </row>
    <row r="4099" spans="1:2" x14ac:dyDescent="0.35">
      <c r="A4099">
        <v>149</v>
      </c>
      <c r="B4099">
        <v>-0.36699999999999999</v>
      </c>
    </row>
    <row r="4100" spans="1:2" x14ac:dyDescent="0.35">
      <c r="A4100">
        <v>149</v>
      </c>
      <c r="B4100" t="s">
        <v>28</v>
      </c>
    </row>
    <row r="4101" spans="1:2" x14ac:dyDescent="0.35">
      <c r="A4101">
        <v>149</v>
      </c>
      <c r="B4101">
        <v>459</v>
      </c>
    </row>
    <row r="4102" spans="1:2" x14ac:dyDescent="0.35">
      <c r="A4102">
        <v>149</v>
      </c>
      <c r="B4102" t="s">
        <v>25</v>
      </c>
    </row>
    <row r="4103" spans="1:2" x14ac:dyDescent="0.35">
      <c r="A4103">
        <v>149</v>
      </c>
      <c r="B4103" s="2">
        <v>4.1099999999999998E-2</v>
      </c>
    </row>
    <row r="4104" spans="1:2" x14ac:dyDescent="0.35">
      <c r="A4104">
        <v>149</v>
      </c>
      <c r="B4104" t="s">
        <v>29</v>
      </c>
    </row>
    <row r="4105" spans="1:2" x14ac:dyDescent="0.35">
      <c r="A4105">
        <v>149</v>
      </c>
      <c r="B4105" s="2">
        <v>-7.9299999999999995E-2</v>
      </c>
    </row>
    <row r="4106" spans="1:2" x14ac:dyDescent="0.35">
      <c r="A4106">
        <v>149</v>
      </c>
      <c r="B4106" t="s">
        <v>30</v>
      </c>
    </row>
    <row r="4107" spans="1:2" x14ac:dyDescent="0.35">
      <c r="A4107">
        <v>149</v>
      </c>
      <c r="B4107" s="2">
        <v>-0.46013999999999999</v>
      </c>
    </row>
    <row r="4108" spans="1:2" x14ac:dyDescent="0.35">
      <c r="A4108">
        <v>149</v>
      </c>
      <c r="B4108" t="s">
        <v>8</v>
      </c>
    </row>
    <row r="4109" spans="1:2" x14ac:dyDescent="0.35">
      <c r="A4109">
        <v>149</v>
      </c>
      <c r="B4109" s="2">
        <v>0.59299999999999997</v>
      </c>
    </row>
    <row r="4110" spans="1:2" x14ac:dyDescent="0.35">
      <c r="A4110">
        <v>149</v>
      </c>
      <c r="B4110" t="s">
        <v>31</v>
      </c>
    </row>
    <row r="4111" spans="1:2" x14ac:dyDescent="0.35">
      <c r="A4111">
        <v>149</v>
      </c>
      <c r="B4111">
        <v>-0.29099999999999998</v>
      </c>
    </row>
    <row r="4112" spans="1:2" x14ac:dyDescent="0.35">
      <c r="A4112">
        <v>149</v>
      </c>
      <c r="B4112" t="s">
        <v>32</v>
      </c>
    </row>
    <row r="4113" spans="1:2" x14ac:dyDescent="0.35">
      <c r="A4113">
        <v>149</v>
      </c>
      <c r="B4113" s="2">
        <v>-0.32754</v>
      </c>
    </row>
    <row r="4114" spans="1:2" x14ac:dyDescent="0.35">
      <c r="A4114">
        <v>149</v>
      </c>
      <c r="B4114" t="s">
        <v>33</v>
      </c>
    </row>
    <row r="4115" spans="1:2" x14ac:dyDescent="0.35">
      <c r="A4115">
        <v>149</v>
      </c>
      <c r="B4115" s="3">
        <v>0.53</v>
      </c>
    </row>
    <row r="4116" spans="1:2" x14ac:dyDescent="0.35">
      <c r="A4116">
        <v>149</v>
      </c>
      <c r="B4116" t="s">
        <v>34</v>
      </c>
    </row>
    <row r="4117" spans="1:2" x14ac:dyDescent="0.35">
      <c r="A4117">
        <v>149</v>
      </c>
      <c r="B4117" s="3">
        <v>0.47</v>
      </c>
    </row>
    <row r="4118" spans="1:2" x14ac:dyDescent="0.35">
      <c r="A4118">
        <v>149</v>
      </c>
      <c r="B4118" t="s">
        <v>26</v>
      </c>
    </row>
    <row r="4119" spans="1:2" x14ac:dyDescent="0.35">
      <c r="A4119">
        <v>149</v>
      </c>
      <c r="B4119">
        <v>0.52</v>
      </c>
    </row>
    <row r="4120" spans="1:2" x14ac:dyDescent="0.35">
      <c r="A4120">
        <v>149</v>
      </c>
      <c r="B4120" t="s">
        <v>23</v>
      </c>
    </row>
    <row r="4121" spans="1:2" x14ac:dyDescent="0.35">
      <c r="A4121">
        <v>149</v>
      </c>
      <c r="B4121">
        <v>-0.36</v>
      </c>
    </row>
    <row r="4122" spans="1:2" x14ac:dyDescent="0.35">
      <c r="A4122">
        <v>149</v>
      </c>
      <c r="B4122" t="s">
        <v>24</v>
      </c>
    </row>
    <row r="4123" spans="1:2" x14ac:dyDescent="0.35">
      <c r="A4123">
        <v>149</v>
      </c>
      <c r="B4123">
        <v>2.1549999999999998</v>
      </c>
    </row>
    <row r="4124" spans="1:2" x14ac:dyDescent="0.35">
      <c r="A4124">
        <v>149</v>
      </c>
      <c r="B4124" t="s">
        <v>35</v>
      </c>
    </row>
    <row r="4125" spans="1:2" x14ac:dyDescent="0.35">
      <c r="A4125">
        <v>149</v>
      </c>
      <c r="B4125">
        <v>0.60599999999999998</v>
      </c>
    </row>
    <row r="4126" spans="1:2" x14ac:dyDescent="0.35">
      <c r="A4126">
        <v>149</v>
      </c>
      <c r="B4126" t="s">
        <v>36</v>
      </c>
    </row>
    <row r="4127" spans="1:2" x14ac:dyDescent="0.35">
      <c r="A4127">
        <v>149</v>
      </c>
      <c r="B4127">
        <v>0.36699999999999999</v>
      </c>
    </row>
    <row r="4128" spans="1:2" x14ac:dyDescent="0.35">
      <c r="A4128">
        <v>149</v>
      </c>
      <c r="B4128" t="s">
        <v>37</v>
      </c>
    </row>
    <row r="4129" spans="1:2" x14ac:dyDescent="0.35">
      <c r="A4129">
        <v>149</v>
      </c>
      <c r="B4129">
        <v>-0.48199999999999998</v>
      </c>
    </row>
    <row r="4130" spans="1:2" x14ac:dyDescent="0.35">
      <c r="A4130">
        <v>149</v>
      </c>
      <c r="B4130" t="s">
        <v>38</v>
      </c>
    </row>
    <row r="4131" spans="1:2" x14ac:dyDescent="0.35">
      <c r="A4131">
        <v>149</v>
      </c>
      <c r="B4131">
        <v>0.59299999999999997</v>
      </c>
    </row>
    <row r="4132" spans="1:2" x14ac:dyDescent="0.35">
      <c r="A4132">
        <v>149</v>
      </c>
      <c r="B4132" t="s">
        <v>39</v>
      </c>
    </row>
    <row r="4133" spans="1:2" x14ac:dyDescent="0.35">
      <c r="A4133">
        <v>149</v>
      </c>
      <c r="B4133">
        <v>-0.10299999999999999</v>
      </c>
    </row>
    <row r="4134" spans="1:2" x14ac:dyDescent="0.35">
      <c r="A4134">
        <v>149</v>
      </c>
      <c r="B4134" t="s">
        <v>40</v>
      </c>
    </row>
    <row r="4135" spans="1:2" x14ac:dyDescent="0.35">
      <c r="A4135">
        <v>149</v>
      </c>
      <c r="B4135" s="4">
        <v>0</v>
      </c>
    </row>
    <row r="4136" spans="1:2" x14ac:dyDescent="0.35">
      <c r="A4136">
        <v>149</v>
      </c>
      <c r="B4136" t="s">
        <v>41</v>
      </c>
    </row>
    <row r="4137" spans="1:2" x14ac:dyDescent="0.35">
      <c r="A4137">
        <v>149</v>
      </c>
      <c r="B4137" s="4">
        <v>19000000</v>
      </c>
    </row>
    <row r="4138" spans="1:2" x14ac:dyDescent="0.35">
      <c r="A4138">
        <v>149</v>
      </c>
      <c r="B4138" t="s">
        <v>42</v>
      </c>
    </row>
    <row r="4139" spans="1:2" x14ac:dyDescent="0.35">
      <c r="A4139">
        <v>149</v>
      </c>
      <c r="B4139" t="s">
        <v>44</v>
      </c>
    </row>
    <row r="4140" spans="1:2" x14ac:dyDescent="0.35">
      <c r="A4140">
        <v>148</v>
      </c>
      <c r="B4140" t="s">
        <v>27</v>
      </c>
    </row>
    <row r="4141" spans="1:2" x14ac:dyDescent="0.35">
      <c r="A4141">
        <v>148</v>
      </c>
      <c r="B4141" s="2">
        <v>9.3880000000000005E-2</v>
      </c>
    </row>
    <row r="4142" spans="1:2" x14ac:dyDescent="0.35">
      <c r="A4142">
        <v>148</v>
      </c>
      <c r="B4142" t="s">
        <v>1</v>
      </c>
    </row>
    <row r="4143" spans="1:2" x14ac:dyDescent="0.35">
      <c r="A4143">
        <v>148</v>
      </c>
      <c r="B4143">
        <v>-0.36699999999999999</v>
      </c>
    </row>
    <row r="4144" spans="1:2" x14ac:dyDescent="0.35">
      <c r="A4144">
        <v>148</v>
      </c>
      <c r="B4144" t="s">
        <v>28</v>
      </c>
    </row>
    <row r="4145" spans="1:2" x14ac:dyDescent="0.35">
      <c r="A4145">
        <v>148</v>
      </c>
      <c r="B4145">
        <v>459</v>
      </c>
    </row>
    <row r="4146" spans="1:2" x14ac:dyDescent="0.35">
      <c r="A4146">
        <v>148</v>
      </c>
      <c r="B4146" t="s">
        <v>25</v>
      </c>
    </row>
    <row r="4147" spans="1:2" x14ac:dyDescent="0.35">
      <c r="A4147">
        <v>148</v>
      </c>
      <c r="B4147" s="2">
        <v>4.1099999999999998E-2</v>
      </c>
    </row>
    <row r="4148" spans="1:2" x14ac:dyDescent="0.35">
      <c r="A4148">
        <v>148</v>
      </c>
      <c r="B4148" t="s">
        <v>29</v>
      </c>
    </row>
    <row r="4149" spans="1:2" x14ac:dyDescent="0.35">
      <c r="A4149">
        <v>148</v>
      </c>
      <c r="B4149" s="2">
        <v>-7.9299999999999995E-2</v>
      </c>
    </row>
    <row r="4150" spans="1:2" x14ac:dyDescent="0.35">
      <c r="A4150">
        <v>148</v>
      </c>
      <c r="B4150" t="s">
        <v>30</v>
      </c>
    </row>
    <row r="4151" spans="1:2" x14ac:dyDescent="0.35">
      <c r="A4151">
        <v>148</v>
      </c>
      <c r="B4151" s="2">
        <v>-0.46013999999999999</v>
      </c>
    </row>
    <row r="4152" spans="1:2" x14ac:dyDescent="0.35">
      <c r="A4152">
        <v>148</v>
      </c>
      <c r="B4152" t="s">
        <v>8</v>
      </c>
    </row>
    <row r="4153" spans="1:2" x14ac:dyDescent="0.35">
      <c r="A4153">
        <v>148</v>
      </c>
      <c r="B4153" s="2">
        <v>0.59299999999999997</v>
      </c>
    </row>
    <row r="4154" spans="1:2" x14ac:dyDescent="0.35">
      <c r="A4154">
        <v>148</v>
      </c>
      <c r="B4154" t="s">
        <v>31</v>
      </c>
    </row>
    <row r="4155" spans="1:2" x14ac:dyDescent="0.35">
      <c r="A4155">
        <v>148</v>
      </c>
      <c r="B4155">
        <v>-0.29099999999999998</v>
      </c>
    </row>
    <row r="4156" spans="1:2" x14ac:dyDescent="0.35">
      <c r="A4156">
        <v>148</v>
      </c>
      <c r="B4156" t="s">
        <v>32</v>
      </c>
    </row>
    <row r="4157" spans="1:2" x14ac:dyDescent="0.35">
      <c r="A4157">
        <v>148</v>
      </c>
      <c r="B4157" s="2">
        <v>-0.32754</v>
      </c>
    </row>
    <row r="4158" spans="1:2" x14ac:dyDescent="0.35">
      <c r="A4158">
        <v>148</v>
      </c>
      <c r="B4158" t="s">
        <v>33</v>
      </c>
    </row>
    <row r="4159" spans="1:2" x14ac:dyDescent="0.35">
      <c r="A4159">
        <v>148</v>
      </c>
      <c r="B4159" s="3">
        <v>0.53</v>
      </c>
    </row>
    <row r="4160" spans="1:2" x14ac:dyDescent="0.35">
      <c r="A4160">
        <v>148</v>
      </c>
      <c r="B4160" t="s">
        <v>34</v>
      </c>
    </row>
    <row r="4161" spans="1:2" x14ac:dyDescent="0.35">
      <c r="A4161">
        <v>148</v>
      </c>
      <c r="B4161" s="3">
        <v>0.47</v>
      </c>
    </row>
    <row r="4162" spans="1:2" x14ac:dyDescent="0.35">
      <c r="A4162">
        <v>148</v>
      </c>
      <c r="B4162" t="s">
        <v>26</v>
      </c>
    </row>
    <row r="4163" spans="1:2" x14ac:dyDescent="0.35">
      <c r="A4163">
        <v>148</v>
      </c>
      <c r="B4163">
        <v>0.52</v>
      </c>
    </row>
    <row r="4164" spans="1:2" x14ac:dyDescent="0.35">
      <c r="A4164">
        <v>148</v>
      </c>
      <c r="B4164" t="s">
        <v>23</v>
      </c>
    </row>
    <row r="4165" spans="1:2" x14ac:dyDescent="0.35">
      <c r="A4165">
        <v>148</v>
      </c>
      <c r="B4165">
        <v>-0.36</v>
      </c>
    </row>
    <row r="4166" spans="1:2" x14ac:dyDescent="0.35">
      <c r="A4166">
        <v>148</v>
      </c>
      <c r="B4166" t="s">
        <v>24</v>
      </c>
    </row>
    <row r="4167" spans="1:2" x14ac:dyDescent="0.35">
      <c r="A4167">
        <v>148</v>
      </c>
      <c r="B4167">
        <v>2.1549999999999998</v>
      </c>
    </row>
    <row r="4168" spans="1:2" x14ac:dyDescent="0.35">
      <c r="A4168">
        <v>148</v>
      </c>
      <c r="B4168" t="s">
        <v>35</v>
      </c>
    </row>
    <row r="4169" spans="1:2" x14ac:dyDescent="0.35">
      <c r="A4169">
        <v>148</v>
      </c>
      <c r="B4169">
        <v>0.60599999999999998</v>
      </c>
    </row>
    <row r="4170" spans="1:2" x14ac:dyDescent="0.35">
      <c r="A4170">
        <v>148</v>
      </c>
      <c r="B4170" t="s">
        <v>36</v>
      </c>
    </row>
    <row r="4171" spans="1:2" x14ac:dyDescent="0.35">
      <c r="A4171">
        <v>148</v>
      </c>
      <c r="B4171">
        <v>0.36699999999999999</v>
      </c>
    </row>
    <row r="4172" spans="1:2" x14ac:dyDescent="0.35">
      <c r="A4172">
        <v>148</v>
      </c>
      <c r="B4172" t="s">
        <v>37</v>
      </c>
    </row>
    <row r="4173" spans="1:2" x14ac:dyDescent="0.35">
      <c r="A4173">
        <v>148</v>
      </c>
      <c r="B4173">
        <v>-0.48199999999999998</v>
      </c>
    </row>
    <row r="4174" spans="1:2" x14ac:dyDescent="0.35">
      <c r="A4174">
        <v>148</v>
      </c>
      <c r="B4174" t="s">
        <v>38</v>
      </c>
    </row>
    <row r="4175" spans="1:2" x14ac:dyDescent="0.35">
      <c r="A4175">
        <v>148</v>
      </c>
      <c r="B4175">
        <v>0.59299999999999997</v>
      </c>
    </row>
    <row r="4176" spans="1:2" x14ac:dyDescent="0.35">
      <c r="A4176">
        <v>148</v>
      </c>
      <c r="B4176" t="s">
        <v>39</v>
      </c>
    </row>
    <row r="4177" spans="1:2" x14ac:dyDescent="0.35">
      <c r="A4177">
        <v>148</v>
      </c>
      <c r="B4177">
        <v>-0.10299999999999999</v>
      </c>
    </row>
    <row r="4178" spans="1:2" x14ac:dyDescent="0.35">
      <c r="A4178">
        <v>148</v>
      </c>
      <c r="B4178" t="s">
        <v>40</v>
      </c>
    </row>
    <row r="4179" spans="1:2" x14ac:dyDescent="0.35">
      <c r="A4179">
        <v>148</v>
      </c>
      <c r="B4179" s="4">
        <v>0</v>
      </c>
    </row>
    <row r="4180" spans="1:2" x14ac:dyDescent="0.35">
      <c r="A4180">
        <v>148</v>
      </c>
      <c r="B4180" t="s">
        <v>41</v>
      </c>
    </row>
    <row r="4181" spans="1:2" x14ac:dyDescent="0.35">
      <c r="A4181">
        <v>148</v>
      </c>
      <c r="B4181" s="4">
        <v>19000000</v>
      </c>
    </row>
    <row r="4182" spans="1:2" x14ac:dyDescent="0.35">
      <c r="A4182">
        <v>148</v>
      </c>
      <c r="B4182" t="s">
        <v>42</v>
      </c>
    </row>
    <row r="4183" spans="1:2" x14ac:dyDescent="0.35">
      <c r="A4183">
        <v>148</v>
      </c>
      <c r="B4183" t="s">
        <v>44</v>
      </c>
    </row>
    <row r="4184" spans="1:2" x14ac:dyDescent="0.35">
      <c r="A4184">
        <v>147</v>
      </c>
      <c r="B4184" t="s">
        <v>27</v>
      </c>
    </row>
    <row r="4185" spans="1:2" x14ac:dyDescent="0.35">
      <c r="A4185">
        <v>147</v>
      </c>
      <c r="B4185" s="2">
        <v>9.3880000000000005E-2</v>
      </c>
    </row>
    <row r="4186" spans="1:2" x14ac:dyDescent="0.35">
      <c r="A4186">
        <v>147</v>
      </c>
      <c r="B4186" t="s">
        <v>1</v>
      </c>
    </row>
    <row r="4187" spans="1:2" x14ac:dyDescent="0.35">
      <c r="A4187">
        <v>147</v>
      </c>
      <c r="B4187">
        <v>-0.36699999999999999</v>
      </c>
    </row>
    <row r="4188" spans="1:2" x14ac:dyDescent="0.35">
      <c r="A4188">
        <v>147</v>
      </c>
      <c r="B4188" t="s">
        <v>28</v>
      </c>
    </row>
    <row r="4189" spans="1:2" x14ac:dyDescent="0.35">
      <c r="A4189">
        <v>147</v>
      </c>
      <c r="B4189">
        <v>459</v>
      </c>
    </row>
    <row r="4190" spans="1:2" x14ac:dyDescent="0.35">
      <c r="A4190">
        <v>147</v>
      </c>
      <c r="B4190" t="s">
        <v>25</v>
      </c>
    </row>
    <row r="4191" spans="1:2" x14ac:dyDescent="0.35">
      <c r="A4191">
        <v>147</v>
      </c>
      <c r="B4191" s="2">
        <v>4.1099999999999998E-2</v>
      </c>
    </row>
    <row r="4192" spans="1:2" x14ac:dyDescent="0.35">
      <c r="A4192">
        <v>147</v>
      </c>
      <c r="B4192" t="s">
        <v>29</v>
      </c>
    </row>
    <row r="4193" spans="1:2" x14ac:dyDescent="0.35">
      <c r="A4193">
        <v>147</v>
      </c>
      <c r="B4193" s="2">
        <v>-7.9299999999999995E-2</v>
      </c>
    </row>
    <row r="4194" spans="1:2" x14ac:dyDescent="0.35">
      <c r="A4194">
        <v>147</v>
      </c>
      <c r="B4194" t="s">
        <v>30</v>
      </c>
    </row>
    <row r="4195" spans="1:2" x14ac:dyDescent="0.35">
      <c r="A4195">
        <v>147</v>
      </c>
      <c r="B4195" s="2">
        <v>-0.46013999999999999</v>
      </c>
    </row>
    <row r="4196" spans="1:2" x14ac:dyDescent="0.35">
      <c r="A4196">
        <v>147</v>
      </c>
      <c r="B4196" t="s">
        <v>8</v>
      </c>
    </row>
    <row r="4197" spans="1:2" x14ac:dyDescent="0.35">
      <c r="A4197">
        <v>147</v>
      </c>
      <c r="B4197" s="2">
        <v>0.59299999999999997</v>
      </c>
    </row>
    <row r="4198" spans="1:2" x14ac:dyDescent="0.35">
      <c r="A4198">
        <v>147</v>
      </c>
      <c r="B4198" t="s">
        <v>31</v>
      </c>
    </row>
    <row r="4199" spans="1:2" x14ac:dyDescent="0.35">
      <c r="A4199">
        <v>147</v>
      </c>
      <c r="B4199">
        <v>-0.29099999999999998</v>
      </c>
    </row>
    <row r="4200" spans="1:2" x14ac:dyDescent="0.35">
      <c r="A4200">
        <v>147</v>
      </c>
      <c r="B4200" t="s">
        <v>32</v>
      </c>
    </row>
    <row r="4201" spans="1:2" x14ac:dyDescent="0.35">
      <c r="A4201">
        <v>147</v>
      </c>
      <c r="B4201" s="2">
        <v>-0.32754</v>
      </c>
    </row>
    <row r="4202" spans="1:2" x14ac:dyDescent="0.35">
      <c r="A4202">
        <v>147</v>
      </c>
      <c r="B4202" t="s">
        <v>33</v>
      </c>
    </row>
    <row r="4203" spans="1:2" x14ac:dyDescent="0.35">
      <c r="A4203">
        <v>147</v>
      </c>
      <c r="B4203" s="3">
        <v>0.53</v>
      </c>
    </row>
    <row r="4204" spans="1:2" x14ac:dyDescent="0.35">
      <c r="A4204">
        <v>147</v>
      </c>
      <c r="B4204" t="s">
        <v>34</v>
      </c>
    </row>
    <row r="4205" spans="1:2" x14ac:dyDescent="0.35">
      <c r="A4205">
        <v>147</v>
      </c>
      <c r="B4205" s="3">
        <v>0.47</v>
      </c>
    </row>
    <row r="4206" spans="1:2" x14ac:dyDescent="0.35">
      <c r="A4206">
        <v>147</v>
      </c>
      <c r="B4206" t="s">
        <v>26</v>
      </c>
    </row>
    <row r="4207" spans="1:2" x14ac:dyDescent="0.35">
      <c r="A4207">
        <v>147</v>
      </c>
      <c r="B4207">
        <v>0.52</v>
      </c>
    </row>
    <row r="4208" spans="1:2" x14ac:dyDescent="0.35">
      <c r="A4208">
        <v>147</v>
      </c>
      <c r="B4208" t="s">
        <v>23</v>
      </c>
    </row>
    <row r="4209" spans="1:2" x14ac:dyDescent="0.35">
      <c r="A4209">
        <v>147</v>
      </c>
      <c r="B4209">
        <v>-0.36</v>
      </c>
    </row>
    <row r="4210" spans="1:2" x14ac:dyDescent="0.35">
      <c r="A4210">
        <v>147</v>
      </c>
      <c r="B4210" t="s">
        <v>24</v>
      </c>
    </row>
    <row r="4211" spans="1:2" x14ac:dyDescent="0.35">
      <c r="A4211">
        <v>147</v>
      </c>
      <c r="B4211">
        <v>2.1549999999999998</v>
      </c>
    </row>
    <row r="4212" spans="1:2" x14ac:dyDescent="0.35">
      <c r="A4212">
        <v>147</v>
      </c>
      <c r="B4212" t="s">
        <v>35</v>
      </c>
    </row>
    <row r="4213" spans="1:2" x14ac:dyDescent="0.35">
      <c r="A4213">
        <v>147</v>
      </c>
      <c r="B4213">
        <v>0.60599999999999998</v>
      </c>
    </row>
    <row r="4214" spans="1:2" x14ac:dyDescent="0.35">
      <c r="A4214">
        <v>147</v>
      </c>
      <c r="B4214" t="s">
        <v>36</v>
      </c>
    </row>
    <row r="4215" spans="1:2" x14ac:dyDescent="0.35">
      <c r="A4215">
        <v>147</v>
      </c>
      <c r="B4215">
        <v>0.36699999999999999</v>
      </c>
    </row>
    <row r="4216" spans="1:2" x14ac:dyDescent="0.35">
      <c r="A4216">
        <v>147</v>
      </c>
      <c r="B4216" t="s">
        <v>37</v>
      </c>
    </row>
    <row r="4217" spans="1:2" x14ac:dyDescent="0.35">
      <c r="A4217">
        <v>147</v>
      </c>
      <c r="B4217">
        <v>-0.48199999999999998</v>
      </c>
    </row>
    <row r="4218" spans="1:2" x14ac:dyDescent="0.35">
      <c r="A4218">
        <v>147</v>
      </c>
      <c r="B4218" t="s">
        <v>38</v>
      </c>
    </row>
    <row r="4219" spans="1:2" x14ac:dyDescent="0.35">
      <c r="A4219">
        <v>147</v>
      </c>
      <c r="B4219">
        <v>0.59299999999999997</v>
      </c>
    </row>
    <row r="4220" spans="1:2" x14ac:dyDescent="0.35">
      <c r="A4220">
        <v>147</v>
      </c>
      <c r="B4220" t="s">
        <v>39</v>
      </c>
    </row>
    <row r="4221" spans="1:2" x14ac:dyDescent="0.35">
      <c r="A4221">
        <v>147</v>
      </c>
      <c r="B4221">
        <v>-0.10299999999999999</v>
      </c>
    </row>
    <row r="4222" spans="1:2" x14ac:dyDescent="0.35">
      <c r="A4222">
        <v>147</v>
      </c>
      <c r="B4222" t="s">
        <v>40</v>
      </c>
    </row>
    <row r="4223" spans="1:2" x14ac:dyDescent="0.35">
      <c r="A4223">
        <v>147</v>
      </c>
      <c r="B4223" s="4">
        <v>0</v>
      </c>
    </row>
    <row r="4224" spans="1:2" x14ac:dyDescent="0.35">
      <c r="A4224">
        <v>147</v>
      </c>
      <c r="B4224" t="s">
        <v>41</v>
      </c>
    </row>
    <row r="4225" spans="1:2" x14ac:dyDescent="0.35">
      <c r="A4225">
        <v>147</v>
      </c>
      <c r="B4225" s="4">
        <v>19000000</v>
      </c>
    </row>
    <row r="4226" spans="1:2" x14ac:dyDescent="0.35">
      <c r="A4226">
        <v>147</v>
      </c>
      <c r="B4226" t="s">
        <v>42</v>
      </c>
    </row>
    <row r="4227" spans="1:2" x14ac:dyDescent="0.35">
      <c r="A4227">
        <v>147</v>
      </c>
      <c r="B4227" t="s">
        <v>44</v>
      </c>
    </row>
    <row r="4228" spans="1:2" x14ac:dyDescent="0.35">
      <c r="A4228">
        <v>146</v>
      </c>
      <c r="B4228" t="s">
        <v>27</v>
      </c>
    </row>
    <row r="4229" spans="1:2" x14ac:dyDescent="0.35">
      <c r="A4229">
        <v>146</v>
      </c>
      <c r="B4229" s="2">
        <v>9.3880000000000005E-2</v>
      </c>
    </row>
    <row r="4230" spans="1:2" x14ac:dyDescent="0.35">
      <c r="A4230">
        <v>146</v>
      </c>
      <c r="B4230" t="s">
        <v>1</v>
      </c>
    </row>
    <row r="4231" spans="1:2" x14ac:dyDescent="0.35">
      <c r="A4231">
        <v>146</v>
      </c>
      <c r="B4231">
        <v>-0.36699999999999999</v>
      </c>
    </row>
    <row r="4232" spans="1:2" x14ac:dyDescent="0.35">
      <c r="A4232">
        <v>146</v>
      </c>
      <c r="B4232" t="s">
        <v>28</v>
      </c>
    </row>
    <row r="4233" spans="1:2" x14ac:dyDescent="0.35">
      <c r="A4233">
        <v>146</v>
      </c>
      <c r="B4233">
        <v>459</v>
      </c>
    </row>
    <row r="4234" spans="1:2" x14ac:dyDescent="0.35">
      <c r="A4234">
        <v>146</v>
      </c>
      <c r="B4234" t="s">
        <v>25</v>
      </c>
    </row>
    <row r="4235" spans="1:2" x14ac:dyDescent="0.35">
      <c r="A4235">
        <v>146</v>
      </c>
      <c r="B4235" s="2">
        <v>4.1099999999999998E-2</v>
      </c>
    </row>
    <row r="4236" spans="1:2" x14ac:dyDescent="0.35">
      <c r="A4236">
        <v>146</v>
      </c>
      <c r="B4236" t="s">
        <v>29</v>
      </c>
    </row>
    <row r="4237" spans="1:2" x14ac:dyDescent="0.35">
      <c r="A4237">
        <v>146</v>
      </c>
      <c r="B4237" s="2">
        <v>-7.9299999999999995E-2</v>
      </c>
    </row>
    <row r="4238" spans="1:2" x14ac:dyDescent="0.35">
      <c r="A4238">
        <v>146</v>
      </c>
      <c r="B4238" t="s">
        <v>30</v>
      </c>
    </row>
    <row r="4239" spans="1:2" x14ac:dyDescent="0.35">
      <c r="A4239">
        <v>146</v>
      </c>
      <c r="B4239" s="2">
        <v>-0.46013999999999999</v>
      </c>
    </row>
    <row r="4240" spans="1:2" x14ac:dyDescent="0.35">
      <c r="A4240">
        <v>146</v>
      </c>
      <c r="B4240" t="s">
        <v>8</v>
      </c>
    </row>
    <row r="4241" spans="1:2" x14ac:dyDescent="0.35">
      <c r="A4241">
        <v>146</v>
      </c>
      <c r="B4241" s="2">
        <v>0.59299999999999997</v>
      </c>
    </row>
    <row r="4242" spans="1:2" x14ac:dyDescent="0.35">
      <c r="A4242">
        <v>146</v>
      </c>
      <c r="B4242" t="s">
        <v>31</v>
      </c>
    </row>
    <row r="4243" spans="1:2" x14ac:dyDescent="0.35">
      <c r="A4243">
        <v>146</v>
      </c>
      <c r="B4243">
        <v>-0.29099999999999998</v>
      </c>
    </row>
    <row r="4244" spans="1:2" x14ac:dyDescent="0.35">
      <c r="A4244">
        <v>146</v>
      </c>
      <c r="B4244" t="s">
        <v>32</v>
      </c>
    </row>
    <row r="4245" spans="1:2" x14ac:dyDescent="0.35">
      <c r="A4245">
        <v>146</v>
      </c>
      <c r="B4245" s="2">
        <v>-0.32754</v>
      </c>
    </row>
    <row r="4246" spans="1:2" x14ac:dyDescent="0.35">
      <c r="A4246">
        <v>146</v>
      </c>
      <c r="B4246" t="s">
        <v>33</v>
      </c>
    </row>
    <row r="4247" spans="1:2" x14ac:dyDescent="0.35">
      <c r="A4247">
        <v>146</v>
      </c>
      <c r="B4247" s="3">
        <v>0.53</v>
      </c>
    </row>
    <row r="4248" spans="1:2" x14ac:dyDescent="0.35">
      <c r="A4248">
        <v>146</v>
      </c>
      <c r="B4248" t="s">
        <v>34</v>
      </c>
    </row>
    <row r="4249" spans="1:2" x14ac:dyDescent="0.35">
      <c r="A4249">
        <v>146</v>
      </c>
      <c r="B4249" s="3">
        <v>0.47</v>
      </c>
    </row>
    <row r="4250" spans="1:2" x14ac:dyDescent="0.35">
      <c r="A4250">
        <v>146</v>
      </c>
      <c r="B4250" t="s">
        <v>26</v>
      </c>
    </row>
    <row r="4251" spans="1:2" x14ac:dyDescent="0.35">
      <c r="A4251">
        <v>146</v>
      </c>
      <c r="B4251">
        <v>0.52</v>
      </c>
    </row>
    <row r="4252" spans="1:2" x14ac:dyDescent="0.35">
      <c r="A4252">
        <v>146</v>
      </c>
      <c r="B4252" t="s">
        <v>23</v>
      </c>
    </row>
    <row r="4253" spans="1:2" x14ac:dyDescent="0.35">
      <c r="A4253">
        <v>146</v>
      </c>
      <c r="B4253">
        <v>-0.36</v>
      </c>
    </row>
    <row r="4254" spans="1:2" x14ac:dyDescent="0.35">
      <c r="A4254">
        <v>146</v>
      </c>
      <c r="B4254" t="s">
        <v>24</v>
      </c>
    </row>
    <row r="4255" spans="1:2" x14ac:dyDescent="0.35">
      <c r="A4255">
        <v>146</v>
      </c>
      <c r="B4255">
        <v>2.1549999999999998</v>
      </c>
    </row>
    <row r="4256" spans="1:2" x14ac:dyDescent="0.35">
      <c r="A4256">
        <v>146</v>
      </c>
      <c r="B4256" t="s">
        <v>35</v>
      </c>
    </row>
    <row r="4257" spans="1:2" x14ac:dyDescent="0.35">
      <c r="A4257">
        <v>146</v>
      </c>
      <c r="B4257">
        <v>0.60599999999999998</v>
      </c>
    </row>
    <row r="4258" spans="1:2" x14ac:dyDescent="0.35">
      <c r="A4258">
        <v>146</v>
      </c>
      <c r="B4258" t="s">
        <v>36</v>
      </c>
    </row>
    <row r="4259" spans="1:2" x14ac:dyDescent="0.35">
      <c r="A4259">
        <v>146</v>
      </c>
      <c r="B4259">
        <v>0.36699999999999999</v>
      </c>
    </row>
    <row r="4260" spans="1:2" x14ac:dyDescent="0.35">
      <c r="A4260">
        <v>146</v>
      </c>
      <c r="B4260" t="s">
        <v>37</v>
      </c>
    </row>
    <row r="4261" spans="1:2" x14ac:dyDescent="0.35">
      <c r="A4261">
        <v>146</v>
      </c>
      <c r="B4261">
        <v>-0.48199999999999998</v>
      </c>
    </row>
    <row r="4262" spans="1:2" x14ac:dyDescent="0.35">
      <c r="A4262">
        <v>146</v>
      </c>
      <c r="B4262" t="s">
        <v>38</v>
      </c>
    </row>
    <row r="4263" spans="1:2" x14ac:dyDescent="0.35">
      <c r="A4263">
        <v>146</v>
      </c>
      <c r="B4263">
        <v>0.59299999999999997</v>
      </c>
    </row>
    <row r="4264" spans="1:2" x14ac:dyDescent="0.35">
      <c r="A4264">
        <v>146</v>
      </c>
      <c r="B4264" t="s">
        <v>39</v>
      </c>
    </row>
    <row r="4265" spans="1:2" x14ac:dyDescent="0.35">
      <c r="A4265">
        <v>146</v>
      </c>
      <c r="B4265">
        <v>-0.10299999999999999</v>
      </c>
    </row>
    <row r="4266" spans="1:2" x14ac:dyDescent="0.35">
      <c r="A4266">
        <v>146</v>
      </c>
      <c r="B4266" t="s">
        <v>40</v>
      </c>
    </row>
    <row r="4267" spans="1:2" x14ac:dyDescent="0.35">
      <c r="A4267">
        <v>146</v>
      </c>
      <c r="B4267" s="4">
        <v>0</v>
      </c>
    </row>
    <row r="4268" spans="1:2" x14ac:dyDescent="0.35">
      <c r="A4268">
        <v>146</v>
      </c>
      <c r="B4268" t="s">
        <v>41</v>
      </c>
    </row>
    <row r="4269" spans="1:2" x14ac:dyDescent="0.35">
      <c r="A4269">
        <v>146</v>
      </c>
      <c r="B4269" s="4">
        <v>19000000</v>
      </c>
    </row>
    <row r="4270" spans="1:2" x14ac:dyDescent="0.35">
      <c r="A4270">
        <v>146</v>
      </c>
      <c r="B4270" t="s">
        <v>42</v>
      </c>
    </row>
    <row r="4271" spans="1:2" x14ac:dyDescent="0.35">
      <c r="A4271">
        <v>146</v>
      </c>
      <c r="B4271" t="s">
        <v>44</v>
      </c>
    </row>
    <row r="4272" spans="1:2" x14ac:dyDescent="0.35">
      <c r="A4272">
        <v>145</v>
      </c>
      <c r="B4272" t="s">
        <v>27</v>
      </c>
    </row>
    <row r="4273" spans="1:2" x14ac:dyDescent="0.35">
      <c r="A4273">
        <v>145</v>
      </c>
      <c r="B4273" s="2">
        <v>9.3880000000000005E-2</v>
      </c>
    </row>
    <row r="4274" spans="1:2" x14ac:dyDescent="0.35">
      <c r="A4274">
        <v>145</v>
      </c>
      <c r="B4274" t="s">
        <v>1</v>
      </c>
    </row>
    <row r="4275" spans="1:2" x14ac:dyDescent="0.35">
      <c r="A4275">
        <v>145</v>
      </c>
      <c r="B4275">
        <v>-0.36699999999999999</v>
      </c>
    </row>
    <row r="4276" spans="1:2" x14ac:dyDescent="0.35">
      <c r="A4276">
        <v>145</v>
      </c>
      <c r="B4276" t="s">
        <v>28</v>
      </c>
    </row>
    <row r="4277" spans="1:2" x14ac:dyDescent="0.35">
      <c r="A4277">
        <v>145</v>
      </c>
      <c r="B4277">
        <v>459</v>
      </c>
    </row>
    <row r="4278" spans="1:2" x14ac:dyDescent="0.35">
      <c r="A4278">
        <v>145</v>
      </c>
      <c r="B4278" t="s">
        <v>25</v>
      </c>
    </row>
    <row r="4279" spans="1:2" x14ac:dyDescent="0.35">
      <c r="A4279">
        <v>145</v>
      </c>
      <c r="B4279" s="2">
        <v>4.1099999999999998E-2</v>
      </c>
    </row>
    <row r="4280" spans="1:2" x14ac:dyDescent="0.35">
      <c r="A4280">
        <v>145</v>
      </c>
      <c r="B4280" t="s">
        <v>29</v>
      </c>
    </row>
    <row r="4281" spans="1:2" x14ac:dyDescent="0.35">
      <c r="A4281">
        <v>145</v>
      </c>
      <c r="B4281" s="2">
        <v>-7.9299999999999995E-2</v>
      </c>
    </row>
    <row r="4282" spans="1:2" x14ac:dyDescent="0.35">
      <c r="A4282">
        <v>145</v>
      </c>
      <c r="B4282" t="s">
        <v>30</v>
      </c>
    </row>
    <row r="4283" spans="1:2" x14ac:dyDescent="0.35">
      <c r="A4283">
        <v>145</v>
      </c>
      <c r="B4283" s="2">
        <v>-0.46013999999999999</v>
      </c>
    </row>
    <row r="4284" spans="1:2" x14ac:dyDescent="0.35">
      <c r="A4284">
        <v>145</v>
      </c>
      <c r="B4284" t="s">
        <v>8</v>
      </c>
    </row>
    <row r="4285" spans="1:2" x14ac:dyDescent="0.35">
      <c r="A4285">
        <v>145</v>
      </c>
      <c r="B4285" s="2">
        <v>0.59299999999999997</v>
      </c>
    </row>
    <row r="4286" spans="1:2" x14ac:dyDescent="0.35">
      <c r="A4286">
        <v>145</v>
      </c>
      <c r="B4286" t="s">
        <v>31</v>
      </c>
    </row>
    <row r="4287" spans="1:2" x14ac:dyDescent="0.35">
      <c r="A4287">
        <v>145</v>
      </c>
      <c r="B4287">
        <v>-0.29099999999999998</v>
      </c>
    </row>
    <row r="4288" spans="1:2" x14ac:dyDescent="0.35">
      <c r="A4288">
        <v>145</v>
      </c>
      <c r="B4288" t="s">
        <v>32</v>
      </c>
    </row>
    <row r="4289" spans="1:2" x14ac:dyDescent="0.35">
      <c r="A4289">
        <v>145</v>
      </c>
      <c r="B4289" s="2">
        <v>-0.32754</v>
      </c>
    </row>
    <row r="4290" spans="1:2" x14ac:dyDescent="0.35">
      <c r="A4290">
        <v>145</v>
      </c>
      <c r="B4290" t="s">
        <v>33</v>
      </c>
    </row>
    <row r="4291" spans="1:2" x14ac:dyDescent="0.35">
      <c r="A4291">
        <v>145</v>
      </c>
      <c r="B4291" s="3">
        <v>0.53</v>
      </c>
    </row>
    <row r="4292" spans="1:2" x14ac:dyDescent="0.35">
      <c r="A4292">
        <v>145</v>
      </c>
      <c r="B4292" t="s">
        <v>34</v>
      </c>
    </row>
    <row r="4293" spans="1:2" x14ac:dyDescent="0.35">
      <c r="A4293">
        <v>145</v>
      </c>
      <c r="B4293" s="3">
        <v>0.47</v>
      </c>
    </row>
    <row r="4294" spans="1:2" x14ac:dyDescent="0.35">
      <c r="A4294">
        <v>145</v>
      </c>
      <c r="B4294" t="s">
        <v>26</v>
      </c>
    </row>
    <row r="4295" spans="1:2" x14ac:dyDescent="0.35">
      <c r="A4295">
        <v>145</v>
      </c>
      <c r="B4295">
        <v>0.52</v>
      </c>
    </row>
    <row r="4296" spans="1:2" x14ac:dyDescent="0.35">
      <c r="A4296">
        <v>145</v>
      </c>
      <c r="B4296" t="s">
        <v>23</v>
      </c>
    </row>
    <row r="4297" spans="1:2" x14ac:dyDescent="0.35">
      <c r="A4297">
        <v>145</v>
      </c>
      <c r="B4297">
        <v>-0.36</v>
      </c>
    </row>
    <row r="4298" spans="1:2" x14ac:dyDescent="0.35">
      <c r="A4298">
        <v>145</v>
      </c>
      <c r="B4298" t="s">
        <v>24</v>
      </c>
    </row>
    <row r="4299" spans="1:2" x14ac:dyDescent="0.35">
      <c r="A4299">
        <v>145</v>
      </c>
      <c r="B4299">
        <v>2.1549999999999998</v>
      </c>
    </row>
    <row r="4300" spans="1:2" x14ac:dyDescent="0.35">
      <c r="A4300">
        <v>145</v>
      </c>
      <c r="B4300" t="s">
        <v>35</v>
      </c>
    </row>
    <row r="4301" spans="1:2" x14ac:dyDescent="0.35">
      <c r="A4301">
        <v>145</v>
      </c>
      <c r="B4301">
        <v>0.60599999999999998</v>
      </c>
    </row>
    <row r="4302" spans="1:2" x14ac:dyDescent="0.35">
      <c r="A4302">
        <v>145</v>
      </c>
      <c r="B4302" t="s">
        <v>36</v>
      </c>
    </row>
    <row r="4303" spans="1:2" x14ac:dyDescent="0.35">
      <c r="A4303">
        <v>145</v>
      </c>
      <c r="B4303">
        <v>0.36699999999999999</v>
      </c>
    </row>
    <row r="4304" spans="1:2" x14ac:dyDescent="0.35">
      <c r="A4304">
        <v>145</v>
      </c>
      <c r="B4304" t="s">
        <v>37</v>
      </c>
    </row>
    <row r="4305" spans="1:2" x14ac:dyDescent="0.35">
      <c r="A4305">
        <v>145</v>
      </c>
      <c r="B4305">
        <v>-0.48199999999999998</v>
      </c>
    </row>
    <row r="4306" spans="1:2" x14ac:dyDescent="0.35">
      <c r="A4306">
        <v>145</v>
      </c>
      <c r="B4306" t="s">
        <v>38</v>
      </c>
    </row>
    <row r="4307" spans="1:2" x14ac:dyDescent="0.35">
      <c r="A4307">
        <v>145</v>
      </c>
      <c r="B4307">
        <v>0.59299999999999997</v>
      </c>
    </row>
    <row r="4308" spans="1:2" x14ac:dyDescent="0.35">
      <c r="A4308">
        <v>145</v>
      </c>
      <c r="B4308" t="s">
        <v>39</v>
      </c>
    </row>
    <row r="4309" spans="1:2" x14ac:dyDescent="0.35">
      <c r="A4309">
        <v>145</v>
      </c>
      <c r="B4309">
        <v>-0.10299999999999999</v>
      </c>
    </row>
    <row r="4310" spans="1:2" x14ac:dyDescent="0.35">
      <c r="A4310">
        <v>145</v>
      </c>
      <c r="B4310" t="s">
        <v>40</v>
      </c>
    </row>
    <row r="4311" spans="1:2" x14ac:dyDescent="0.35">
      <c r="A4311">
        <v>145</v>
      </c>
      <c r="B4311" s="4">
        <v>0</v>
      </c>
    </row>
    <row r="4312" spans="1:2" x14ac:dyDescent="0.35">
      <c r="A4312">
        <v>145</v>
      </c>
      <c r="B4312" t="s">
        <v>41</v>
      </c>
    </row>
    <row r="4313" spans="1:2" x14ac:dyDescent="0.35">
      <c r="A4313">
        <v>145</v>
      </c>
      <c r="B4313" s="4">
        <v>19000000</v>
      </c>
    </row>
    <row r="4314" spans="1:2" x14ac:dyDescent="0.35">
      <c r="A4314">
        <v>145</v>
      </c>
      <c r="B4314" t="s">
        <v>42</v>
      </c>
    </row>
    <row r="4315" spans="1:2" x14ac:dyDescent="0.35">
      <c r="A4315">
        <v>145</v>
      </c>
      <c r="B4315" t="s">
        <v>44</v>
      </c>
    </row>
    <row r="4316" spans="1:2" x14ac:dyDescent="0.35">
      <c r="A4316">
        <v>135</v>
      </c>
      <c r="B4316" t="s">
        <v>27</v>
      </c>
    </row>
    <row r="4317" spans="1:2" x14ac:dyDescent="0.35">
      <c r="A4317">
        <v>135</v>
      </c>
      <c r="B4317" s="2">
        <v>9.3880000000000005E-2</v>
      </c>
    </row>
    <row r="4318" spans="1:2" x14ac:dyDescent="0.35">
      <c r="A4318">
        <v>135</v>
      </c>
      <c r="B4318" t="s">
        <v>1</v>
      </c>
    </row>
    <row r="4319" spans="1:2" x14ac:dyDescent="0.35">
      <c r="A4319">
        <v>135</v>
      </c>
      <c r="B4319">
        <v>-0.36699999999999999</v>
      </c>
    </row>
    <row r="4320" spans="1:2" x14ac:dyDescent="0.35">
      <c r="A4320">
        <v>135</v>
      </c>
      <c r="B4320" t="s">
        <v>28</v>
      </c>
    </row>
    <row r="4321" spans="1:2" x14ac:dyDescent="0.35">
      <c r="A4321">
        <v>135</v>
      </c>
      <c r="B4321">
        <v>459</v>
      </c>
    </row>
    <row r="4322" spans="1:2" x14ac:dyDescent="0.35">
      <c r="A4322">
        <v>135</v>
      </c>
      <c r="B4322" t="s">
        <v>25</v>
      </c>
    </row>
    <row r="4323" spans="1:2" x14ac:dyDescent="0.35">
      <c r="A4323">
        <v>135</v>
      </c>
      <c r="B4323" s="2">
        <v>4.1099999999999998E-2</v>
      </c>
    </row>
    <row r="4324" spans="1:2" x14ac:dyDescent="0.35">
      <c r="A4324">
        <v>135</v>
      </c>
      <c r="B4324" t="s">
        <v>29</v>
      </c>
    </row>
    <row r="4325" spans="1:2" x14ac:dyDescent="0.35">
      <c r="A4325">
        <v>135</v>
      </c>
      <c r="B4325" s="2">
        <v>-7.9299999999999995E-2</v>
      </c>
    </row>
    <row r="4326" spans="1:2" x14ac:dyDescent="0.35">
      <c r="A4326">
        <v>135</v>
      </c>
      <c r="B4326" t="s">
        <v>30</v>
      </c>
    </row>
    <row r="4327" spans="1:2" x14ac:dyDescent="0.35">
      <c r="A4327">
        <v>135</v>
      </c>
      <c r="B4327" s="2">
        <v>-0.46013999999999999</v>
      </c>
    </row>
    <row r="4328" spans="1:2" x14ac:dyDescent="0.35">
      <c r="A4328">
        <v>135</v>
      </c>
      <c r="B4328" t="s">
        <v>8</v>
      </c>
    </row>
    <row r="4329" spans="1:2" x14ac:dyDescent="0.35">
      <c r="A4329">
        <v>135</v>
      </c>
      <c r="B4329" s="2">
        <v>0.59299999999999997</v>
      </c>
    </row>
    <row r="4330" spans="1:2" x14ac:dyDescent="0.35">
      <c r="A4330">
        <v>135</v>
      </c>
      <c r="B4330" t="s">
        <v>31</v>
      </c>
    </row>
    <row r="4331" spans="1:2" x14ac:dyDescent="0.35">
      <c r="A4331">
        <v>135</v>
      </c>
      <c r="B4331">
        <v>-0.29099999999999998</v>
      </c>
    </row>
    <row r="4332" spans="1:2" x14ac:dyDescent="0.35">
      <c r="A4332">
        <v>135</v>
      </c>
      <c r="B4332" t="s">
        <v>32</v>
      </c>
    </row>
    <row r="4333" spans="1:2" x14ac:dyDescent="0.35">
      <c r="A4333">
        <v>135</v>
      </c>
      <c r="B4333" s="2">
        <v>-0.32754</v>
      </c>
    </row>
    <row r="4334" spans="1:2" x14ac:dyDescent="0.35">
      <c r="A4334">
        <v>135</v>
      </c>
      <c r="B4334" t="s">
        <v>33</v>
      </c>
    </row>
    <row r="4335" spans="1:2" x14ac:dyDescent="0.35">
      <c r="A4335">
        <v>135</v>
      </c>
      <c r="B4335" s="3">
        <v>0.53</v>
      </c>
    </row>
    <row r="4336" spans="1:2" x14ac:dyDescent="0.35">
      <c r="A4336">
        <v>135</v>
      </c>
      <c r="B4336" t="s">
        <v>34</v>
      </c>
    </row>
    <row r="4337" spans="1:2" x14ac:dyDescent="0.35">
      <c r="A4337">
        <v>135</v>
      </c>
      <c r="B4337" s="3">
        <v>0.47</v>
      </c>
    </row>
    <row r="4338" spans="1:2" x14ac:dyDescent="0.35">
      <c r="A4338">
        <v>135</v>
      </c>
      <c r="B4338" t="s">
        <v>26</v>
      </c>
    </row>
    <row r="4339" spans="1:2" x14ac:dyDescent="0.35">
      <c r="A4339">
        <v>135</v>
      </c>
      <c r="B4339">
        <v>0.52</v>
      </c>
    </row>
    <row r="4340" spans="1:2" x14ac:dyDescent="0.35">
      <c r="A4340">
        <v>135</v>
      </c>
      <c r="B4340" t="s">
        <v>23</v>
      </c>
    </row>
    <row r="4341" spans="1:2" x14ac:dyDescent="0.35">
      <c r="A4341">
        <v>135</v>
      </c>
      <c r="B4341">
        <v>-0.36</v>
      </c>
    </row>
    <row r="4342" spans="1:2" x14ac:dyDescent="0.35">
      <c r="A4342">
        <v>135</v>
      </c>
      <c r="B4342" t="s">
        <v>24</v>
      </c>
    </row>
    <row r="4343" spans="1:2" x14ac:dyDescent="0.35">
      <c r="A4343">
        <v>135</v>
      </c>
      <c r="B4343">
        <v>2.1549999999999998</v>
      </c>
    </row>
    <row r="4344" spans="1:2" x14ac:dyDescent="0.35">
      <c r="A4344">
        <v>135</v>
      </c>
      <c r="B4344" t="s">
        <v>35</v>
      </c>
    </row>
    <row r="4345" spans="1:2" x14ac:dyDescent="0.35">
      <c r="A4345">
        <v>135</v>
      </c>
      <c r="B4345">
        <v>0.60599999999999998</v>
      </c>
    </row>
    <row r="4346" spans="1:2" x14ac:dyDescent="0.35">
      <c r="A4346">
        <v>135</v>
      </c>
      <c r="B4346" t="s">
        <v>36</v>
      </c>
    </row>
    <row r="4347" spans="1:2" x14ac:dyDescent="0.35">
      <c r="A4347">
        <v>135</v>
      </c>
      <c r="B4347">
        <v>0.36699999999999999</v>
      </c>
    </row>
    <row r="4348" spans="1:2" x14ac:dyDescent="0.35">
      <c r="A4348">
        <v>135</v>
      </c>
      <c r="B4348" t="s">
        <v>37</v>
      </c>
    </row>
    <row r="4349" spans="1:2" x14ac:dyDescent="0.35">
      <c r="A4349">
        <v>135</v>
      </c>
      <c r="B4349">
        <v>-0.48199999999999998</v>
      </c>
    </row>
    <row r="4350" spans="1:2" x14ac:dyDescent="0.35">
      <c r="A4350">
        <v>135</v>
      </c>
      <c r="B4350" t="s">
        <v>38</v>
      </c>
    </row>
    <row r="4351" spans="1:2" x14ac:dyDescent="0.35">
      <c r="A4351">
        <v>135</v>
      </c>
      <c r="B4351">
        <v>0.59299999999999997</v>
      </c>
    </row>
    <row r="4352" spans="1:2" x14ac:dyDescent="0.35">
      <c r="A4352">
        <v>135</v>
      </c>
      <c r="B4352" t="s">
        <v>39</v>
      </c>
    </row>
    <row r="4353" spans="1:2" x14ac:dyDescent="0.35">
      <c r="A4353">
        <v>135</v>
      </c>
      <c r="B4353">
        <v>-0.10299999999999999</v>
      </c>
    </row>
    <row r="4354" spans="1:2" x14ac:dyDescent="0.35">
      <c r="A4354">
        <v>135</v>
      </c>
      <c r="B4354" t="s">
        <v>40</v>
      </c>
    </row>
    <row r="4355" spans="1:2" x14ac:dyDescent="0.35">
      <c r="A4355">
        <v>135</v>
      </c>
      <c r="B4355" s="4">
        <v>0</v>
      </c>
    </row>
    <row r="4356" spans="1:2" x14ac:dyDescent="0.35">
      <c r="A4356">
        <v>135</v>
      </c>
      <c r="B4356" t="s">
        <v>41</v>
      </c>
    </row>
    <row r="4357" spans="1:2" x14ac:dyDescent="0.35">
      <c r="A4357">
        <v>135</v>
      </c>
      <c r="B4357" s="4">
        <v>19000000</v>
      </c>
    </row>
    <row r="4358" spans="1:2" x14ac:dyDescent="0.35">
      <c r="A4358">
        <v>135</v>
      </c>
      <c r="B4358" t="s">
        <v>42</v>
      </c>
    </row>
    <row r="4359" spans="1:2" x14ac:dyDescent="0.35">
      <c r="A4359">
        <v>135</v>
      </c>
      <c r="B4359" t="s">
        <v>44</v>
      </c>
    </row>
    <row r="4360" spans="1:2" x14ac:dyDescent="0.35">
      <c r="A4360">
        <v>134</v>
      </c>
      <c r="B4360" t="s">
        <v>27</v>
      </c>
    </row>
    <row r="4361" spans="1:2" x14ac:dyDescent="0.35">
      <c r="A4361">
        <v>134</v>
      </c>
      <c r="B4361" s="2">
        <v>9.3880000000000005E-2</v>
      </c>
    </row>
    <row r="4362" spans="1:2" x14ac:dyDescent="0.35">
      <c r="A4362">
        <v>134</v>
      </c>
      <c r="B4362" t="s">
        <v>1</v>
      </c>
    </row>
    <row r="4363" spans="1:2" x14ac:dyDescent="0.35">
      <c r="A4363">
        <v>134</v>
      </c>
      <c r="B4363">
        <v>-0.36699999999999999</v>
      </c>
    </row>
    <row r="4364" spans="1:2" x14ac:dyDescent="0.35">
      <c r="A4364">
        <v>134</v>
      </c>
      <c r="B4364" t="s">
        <v>28</v>
      </c>
    </row>
    <row r="4365" spans="1:2" x14ac:dyDescent="0.35">
      <c r="A4365">
        <v>134</v>
      </c>
      <c r="B4365">
        <v>459</v>
      </c>
    </row>
    <row r="4366" spans="1:2" x14ac:dyDescent="0.35">
      <c r="A4366">
        <v>134</v>
      </c>
      <c r="B4366" t="s">
        <v>25</v>
      </c>
    </row>
    <row r="4367" spans="1:2" x14ac:dyDescent="0.35">
      <c r="A4367">
        <v>134</v>
      </c>
      <c r="B4367" s="2">
        <v>4.1099999999999998E-2</v>
      </c>
    </row>
    <row r="4368" spans="1:2" x14ac:dyDescent="0.35">
      <c r="A4368">
        <v>134</v>
      </c>
      <c r="B4368" t="s">
        <v>29</v>
      </c>
    </row>
    <row r="4369" spans="1:2" x14ac:dyDescent="0.35">
      <c r="A4369">
        <v>134</v>
      </c>
      <c r="B4369" s="2">
        <v>-7.9299999999999995E-2</v>
      </c>
    </row>
    <row r="4370" spans="1:2" x14ac:dyDescent="0.35">
      <c r="A4370">
        <v>134</v>
      </c>
      <c r="B4370" t="s">
        <v>30</v>
      </c>
    </row>
    <row r="4371" spans="1:2" x14ac:dyDescent="0.35">
      <c r="A4371">
        <v>134</v>
      </c>
      <c r="B4371" s="2">
        <v>-0.46013999999999999</v>
      </c>
    </row>
    <row r="4372" spans="1:2" x14ac:dyDescent="0.35">
      <c r="A4372">
        <v>134</v>
      </c>
      <c r="B4372" t="s">
        <v>8</v>
      </c>
    </row>
    <row r="4373" spans="1:2" x14ac:dyDescent="0.35">
      <c r="A4373">
        <v>134</v>
      </c>
      <c r="B4373" s="2">
        <v>0.59299999999999997</v>
      </c>
    </row>
    <row r="4374" spans="1:2" x14ac:dyDescent="0.35">
      <c r="A4374">
        <v>134</v>
      </c>
      <c r="B4374" t="s">
        <v>31</v>
      </c>
    </row>
    <row r="4375" spans="1:2" x14ac:dyDescent="0.35">
      <c r="A4375">
        <v>134</v>
      </c>
      <c r="B4375">
        <v>-0.29099999999999998</v>
      </c>
    </row>
    <row r="4376" spans="1:2" x14ac:dyDescent="0.35">
      <c r="A4376">
        <v>134</v>
      </c>
      <c r="B4376" t="s">
        <v>32</v>
      </c>
    </row>
    <row r="4377" spans="1:2" x14ac:dyDescent="0.35">
      <c r="A4377">
        <v>134</v>
      </c>
      <c r="B4377" s="2">
        <v>-0.32754</v>
      </c>
    </row>
    <row r="4378" spans="1:2" x14ac:dyDescent="0.35">
      <c r="A4378">
        <v>134</v>
      </c>
      <c r="B4378" t="s">
        <v>33</v>
      </c>
    </row>
    <row r="4379" spans="1:2" x14ac:dyDescent="0.35">
      <c r="A4379">
        <v>134</v>
      </c>
      <c r="B4379" s="3">
        <v>0.53</v>
      </c>
    </row>
    <row r="4380" spans="1:2" x14ac:dyDescent="0.35">
      <c r="A4380">
        <v>134</v>
      </c>
      <c r="B4380" t="s">
        <v>34</v>
      </c>
    </row>
    <row r="4381" spans="1:2" x14ac:dyDescent="0.35">
      <c r="A4381">
        <v>134</v>
      </c>
      <c r="B4381" s="3">
        <v>0.47</v>
      </c>
    </row>
    <row r="4382" spans="1:2" x14ac:dyDescent="0.35">
      <c r="A4382">
        <v>134</v>
      </c>
      <c r="B4382" t="s">
        <v>26</v>
      </c>
    </row>
    <row r="4383" spans="1:2" x14ac:dyDescent="0.35">
      <c r="A4383">
        <v>134</v>
      </c>
      <c r="B4383">
        <v>0.52</v>
      </c>
    </row>
    <row r="4384" spans="1:2" x14ac:dyDescent="0.35">
      <c r="A4384">
        <v>134</v>
      </c>
      <c r="B4384" t="s">
        <v>23</v>
      </c>
    </row>
    <row r="4385" spans="1:2" x14ac:dyDescent="0.35">
      <c r="A4385">
        <v>134</v>
      </c>
      <c r="B4385">
        <v>-0.36</v>
      </c>
    </row>
    <row r="4386" spans="1:2" x14ac:dyDescent="0.35">
      <c r="A4386">
        <v>134</v>
      </c>
      <c r="B4386" t="s">
        <v>24</v>
      </c>
    </row>
    <row r="4387" spans="1:2" x14ac:dyDescent="0.35">
      <c r="A4387">
        <v>134</v>
      </c>
      <c r="B4387">
        <v>2.1549999999999998</v>
      </c>
    </row>
    <row r="4388" spans="1:2" x14ac:dyDescent="0.35">
      <c r="A4388">
        <v>134</v>
      </c>
      <c r="B4388" t="s">
        <v>35</v>
      </c>
    </row>
    <row r="4389" spans="1:2" x14ac:dyDescent="0.35">
      <c r="A4389">
        <v>134</v>
      </c>
      <c r="B4389">
        <v>0.60599999999999998</v>
      </c>
    </row>
    <row r="4390" spans="1:2" x14ac:dyDescent="0.35">
      <c r="A4390">
        <v>134</v>
      </c>
      <c r="B4390" t="s">
        <v>36</v>
      </c>
    </row>
    <row r="4391" spans="1:2" x14ac:dyDescent="0.35">
      <c r="A4391">
        <v>134</v>
      </c>
      <c r="B4391">
        <v>0.36699999999999999</v>
      </c>
    </row>
    <row r="4392" spans="1:2" x14ac:dyDescent="0.35">
      <c r="A4392">
        <v>134</v>
      </c>
      <c r="B4392" t="s">
        <v>37</v>
      </c>
    </row>
    <row r="4393" spans="1:2" x14ac:dyDescent="0.35">
      <c r="A4393">
        <v>134</v>
      </c>
      <c r="B4393">
        <v>-0.48199999999999998</v>
      </c>
    </row>
    <row r="4394" spans="1:2" x14ac:dyDescent="0.35">
      <c r="A4394">
        <v>134</v>
      </c>
      <c r="B4394" t="s">
        <v>38</v>
      </c>
    </row>
    <row r="4395" spans="1:2" x14ac:dyDescent="0.35">
      <c r="A4395">
        <v>134</v>
      </c>
      <c r="B4395">
        <v>0.59299999999999997</v>
      </c>
    </row>
    <row r="4396" spans="1:2" x14ac:dyDescent="0.35">
      <c r="A4396">
        <v>134</v>
      </c>
      <c r="B4396" t="s">
        <v>39</v>
      </c>
    </row>
    <row r="4397" spans="1:2" x14ac:dyDescent="0.35">
      <c r="A4397">
        <v>134</v>
      </c>
      <c r="B4397">
        <v>-0.10299999999999999</v>
      </c>
    </row>
    <row r="4398" spans="1:2" x14ac:dyDescent="0.35">
      <c r="A4398">
        <v>134</v>
      </c>
      <c r="B4398" t="s">
        <v>40</v>
      </c>
    </row>
    <row r="4399" spans="1:2" x14ac:dyDescent="0.35">
      <c r="A4399">
        <v>134</v>
      </c>
      <c r="B4399" s="4">
        <v>0</v>
      </c>
    </row>
    <row r="4400" spans="1:2" x14ac:dyDescent="0.35">
      <c r="A4400">
        <v>134</v>
      </c>
      <c r="B4400" t="s">
        <v>41</v>
      </c>
    </row>
    <row r="4401" spans="1:2" x14ac:dyDescent="0.35">
      <c r="A4401">
        <v>134</v>
      </c>
      <c r="B4401" s="4">
        <v>19000000</v>
      </c>
    </row>
    <row r="4402" spans="1:2" x14ac:dyDescent="0.35">
      <c r="A4402">
        <v>134</v>
      </c>
      <c r="B4402" t="s">
        <v>42</v>
      </c>
    </row>
    <row r="4403" spans="1:2" x14ac:dyDescent="0.35">
      <c r="A4403">
        <v>134</v>
      </c>
      <c r="B4403" t="s">
        <v>44</v>
      </c>
    </row>
    <row r="4404" spans="1:2" x14ac:dyDescent="0.35">
      <c r="A4404">
        <v>133</v>
      </c>
      <c r="B4404" t="s">
        <v>27</v>
      </c>
    </row>
    <row r="4405" spans="1:2" x14ac:dyDescent="0.35">
      <c r="A4405">
        <v>133</v>
      </c>
      <c r="B4405" s="2">
        <v>9.3880000000000005E-2</v>
      </c>
    </row>
    <row r="4406" spans="1:2" x14ac:dyDescent="0.35">
      <c r="A4406">
        <v>133</v>
      </c>
      <c r="B4406" t="s">
        <v>1</v>
      </c>
    </row>
    <row r="4407" spans="1:2" x14ac:dyDescent="0.35">
      <c r="A4407">
        <v>133</v>
      </c>
      <c r="B4407">
        <v>-0.36699999999999999</v>
      </c>
    </row>
    <row r="4408" spans="1:2" x14ac:dyDescent="0.35">
      <c r="A4408">
        <v>133</v>
      </c>
      <c r="B4408" t="s">
        <v>28</v>
      </c>
    </row>
    <row r="4409" spans="1:2" x14ac:dyDescent="0.35">
      <c r="A4409">
        <v>133</v>
      </c>
      <c r="B4409">
        <v>459</v>
      </c>
    </row>
    <row r="4410" spans="1:2" x14ac:dyDescent="0.35">
      <c r="A4410">
        <v>133</v>
      </c>
      <c r="B4410" t="s">
        <v>25</v>
      </c>
    </row>
    <row r="4411" spans="1:2" x14ac:dyDescent="0.35">
      <c r="A4411">
        <v>133</v>
      </c>
      <c r="B4411" s="2">
        <v>4.1099999999999998E-2</v>
      </c>
    </row>
    <row r="4412" spans="1:2" x14ac:dyDescent="0.35">
      <c r="A4412">
        <v>133</v>
      </c>
      <c r="B4412" t="s">
        <v>29</v>
      </c>
    </row>
    <row r="4413" spans="1:2" x14ac:dyDescent="0.35">
      <c r="A4413">
        <v>133</v>
      </c>
      <c r="B4413" s="2">
        <v>-7.9299999999999995E-2</v>
      </c>
    </row>
    <row r="4414" spans="1:2" x14ac:dyDescent="0.35">
      <c r="A4414">
        <v>133</v>
      </c>
      <c r="B4414" t="s">
        <v>30</v>
      </c>
    </row>
    <row r="4415" spans="1:2" x14ac:dyDescent="0.35">
      <c r="A4415">
        <v>133</v>
      </c>
      <c r="B4415" s="2">
        <v>-0.46013999999999999</v>
      </c>
    </row>
    <row r="4416" spans="1:2" x14ac:dyDescent="0.35">
      <c r="A4416">
        <v>133</v>
      </c>
      <c r="B4416" t="s">
        <v>8</v>
      </c>
    </row>
    <row r="4417" spans="1:2" x14ac:dyDescent="0.35">
      <c r="A4417">
        <v>133</v>
      </c>
      <c r="B4417" s="2">
        <v>0.59299999999999997</v>
      </c>
    </row>
    <row r="4418" spans="1:2" x14ac:dyDescent="0.35">
      <c r="A4418">
        <v>133</v>
      </c>
      <c r="B4418" t="s">
        <v>31</v>
      </c>
    </row>
    <row r="4419" spans="1:2" x14ac:dyDescent="0.35">
      <c r="A4419">
        <v>133</v>
      </c>
      <c r="B4419">
        <v>-0.29099999999999998</v>
      </c>
    </row>
    <row r="4420" spans="1:2" x14ac:dyDescent="0.35">
      <c r="A4420">
        <v>133</v>
      </c>
      <c r="B4420" t="s">
        <v>32</v>
      </c>
    </row>
    <row r="4421" spans="1:2" x14ac:dyDescent="0.35">
      <c r="A4421">
        <v>133</v>
      </c>
      <c r="B4421" s="2">
        <v>-0.32754</v>
      </c>
    </row>
    <row r="4422" spans="1:2" x14ac:dyDescent="0.35">
      <c r="A4422">
        <v>133</v>
      </c>
      <c r="B4422" t="s">
        <v>33</v>
      </c>
    </row>
    <row r="4423" spans="1:2" x14ac:dyDescent="0.35">
      <c r="A4423">
        <v>133</v>
      </c>
      <c r="B4423" s="3">
        <v>0.53</v>
      </c>
    </row>
    <row r="4424" spans="1:2" x14ac:dyDescent="0.35">
      <c r="A4424">
        <v>133</v>
      </c>
      <c r="B4424" t="s">
        <v>34</v>
      </c>
    </row>
    <row r="4425" spans="1:2" x14ac:dyDescent="0.35">
      <c r="A4425">
        <v>133</v>
      </c>
      <c r="B4425" s="3">
        <v>0.47</v>
      </c>
    </row>
    <row r="4426" spans="1:2" x14ac:dyDescent="0.35">
      <c r="A4426">
        <v>133</v>
      </c>
      <c r="B4426" t="s">
        <v>26</v>
      </c>
    </row>
    <row r="4427" spans="1:2" x14ac:dyDescent="0.35">
      <c r="A4427">
        <v>133</v>
      </c>
      <c r="B4427">
        <v>0.52</v>
      </c>
    </row>
    <row r="4428" spans="1:2" x14ac:dyDescent="0.35">
      <c r="A4428">
        <v>133</v>
      </c>
      <c r="B4428" t="s">
        <v>23</v>
      </c>
    </row>
    <row r="4429" spans="1:2" x14ac:dyDescent="0.35">
      <c r="A4429">
        <v>133</v>
      </c>
      <c r="B4429">
        <v>-0.36</v>
      </c>
    </row>
    <row r="4430" spans="1:2" x14ac:dyDescent="0.35">
      <c r="A4430">
        <v>133</v>
      </c>
      <c r="B4430" t="s">
        <v>24</v>
      </c>
    </row>
    <row r="4431" spans="1:2" x14ac:dyDescent="0.35">
      <c r="A4431">
        <v>133</v>
      </c>
      <c r="B4431">
        <v>2.1549999999999998</v>
      </c>
    </row>
    <row r="4432" spans="1:2" x14ac:dyDescent="0.35">
      <c r="A4432">
        <v>133</v>
      </c>
      <c r="B4432" t="s">
        <v>35</v>
      </c>
    </row>
    <row r="4433" spans="1:2" x14ac:dyDescent="0.35">
      <c r="A4433">
        <v>133</v>
      </c>
      <c r="B4433">
        <v>0.60599999999999998</v>
      </c>
    </row>
    <row r="4434" spans="1:2" x14ac:dyDescent="0.35">
      <c r="A4434">
        <v>133</v>
      </c>
      <c r="B4434" t="s">
        <v>36</v>
      </c>
    </row>
    <row r="4435" spans="1:2" x14ac:dyDescent="0.35">
      <c r="A4435">
        <v>133</v>
      </c>
      <c r="B4435">
        <v>0.36699999999999999</v>
      </c>
    </row>
    <row r="4436" spans="1:2" x14ac:dyDescent="0.35">
      <c r="A4436">
        <v>133</v>
      </c>
      <c r="B4436" t="s">
        <v>37</v>
      </c>
    </row>
    <row r="4437" spans="1:2" x14ac:dyDescent="0.35">
      <c r="A4437">
        <v>133</v>
      </c>
      <c r="B4437">
        <v>-0.48199999999999998</v>
      </c>
    </row>
    <row r="4438" spans="1:2" x14ac:dyDescent="0.35">
      <c r="A4438">
        <v>133</v>
      </c>
      <c r="B4438" t="s">
        <v>38</v>
      </c>
    </row>
    <row r="4439" spans="1:2" x14ac:dyDescent="0.35">
      <c r="A4439">
        <v>133</v>
      </c>
      <c r="B4439">
        <v>0.59299999999999997</v>
      </c>
    </row>
    <row r="4440" spans="1:2" x14ac:dyDescent="0.35">
      <c r="A4440">
        <v>133</v>
      </c>
      <c r="B4440" t="s">
        <v>39</v>
      </c>
    </row>
    <row r="4441" spans="1:2" x14ac:dyDescent="0.35">
      <c r="A4441">
        <v>133</v>
      </c>
      <c r="B4441">
        <v>-0.10299999999999999</v>
      </c>
    </row>
    <row r="4442" spans="1:2" x14ac:dyDescent="0.35">
      <c r="A4442">
        <v>133</v>
      </c>
      <c r="B4442" t="s">
        <v>40</v>
      </c>
    </row>
    <row r="4443" spans="1:2" x14ac:dyDescent="0.35">
      <c r="A4443">
        <v>133</v>
      </c>
      <c r="B4443" s="4">
        <v>0</v>
      </c>
    </row>
    <row r="4444" spans="1:2" x14ac:dyDescent="0.35">
      <c r="A4444">
        <v>133</v>
      </c>
      <c r="B4444" t="s">
        <v>41</v>
      </c>
    </row>
    <row r="4445" spans="1:2" x14ac:dyDescent="0.35">
      <c r="A4445">
        <v>133</v>
      </c>
      <c r="B4445" s="4">
        <v>19000000</v>
      </c>
    </row>
    <row r="4446" spans="1:2" x14ac:dyDescent="0.35">
      <c r="A4446">
        <v>133</v>
      </c>
      <c r="B4446" t="s">
        <v>42</v>
      </c>
    </row>
    <row r="4447" spans="1:2" x14ac:dyDescent="0.35">
      <c r="A4447">
        <v>133</v>
      </c>
      <c r="B4447" t="s">
        <v>44</v>
      </c>
    </row>
    <row r="4448" spans="1:2" x14ac:dyDescent="0.35">
      <c r="A4448">
        <v>132</v>
      </c>
      <c r="B4448" t="s">
        <v>27</v>
      </c>
    </row>
    <row r="4449" spans="1:2" x14ac:dyDescent="0.35">
      <c r="A4449">
        <v>132</v>
      </c>
      <c r="B4449" s="2">
        <v>9.3880000000000005E-2</v>
      </c>
    </row>
    <row r="4450" spans="1:2" x14ac:dyDescent="0.35">
      <c r="A4450">
        <v>132</v>
      </c>
      <c r="B4450" t="s">
        <v>1</v>
      </c>
    </row>
    <row r="4451" spans="1:2" x14ac:dyDescent="0.35">
      <c r="A4451">
        <v>132</v>
      </c>
      <c r="B4451">
        <v>-0.36699999999999999</v>
      </c>
    </row>
    <row r="4452" spans="1:2" x14ac:dyDescent="0.35">
      <c r="A4452">
        <v>132</v>
      </c>
      <c r="B4452" t="s">
        <v>28</v>
      </c>
    </row>
    <row r="4453" spans="1:2" x14ac:dyDescent="0.35">
      <c r="A4453">
        <v>132</v>
      </c>
      <c r="B4453">
        <v>459</v>
      </c>
    </row>
    <row r="4454" spans="1:2" x14ac:dyDescent="0.35">
      <c r="A4454">
        <v>132</v>
      </c>
      <c r="B4454" t="s">
        <v>25</v>
      </c>
    </row>
    <row r="4455" spans="1:2" x14ac:dyDescent="0.35">
      <c r="A4455">
        <v>132</v>
      </c>
      <c r="B4455" s="2">
        <v>4.1099999999999998E-2</v>
      </c>
    </row>
    <row r="4456" spans="1:2" x14ac:dyDescent="0.35">
      <c r="A4456">
        <v>132</v>
      </c>
      <c r="B4456" t="s">
        <v>29</v>
      </c>
    </row>
    <row r="4457" spans="1:2" x14ac:dyDescent="0.35">
      <c r="A4457">
        <v>132</v>
      </c>
      <c r="B4457" s="2">
        <v>-7.9299999999999995E-2</v>
      </c>
    </row>
    <row r="4458" spans="1:2" x14ac:dyDescent="0.35">
      <c r="A4458">
        <v>132</v>
      </c>
      <c r="B4458" t="s">
        <v>30</v>
      </c>
    </row>
    <row r="4459" spans="1:2" x14ac:dyDescent="0.35">
      <c r="A4459">
        <v>132</v>
      </c>
      <c r="B4459" s="2">
        <v>-0.46013999999999999</v>
      </c>
    </row>
    <row r="4460" spans="1:2" x14ac:dyDescent="0.35">
      <c r="A4460">
        <v>132</v>
      </c>
      <c r="B4460" t="s">
        <v>8</v>
      </c>
    </row>
    <row r="4461" spans="1:2" x14ac:dyDescent="0.35">
      <c r="A4461">
        <v>132</v>
      </c>
      <c r="B4461" s="2">
        <v>0.59299999999999997</v>
      </c>
    </row>
    <row r="4462" spans="1:2" x14ac:dyDescent="0.35">
      <c r="A4462">
        <v>132</v>
      </c>
      <c r="B4462" t="s">
        <v>31</v>
      </c>
    </row>
    <row r="4463" spans="1:2" x14ac:dyDescent="0.35">
      <c r="A4463">
        <v>132</v>
      </c>
      <c r="B4463">
        <v>-0.29099999999999998</v>
      </c>
    </row>
    <row r="4464" spans="1:2" x14ac:dyDescent="0.35">
      <c r="A4464">
        <v>132</v>
      </c>
      <c r="B4464" t="s">
        <v>32</v>
      </c>
    </row>
    <row r="4465" spans="1:2" x14ac:dyDescent="0.35">
      <c r="A4465">
        <v>132</v>
      </c>
      <c r="B4465" s="2">
        <v>-0.32754</v>
      </c>
    </row>
    <row r="4466" spans="1:2" x14ac:dyDescent="0.35">
      <c r="A4466">
        <v>132</v>
      </c>
      <c r="B4466" t="s">
        <v>33</v>
      </c>
    </row>
    <row r="4467" spans="1:2" x14ac:dyDescent="0.35">
      <c r="A4467">
        <v>132</v>
      </c>
      <c r="B4467" s="3">
        <v>0.53</v>
      </c>
    </row>
    <row r="4468" spans="1:2" x14ac:dyDescent="0.35">
      <c r="A4468">
        <v>132</v>
      </c>
      <c r="B4468" t="s">
        <v>34</v>
      </c>
    </row>
    <row r="4469" spans="1:2" x14ac:dyDescent="0.35">
      <c r="A4469">
        <v>132</v>
      </c>
      <c r="B4469" s="3">
        <v>0.47</v>
      </c>
    </row>
    <row r="4470" spans="1:2" x14ac:dyDescent="0.35">
      <c r="A4470">
        <v>132</v>
      </c>
      <c r="B4470" t="s">
        <v>26</v>
      </c>
    </row>
    <row r="4471" spans="1:2" x14ac:dyDescent="0.35">
      <c r="A4471">
        <v>132</v>
      </c>
      <c r="B4471">
        <v>0.52</v>
      </c>
    </row>
    <row r="4472" spans="1:2" x14ac:dyDescent="0.35">
      <c r="A4472">
        <v>132</v>
      </c>
      <c r="B4472" t="s">
        <v>23</v>
      </c>
    </row>
    <row r="4473" spans="1:2" x14ac:dyDescent="0.35">
      <c r="A4473">
        <v>132</v>
      </c>
      <c r="B4473">
        <v>-0.36</v>
      </c>
    </row>
    <row r="4474" spans="1:2" x14ac:dyDescent="0.35">
      <c r="A4474">
        <v>132</v>
      </c>
      <c r="B4474" t="s">
        <v>24</v>
      </c>
    </row>
    <row r="4475" spans="1:2" x14ac:dyDescent="0.35">
      <c r="A4475">
        <v>132</v>
      </c>
      <c r="B4475">
        <v>2.1549999999999998</v>
      </c>
    </row>
    <row r="4476" spans="1:2" x14ac:dyDescent="0.35">
      <c r="A4476">
        <v>132</v>
      </c>
      <c r="B4476" t="s">
        <v>35</v>
      </c>
    </row>
    <row r="4477" spans="1:2" x14ac:dyDescent="0.35">
      <c r="A4477">
        <v>132</v>
      </c>
      <c r="B4477">
        <v>0.60599999999999998</v>
      </c>
    </row>
    <row r="4478" spans="1:2" x14ac:dyDescent="0.35">
      <c r="A4478">
        <v>132</v>
      </c>
      <c r="B4478" t="s">
        <v>36</v>
      </c>
    </row>
    <row r="4479" spans="1:2" x14ac:dyDescent="0.35">
      <c r="A4479">
        <v>132</v>
      </c>
      <c r="B4479">
        <v>0.36699999999999999</v>
      </c>
    </row>
    <row r="4480" spans="1:2" x14ac:dyDescent="0.35">
      <c r="A4480">
        <v>132</v>
      </c>
      <c r="B4480" t="s">
        <v>37</v>
      </c>
    </row>
    <row r="4481" spans="1:2" x14ac:dyDescent="0.35">
      <c r="A4481">
        <v>132</v>
      </c>
      <c r="B4481">
        <v>-0.48199999999999998</v>
      </c>
    </row>
    <row r="4482" spans="1:2" x14ac:dyDescent="0.35">
      <c r="A4482">
        <v>132</v>
      </c>
      <c r="B4482" t="s">
        <v>38</v>
      </c>
    </row>
    <row r="4483" spans="1:2" x14ac:dyDescent="0.35">
      <c r="A4483">
        <v>132</v>
      </c>
      <c r="B4483">
        <v>0.59299999999999997</v>
      </c>
    </row>
    <row r="4484" spans="1:2" x14ac:dyDescent="0.35">
      <c r="A4484">
        <v>132</v>
      </c>
      <c r="B4484" t="s">
        <v>39</v>
      </c>
    </row>
    <row r="4485" spans="1:2" x14ac:dyDescent="0.35">
      <c r="A4485">
        <v>132</v>
      </c>
      <c r="B4485">
        <v>-0.10299999999999999</v>
      </c>
    </row>
    <row r="4486" spans="1:2" x14ac:dyDescent="0.35">
      <c r="A4486">
        <v>132</v>
      </c>
      <c r="B4486" t="s">
        <v>40</v>
      </c>
    </row>
    <row r="4487" spans="1:2" x14ac:dyDescent="0.35">
      <c r="A4487">
        <v>132</v>
      </c>
      <c r="B4487" s="4">
        <v>0</v>
      </c>
    </row>
    <row r="4488" spans="1:2" x14ac:dyDescent="0.35">
      <c r="A4488">
        <v>132</v>
      </c>
      <c r="B4488" t="s">
        <v>41</v>
      </c>
    </row>
    <row r="4489" spans="1:2" x14ac:dyDescent="0.35">
      <c r="A4489">
        <v>132</v>
      </c>
      <c r="B4489" s="4">
        <v>19000000</v>
      </c>
    </row>
    <row r="4490" spans="1:2" x14ac:dyDescent="0.35">
      <c r="A4490">
        <v>132</v>
      </c>
      <c r="B4490" t="s">
        <v>42</v>
      </c>
    </row>
    <row r="4491" spans="1:2" x14ac:dyDescent="0.35">
      <c r="A4491">
        <v>132</v>
      </c>
      <c r="B4491" t="s">
        <v>44</v>
      </c>
    </row>
    <row r="4492" spans="1:2" x14ac:dyDescent="0.35">
      <c r="A4492">
        <v>131</v>
      </c>
      <c r="B4492" t="s">
        <v>27</v>
      </c>
    </row>
    <row r="4493" spans="1:2" x14ac:dyDescent="0.35">
      <c r="A4493">
        <v>131</v>
      </c>
      <c r="B4493" s="2">
        <v>9.3880000000000005E-2</v>
      </c>
    </row>
    <row r="4494" spans="1:2" x14ac:dyDescent="0.35">
      <c r="A4494">
        <v>131</v>
      </c>
      <c r="B4494" t="s">
        <v>1</v>
      </c>
    </row>
    <row r="4495" spans="1:2" x14ac:dyDescent="0.35">
      <c r="A4495">
        <v>131</v>
      </c>
      <c r="B4495">
        <v>-0.36699999999999999</v>
      </c>
    </row>
    <row r="4496" spans="1:2" x14ac:dyDescent="0.35">
      <c r="A4496">
        <v>131</v>
      </c>
      <c r="B4496" t="s">
        <v>28</v>
      </c>
    </row>
    <row r="4497" spans="1:2" x14ac:dyDescent="0.35">
      <c r="A4497">
        <v>131</v>
      </c>
      <c r="B4497">
        <v>459</v>
      </c>
    </row>
    <row r="4498" spans="1:2" x14ac:dyDescent="0.35">
      <c r="A4498">
        <v>131</v>
      </c>
      <c r="B4498" t="s">
        <v>25</v>
      </c>
    </row>
    <row r="4499" spans="1:2" x14ac:dyDescent="0.35">
      <c r="A4499">
        <v>131</v>
      </c>
      <c r="B4499" s="2">
        <v>4.1099999999999998E-2</v>
      </c>
    </row>
    <row r="4500" spans="1:2" x14ac:dyDescent="0.35">
      <c r="A4500">
        <v>131</v>
      </c>
      <c r="B4500" t="s">
        <v>29</v>
      </c>
    </row>
    <row r="4501" spans="1:2" x14ac:dyDescent="0.35">
      <c r="A4501">
        <v>131</v>
      </c>
      <c r="B4501" s="2">
        <v>-7.9299999999999995E-2</v>
      </c>
    </row>
    <row r="4502" spans="1:2" x14ac:dyDescent="0.35">
      <c r="A4502">
        <v>131</v>
      </c>
      <c r="B4502" t="s">
        <v>30</v>
      </c>
    </row>
    <row r="4503" spans="1:2" x14ac:dyDescent="0.35">
      <c r="A4503">
        <v>131</v>
      </c>
      <c r="B4503" s="2">
        <v>-0.46013999999999999</v>
      </c>
    </row>
    <row r="4504" spans="1:2" x14ac:dyDescent="0.35">
      <c r="A4504">
        <v>131</v>
      </c>
      <c r="B4504" t="s">
        <v>8</v>
      </c>
    </row>
    <row r="4505" spans="1:2" x14ac:dyDescent="0.35">
      <c r="A4505">
        <v>131</v>
      </c>
      <c r="B4505" s="2">
        <v>0.59299999999999997</v>
      </c>
    </row>
    <row r="4506" spans="1:2" x14ac:dyDescent="0.35">
      <c r="A4506">
        <v>131</v>
      </c>
      <c r="B4506" t="s">
        <v>31</v>
      </c>
    </row>
    <row r="4507" spans="1:2" x14ac:dyDescent="0.35">
      <c r="A4507">
        <v>131</v>
      </c>
      <c r="B4507">
        <v>-0.29099999999999998</v>
      </c>
    </row>
    <row r="4508" spans="1:2" x14ac:dyDescent="0.35">
      <c r="A4508">
        <v>131</v>
      </c>
      <c r="B4508" t="s">
        <v>32</v>
      </c>
    </row>
    <row r="4509" spans="1:2" x14ac:dyDescent="0.35">
      <c r="A4509">
        <v>131</v>
      </c>
      <c r="B4509" s="2">
        <v>-0.32754</v>
      </c>
    </row>
    <row r="4510" spans="1:2" x14ac:dyDescent="0.35">
      <c r="A4510">
        <v>131</v>
      </c>
      <c r="B4510" t="s">
        <v>33</v>
      </c>
    </row>
    <row r="4511" spans="1:2" x14ac:dyDescent="0.35">
      <c r="A4511">
        <v>131</v>
      </c>
      <c r="B4511" s="3">
        <v>0.53</v>
      </c>
    </row>
    <row r="4512" spans="1:2" x14ac:dyDescent="0.35">
      <c r="A4512">
        <v>131</v>
      </c>
      <c r="B4512" t="s">
        <v>34</v>
      </c>
    </row>
    <row r="4513" spans="1:2" x14ac:dyDescent="0.35">
      <c r="A4513">
        <v>131</v>
      </c>
      <c r="B4513" s="3">
        <v>0.47</v>
      </c>
    </row>
    <row r="4514" spans="1:2" x14ac:dyDescent="0.35">
      <c r="A4514">
        <v>131</v>
      </c>
      <c r="B4514" t="s">
        <v>26</v>
      </c>
    </row>
    <row r="4515" spans="1:2" x14ac:dyDescent="0.35">
      <c r="A4515">
        <v>131</v>
      </c>
      <c r="B4515">
        <v>0.52</v>
      </c>
    </row>
    <row r="4516" spans="1:2" x14ac:dyDescent="0.35">
      <c r="A4516">
        <v>131</v>
      </c>
      <c r="B4516" t="s">
        <v>23</v>
      </c>
    </row>
    <row r="4517" spans="1:2" x14ac:dyDescent="0.35">
      <c r="A4517">
        <v>131</v>
      </c>
      <c r="B4517">
        <v>-0.36</v>
      </c>
    </row>
    <row r="4518" spans="1:2" x14ac:dyDescent="0.35">
      <c r="A4518">
        <v>131</v>
      </c>
      <c r="B4518" t="s">
        <v>24</v>
      </c>
    </row>
    <row r="4519" spans="1:2" x14ac:dyDescent="0.35">
      <c r="A4519">
        <v>131</v>
      </c>
      <c r="B4519">
        <v>2.1549999999999998</v>
      </c>
    </row>
    <row r="4520" spans="1:2" x14ac:dyDescent="0.35">
      <c r="A4520">
        <v>131</v>
      </c>
      <c r="B4520" t="s">
        <v>35</v>
      </c>
    </row>
    <row r="4521" spans="1:2" x14ac:dyDescent="0.35">
      <c r="A4521">
        <v>131</v>
      </c>
      <c r="B4521">
        <v>0.60599999999999998</v>
      </c>
    </row>
    <row r="4522" spans="1:2" x14ac:dyDescent="0.35">
      <c r="A4522">
        <v>131</v>
      </c>
      <c r="B4522" t="s">
        <v>36</v>
      </c>
    </row>
    <row r="4523" spans="1:2" x14ac:dyDescent="0.35">
      <c r="A4523">
        <v>131</v>
      </c>
      <c r="B4523">
        <v>0.36699999999999999</v>
      </c>
    </row>
    <row r="4524" spans="1:2" x14ac:dyDescent="0.35">
      <c r="A4524">
        <v>131</v>
      </c>
      <c r="B4524" t="s">
        <v>37</v>
      </c>
    </row>
    <row r="4525" spans="1:2" x14ac:dyDescent="0.35">
      <c r="A4525">
        <v>131</v>
      </c>
      <c r="B4525">
        <v>-0.48199999999999998</v>
      </c>
    </row>
    <row r="4526" spans="1:2" x14ac:dyDescent="0.35">
      <c r="A4526">
        <v>131</v>
      </c>
      <c r="B4526" t="s">
        <v>38</v>
      </c>
    </row>
    <row r="4527" spans="1:2" x14ac:dyDescent="0.35">
      <c r="A4527">
        <v>131</v>
      </c>
      <c r="B4527">
        <v>0.59299999999999997</v>
      </c>
    </row>
    <row r="4528" spans="1:2" x14ac:dyDescent="0.35">
      <c r="A4528">
        <v>131</v>
      </c>
      <c r="B4528" t="s">
        <v>39</v>
      </c>
    </row>
    <row r="4529" spans="1:2" x14ac:dyDescent="0.35">
      <c r="A4529">
        <v>131</v>
      </c>
      <c r="B4529">
        <v>-0.10299999999999999</v>
      </c>
    </row>
    <row r="4530" spans="1:2" x14ac:dyDescent="0.35">
      <c r="A4530">
        <v>131</v>
      </c>
      <c r="B4530" t="s">
        <v>40</v>
      </c>
    </row>
    <row r="4531" spans="1:2" x14ac:dyDescent="0.35">
      <c r="A4531">
        <v>131</v>
      </c>
      <c r="B4531" s="4">
        <v>0</v>
      </c>
    </row>
    <row r="4532" spans="1:2" x14ac:dyDescent="0.35">
      <c r="A4532">
        <v>131</v>
      </c>
      <c r="B4532" t="s">
        <v>41</v>
      </c>
    </row>
    <row r="4533" spans="1:2" x14ac:dyDescent="0.35">
      <c r="A4533">
        <v>131</v>
      </c>
      <c r="B4533" s="4">
        <v>19000000</v>
      </c>
    </row>
    <row r="4534" spans="1:2" x14ac:dyDescent="0.35">
      <c r="A4534">
        <v>131</v>
      </c>
      <c r="B4534" t="s">
        <v>42</v>
      </c>
    </row>
    <row r="4535" spans="1:2" x14ac:dyDescent="0.35">
      <c r="A4535">
        <v>131</v>
      </c>
      <c r="B4535" t="s">
        <v>44</v>
      </c>
    </row>
    <row r="4536" spans="1:2" x14ac:dyDescent="0.35">
      <c r="A4536">
        <v>130</v>
      </c>
      <c r="B4536" t="s">
        <v>27</v>
      </c>
    </row>
    <row r="4537" spans="1:2" x14ac:dyDescent="0.35">
      <c r="A4537">
        <v>130</v>
      </c>
      <c r="B4537" s="2">
        <v>9.3880000000000005E-2</v>
      </c>
    </row>
    <row r="4538" spans="1:2" x14ac:dyDescent="0.35">
      <c r="A4538">
        <v>130</v>
      </c>
      <c r="B4538" t="s">
        <v>1</v>
      </c>
    </row>
    <row r="4539" spans="1:2" x14ac:dyDescent="0.35">
      <c r="A4539">
        <v>130</v>
      </c>
      <c r="B4539">
        <v>-0.36699999999999999</v>
      </c>
    </row>
    <row r="4540" spans="1:2" x14ac:dyDescent="0.35">
      <c r="A4540">
        <v>130</v>
      </c>
      <c r="B4540" t="s">
        <v>28</v>
      </c>
    </row>
    <row r="4541" spans="1:2" x14ac:dyDescent="0.35">
      <c r="A4541">
        <v>130</v>
      </c>
      <c r="B4541">
        <v>459</v>
      </c>
    </row>
    <row r="4542" spans="1:2" x14ac:dyDescent="0.35">
      <c r="A4542">
        <v>130</v>
      </c>
      <c r="B4542" t="s">
        <v>25</v>
      </c>
    </row>
    <row r="4543" spans="1:2" x14ac:dyDescent="0.35">
      <c r="A4543">
        <v>130</v>
      </c>
      <c r="B4543" s="2">
        <v>4.1099999999999998E-2</v>
      </c>
    </row>
    <row r="4544" spans="1:2" x14ac:dyDescent="0.35">
      <c r="A4544">
        <v>130</v>
      </c>
      <c r="B4544" t="s">
        <v>29</v>
      </c>
    </row>
    <row r="4545" spans="1:2" x14ac:dyDescent="0.35">
      <c r="A4545">
        <v>130</v>
      </c>
      <c r="B4545" s="2">
        <v>-7.9299999999999995E-2</v>
      </c>
    </row>
    <row r="4546" spans="1:2" x14ac:dyDescent="0.35">
      <c r="A4546">
        <v>130</v>
      </c>
      <c r="B4546" t="s">
        <v>30</v>
      </c>
    </row>
    <row r="4547" spans="1:2" x14ac:dyDescent="0.35">
      <c r="A4547">
        <v>130</v>
      </c>
      <c r="B4547" s="2">
        <v>-0.46013999999999999</v>
      </c>
    </row>
    <row r="4548" spans="1:2" x14ac:dyDescent="0.35">
      <c r="A4548">
        <v>130</v>
      </c>
      <c r="B4548" t="s">
        <v>8</v>
      </c>
    </row>
    <row r="4549" spans="1:2" x14ac:dyDescent="0.35">
      <c r="A4549">
        <v>130</v>
      </c>
      <c r="B4549" s="2">
        <v>0.59299999999999997</v>
      </c>
    </row>
    <row r="4550" spans="1:2" x14ac:dyDescent="0.35">
      <c r="A4550">
        <v>130</v>
      </c>
      <c r="B4550" t="s">
        <v>31</v>
      </c>
    </row>
    <row r="4551" spans="1:2" x14ac:dyDescent="0.35">
      <c r="A4551">
        <v>130</v>
      </c>
      <c r="B4551">
        <v>-0.29099999999999998</v>
      </c>
    </row>
    <row r="4552" spans="1:2" x14ac:dyDescent="0.35">
      <c r="A4552">
        <v>130</v>
      </c>
      <c r="B4552" t="s">
        <v>32</v>
      </c>
    </row>
    <row r="4553" spans="1:2" x14ac:dyDescent="0.35">
      <c r="A4553">
        <v>130</v>
      </c>
      <c r="B4553" s="2">
        <v>-0.32754</v>
      </c>
    </row>
    <row r="4554" spans="1:2" x14ac:dyDescent="0.35">
      <c r="A4554">
        <v>130</v>
      </c>
      <c r="B4554" t="s">
        <v>33</v>
      </c>
    </row>
    <row r="4555" spans="1:2" x14ac:dyDescent="0.35">
      <c r="A4555">
        <v>130</v>
      </c>
      <c r="B4555" s="3">
        <v>0.53</v>
      </c>
    </row>
    <row r="4556" spans="1:2" x14ac:dyDescent="0.35">
      <c r="A4556">
        <v>130</v>
      </c>
      <c r="B4556" t="s">
        <v>34</v>
      </c>
    </row>
    <row r="4557" spans="1:2" x14ac:dyDescent="0.35">
      <c r="A4557">
        <v>130</v>
      </c>
      <c r="B4557" s="3">
        <v>0.47</v>
      </c>
    </row>
    <row r="4558" spans="1:2" x14ac:dyDescent="0.35">
      <c r="A4558">
        <v>130</v>
      </c>
      <c r="B4558" t="s">
        <v>26</v>
      </c>
    </row>
    <row r="4559" spans="1:2" x14ac:dyDescent="0.35">
      <c r="A4559">
        <v>130</v>
      </c>
      <c r="B4559">
        <v>0.52</v>
      </c>
    </row>
    <row r="4560" spans="1:2" x14ac:dyDescent="0.35">
      <c r="A4560">
        <v>130</v>
      </c>
      <c r="B4560" t="s">
        <v>23</v>
      </c>
    </row>
    <row r="4561" spans="1:2" x14ac:dyDescent="0.35">
      <c r="A4561">
        <v>130</v>
      </c>
      <c r="B4561">
        <v>-0.36</v>
      </c>
    </row>
    <row r="4562" spans="1:2" x14ac:dyDescent="0.35">
      <c r="A4562">
        <v>130</v>
      </c>
      <c r="B4562" t="s">
        <v>24</v>
      </c>
    </row>
    <row r="4563" spans="1:2" x14ac:dyDescent="0.35">
      <c r="A4563">
        <v>130</v>
      </c>
      <c r="B4563">
        <v>2.1549999999999998</v>
      </c>
    </row>
    <row r="4564" spans="1:2" x14ac:dyDescent="0.35">
      <c r="A4564">
        <v>130</v>
      </c>
      <c r="B4564" t="s">
        <v>35</v>
      </c>
    </row>
    <row r="4565" spans="1:2" x14ac:dyDescent="0.35">
      <c r="A4565">
        <v>130</v>
      </c>
      <c r="B4565">
        <v>0.60599999999999998</v>
      </c>
    </row>
    <row r="4566" spans="1:2" x14ac:dyDescent="0.35">
      <c r="A4566">
        <v>130</v>
      </c>
      <c r="B4566" t="s">
        <v>36</v>
      </c>
    </row>
    <row r="4567" spans="1:2" x14ac:dyDescent="0.35">
      <c r="A4567">
        <v>130</v>
      </c>
      <c r="B4567">
        <v>0.36699999999999999</v>
      </c>
    </row>
    <row r="4568" spans="1:2" x14ac:dyDescent="0.35">
      <c r="A4568">
        <v>130</v>
      </c>
      <c r="B4568" t="s">
        <v>37</v>
      </c>
    </row>
    <row r="4569" spans="1:2" x14ac:dyDescent="0.35">
      <c r="A4569">
        <v>130</v>
      </c>
      <c r="B4569">
        <v>-0.48199999999999998</v>
      </c>
    </row>
    <row r="4570" spans="1:2" x14ac:dyDescent="0.35">
      <c r="A4570">
        <v>130</v>
      </c>
      <c r="B4570" t="s">
        <v>38</v>
      </c>
    </row>
    <row r="4571" spans="1:2" x14ac:dyDescent="0.35">
      <c r="A4571">
        <v>130</v>
      </c>
      <c r="B4571">
        <v>0.59299999999999997</v>
      </c>
    </row>
    <row r="4572" spans="1:2" x14ac:dyDescent="0.35">
      <c r="A4572">
        <v>130</v>
      </c>
      <c r="B4572" t="s">
        <v>39</v>
      </c>
    </row>
    <row r="4573" spans="1:2" x14ac:dyDescent="0.35">
      <c r="A4573">
        <v>130</v>
      </c>
      <c r="B4573">
        <v>-0.10299999999999999</v>
      </c>
    </row>
    <row r="4574" spans="1:2" x14ac:dyDescent="0.35">
      <c r="A4574">
        <v>130</v>
      </c>
      <c r="B4574" t="s">
        <v>40</v>
      </c>
    </row>
    <row r="4575" spans="1:2" x14ac:dyDescent="0.35">
      <c r="A4575">
        <v>130</v>
      </c>
      <c r="B4575" s="4">
        <v>0</v>
      </c>
    </row>
    <row r="4576" spans="1:2" x14ac:dyDescent="0.35">
      <c r="A4576">
        <v>130</v>
      </c>
      <c r="B4576" t="s">
        <v>41</v>
      </c>
    </row>
    <row r="4577" spans="1:2" x14ac:dyDescent="0.35">
      <c r="A4577">
        <v>130</v>
      </c>
      <c r="B4577" s="4">
        <v>19000000</v>
      </c>
    </row>
    <row r="4578" spans="1:2" x14ac:dyDescent="0.35">
      <c r="A4578">
        <v>130</v>
      </c>
      <c r="B4578" t="s">
        <v>42</v>
      </c>
    </row>
    <row r="4579" spans="1:2" x14ac:dyDescent="0.35">
      <c r="A4579">
        <v>130</v>
      </c>
      <c r="B4579" t="s">
        <v>44</v>
      </c>
    </row>
    <row r="4580" spans="1:2" x14ac:dyDescent="0.35">
      <c r="A4580">
        <v>129</v>
      </c>
      <c r="B4580" t="s">
        <v>27</v>
      </c>
    </row>
    <row r="4581" spans="1:2" x14ac:dyDescent="0.35">
      <c r="A4581">
        <v>129</v>
      </c>
      <c r="B4581" s="2">
        <v>9.3880000000000005E-2</v>
      </c>
    </row>
    <row r="4582" spans="1:2" x14ac:dyDescent="0.35">
      <c r="A4582">
        <v>129</v>
      </c>
      <c r="B4582" t="s">
        <v>1</v>
      </c>
    </row>
    <row r="4583" spans="1:2" x14ac:dyDescent="0.35">
      <c r="A4583">
        <v>129</v>
      </c>
      <c r="B4583">
        <v>-0.36699999999999999</v>
      </c>
    </row>
    <row r="4584" spans="1:2" x14ac:dyDescent="0.35">
      <c r="A4584">
        <v>129</v>
      </c>
      <c r="B4584" t="s">
        <v>28</v>
      </c>
    </row>
    <row r="4585" spans="1:2" x14ac:dyDescent="0.35">
      <c r="A4585">
        <v>129</v>
      </c>
      <c r="B4585">
        <v>459</v>
      </c>
    </row>
    <row r="4586" spans="1:2" x14ac:dyDescent="0.35">
      <c r="A4586">
        <v>129</v>
      </c>
      <c r="B4586" t="s">
        <v>25</v>
      </c>
    </row>
    <row r="4587" spans="1:2" x14ac:dyDescent="0.35">
      <c r="A4587">
        <v>129</v>
      </c>
      <c r="B4587" s="2">
        <v>4.1099999999999998E-2</v>
      </c>
    </row>
    <row r="4588" spans="1:2" x14ac:dyDescent="0.35">
      <c r="A4588">
        <v>129</v>
      </c>
      <c r="B4588" t="s">
        <v>29</v>
      </c>
    </row>
    <row r="4589" spans="1:2" x14ac:dyDescent="0.35">
      <c r="A4589">
        <v>129</v>
      </c>
      <c r="B4589" s="2">
        <v>-7.9299999999999995E-2</v>
      </c>
    </row>
    <row r="4590" spans="1:2" x14ac:dyDescent="0.35">
      <c r="A4590">
        <v>129</v>
      </c>
      <c r="B4590" t="s">
        <v>30</v>
      </c>
    </row>
    <row r="4591" spans="1:2" x14ac:dyDescent="0.35">
      <c r="A4591">
        <v>129</v>
      </c>
      <c r="B4591" s="2">
        <v>-0.46013999999999999</v>
      </c>
    </row>
    <row r="4592" spans="1:2" x14ac:dyDescent="0.35">
      <c r="A4592">
        <v>129</v>
      </c>
      <c r="B4592" t="s">
        <v>8</v>
      </c>
    </row>
    <row r="4593" spans="1:2" x14ac:dyDescent="0.35">
      <c r="A4593">
        <v>129</v>
      </c>
      <c r="B4593" s="2">
        <v>0.59299999999999997</v>
      </c>
    </row>
    <row r="4594" spans="1:2" x14ac:dyDescent="0.35">
      <c r="A4594">
        <v>129</v>
      </c>
      <c r="B4594" t="s">
        <v>31</v>
      </c>
    </row>
    <row r="4595" spans="1:2" x14ac:dyDescent="0.35">
      <c r="A4595">
        <v>129</v>
      </c>
      <c r="B4595">
        <v>-0.29099999999999998</v>
      </c>
    </row>
    <row r="4596" spans="1:2" x14ac:dyDescent="0.35">
      <c r="A4596">
        <v>129</v>
      </c>
      <c r="B4596" t="s">
        <v>32</v>
      </c>
    </row>
    <row r="4597" spans="1:2" x14ac:dyDescent="0.35">
      <c r="A4597">
        <v>129</v>
      </c>
      <c r="B4597" s="2">
        <v>-0.32754</v>
      </c>
    </row>
    <row r="4598" spans="1:2" x14ac:dyDescent="0.35">
      <c r="A4598">
        <v>129</v>
      </c>
      <c r="B4598" t="s">
        <v>33</v>
      </c>
    </row>
    <row r="4599" spans="1:2" x14ac:dyDescent="0.35">
      <c r="A4599">
        <v>129</v>
      </c>
      <c r="B4599" s="3">
        <v>0.53</v>
      </c>
    </row>
    <row r="4600" spans="1:2" x14ac:dyDescent="0.35">
      <c r="A4600">
        <v>129</v>
      </c>
      <c r="B4600" t="s">
        <v>34</v>
      </c>
    </row>
    <row r="4601" spans="1:2" x14ac:dyDescent="0.35">
      <c r="A4601">
        <v>129</v>
      </c>
      <c r="B4601" s="3">
        <v>0.47</v>
      </c>
    </row>
    <row r="4602" spans="1:2" x14ac:dyDescent="0.35">
      <c r="A4602">
        <v>129</v>
      </c>
      <c r="B4602" t="s">
        <v>26</v>
      </c>
    </row>
    <row r="4603" spans="1:2" x14ac:dyDescent="0.35">
      <c r="A4603">
        <v>129</v>
      </c>
      <c r="B4603">
        <v>0.52</v>
      </c>
    </row>
    <row r="4604" spans="1:2" x14ac:dyDescent="0.35">
      <c r="A4604">
        <v>129</v>
      </c>
      <c r="B4604" t="s">
        <v>23</v>
      </c>
    </row>
    <row r="4605" spans="1:2" x14ac:dyDescent="0.35">
      <c r="A4605">
        <v>129</v>
      </c>
      <c r="B4605">
        <v>-0.36</v>
      </c>
    </row>
    <row r="4606" spans="1:2" x14ac:dyDescent="0.35">
      <c r="A4606">
        <v>129</v>
      </c>
      <c r="B4606" t="s">
        <v>24</v>
      </c>
    </row>
    <row r="4607" spans="1:2" x14ac:dyDescent="0.35">
      <c r="A4607">
        <v>129</v>
      </c>
      <c r="B4607">
        <v>2.1549999999999998</v>
      </c>
    </row>
    <row r="4608" spans="1:2" x14ac:dyDescent="0.35">
      <c r="A4608">
        <v>129</v>
      </c>
      <c r="B4608" t="s">
        <v>35</v>
      </c>
    </row>
    <row r="4609" spans="1:2" x14ac:dyDescent="0.35">
      <c r="A4609">
        <v>129</v>
      </c>
      <c r="B4609">
        <v>0.60599999999999998</v>
      </c>
    </row>
    <row r="4610" spans="1:2" x14ac:dyDescent="0.35">
      <c r="A4610">
        <v>129</v>
      </c>
      <c r="B4610" t="s">
        <v>36</v>
      </c>
    </row>
    <row r="4611" spans="1:2" x14ac:dyDescent="0.35">
      <c r="A4611">
        <v>129</v>
      </c>
      <c r="B4611">
        <v>0.36699999999999999</v>
      </c>
    </row>
    <row r="4612" spans="1:2" x14ac:dyDescent="0.35">
      <c r="A4612">
        <v>129</v>
      </c>
      <c r="B4612" t="s">
        <v>37</v>
      </c>
    </row>
    <row r="4613" spans="1:2" x14ac:dyDescent="0.35">
      <c r="A4613">
        <v>129</v>
      </c>
      <c r="B4613">
        <v>-0.48199999999999998</v>
      </c>
    </row>
    <row r="4614" spans="1:2" x14ac:dyDescent="0.35">
      <c r="A4614">
        <v>129</v>
      </c>
      <c r="B4614" t="s">
        <v>38</v>
      </c>
    </row>
    <row r="4615" spans="1:2" x14ac:dyDescent="0.35">
      <c r="A4615">
        <v>129</v>
      </c>
      <c r="B4615">
        <v>0.59299999999999997</v>
      </c>
    </row>
    <row r="4616" spans="1:2" x14ac:dyDescent="0.35">
      <c r="A4616">
        <v>129</v>
      </c>
      <c r="B4616" t="s">
        <v>39</v>
      </c>
    </row>
    <row r="4617" spans="1:2" x14ac:dyDescent="0.35">
      <c r="A4617">
        <v>129</v>
      </c>
      <c r="B4617">
        <v>-0.10299999999999999</v>
      </c>
    </row>
    <row r="4618" spans="1:2" x14ac:dyDescent="0.35">
      <c r="A4618">
        <v>129</v>
      </c>
      <c r="B4618" t="s">
        <v>40</v>
      </c>
    </row>
    <row r="4619" spans="1:2" x14ac:dyDescent="0.35">
      <c r="A4619">
        <v>129</v>
      </c>
      <c r="B4619" s="4">
        <v>0</v>
      </c>
    </row>
    <row r="4620" spans="1:2" x14ac:dyDescent="0.35">
      <c r="A4620">
        <v>129</v>
      </c>
      <c r="B4620" t="s">
        <v>41</v>
      </c>
    </row>
    <row r="4621" spans="1:2" x14ac:dyDescent="0.35">
      <c r="A4621">
        <v>129</v>
      </c>
      <c r="B4621" s="4">
        <v>19000000</v>
      </c>
    </row>
    <row r="4622" spans="1:2" x14ac:dyDescent="0.35">
      <c r="A4622">
        <v>129</v>
      </c>
      <c r="B4622" t="s">
        <v>42</v>
      </c>
    </row>
    <row r="4623" spans="1:2" x14ac:dyDescent="0.35">
      <c r="A4623">
        <v>129</v>
      </c>
      <c r="B4623" t="s">
        <v>44</v>
      </c>
    </row>
    <row r="4624" spans="1:2" x14ac:dyDescent="0.35">
      <c r="A4624">
        <v>128</v>
      </c>
      <c r="B4624" t="s">
        <v>27</v>
      </c>
    </row>
    <row r="4625" spans="1:2" x14ac:dyDescent="0.35">
      <c r="A4625">
        <v>128</v>
      </c>
      <c r="B4625" s="2">
        <v>9.3880000000000005E-2</v>
      </c>
    </row>
    <row r="4626" spans="1:2" x14ac:dyDescent="0.35">
      <c r="A4626">
        <v>128</v>
      </c>
      <c r="B4626" t="s">
        <v>1</v>
      </c>
    </row>
    <row r="4627" spans="1:2" x14ac:dyDescent="0.35">
      <c r="A4627">
        <v>128</v>
      </c>
      <c r="B4627">
        <v>-0.36699999999999999</v>
      </c>
    </row>
    <row r="4628" spans="1:2" x14ac:dyDescent="0.35">
      <c r="A4628">
        <v>128</v>
      </c>
      <c r="B4628" t="s">
        <v>28</v>
      </c>
    </row>
    <row r="4629" spans="1:2" x14ac:dyDescent="0.35">
      <c r="A4629">
        <v>128</v>
      </c>
      <c r="B4629">
        <v>459</v>
      </c>
    </row>
    <row r="4630" spans="1:2" x14ac:dyDescent="0.35">
      <c r="A4630">
        <v>128</v>
      </c>
      <c r="B4630" t="s">
        <v>25</v>
      </c>
    </row>
    <row r="4631" spans="1:2" x14ac:dyDescent="0.35">
      <c r="A4631">
        <v>128</v>
      </c>
      <c r="B4631" s="2">
        <v>4.1099999999999998E-2</v>
      </c>
    </row>
    <row r="4632" spans="1:2" x14ac:dyDescent="0.35">
      <c r="A4632">
        <v>128</v>
      </c>
      <c r="B4632" t="s">
        <v>29</v>
      </c>
    </row>
    <row r="4633" spans="1:2" x14ac:dyDescent="0.35">
      <c r="A4633">
        <v>128</v>
      </c>
      <c r="B4633" s="2">
        <v>-7.9299999999999995E-2</v>
      </c>
    </row>
    <row r="4634" spans="1:2" x14ac:dyDescent="0.35">
      <c r="A4634">
        <v>128</v>
      </c>
      <c r="B4634" t="s">
        <v>30</v>
      </c>
    </row>
    <row r="4635" spans="1:2" x14ac:dyDescent="0.35">
      <c r="A4635">
        <v>128</v>
      </c>
      <c r="B4635" s="2">
        <v>-0.46013999999999999</v>
      </c>
    </row>
    <row r="4636" spans="1:2" x14ac:dyDescent="0.35">
      <c r="A4636">
        <v>128</v>
      </c>
      <c r="B4636" t="s">
        <v>8</v>
      </c>
    </row>
    <row r="4637" spans="1:2" x14ac:dyDescent="0.35">
      <c r="A4637">
        <v>128</v>
      </c>
      <c r="B4637" s="2">
        <v>0.59299999999999997</v>
      </c>
    </row>
    <row r="4638" spans="1:2" x14ac:dyDescent="0.35">
      <c r="A4638">
        <v>128</v>
      </c>
      <c r="B4638" t="s">
        <v>31</v>
      </c>
    </row>
    <row r="4639" spans="1:2" x14ac:dyDescent="0.35">
      <c r="A4639">
        <v>128</v>
      </c>
      <c r="B4639">
        <v>-0.29099999999999998</v>
      </c>
    </row>
    <row r="4640" spans="1:2" x14ac:dyDescent="0.35">
      <c r="A4640">
        <v>128</v>
      </c>
      <c r="B4640" t="s">
        <v>32</v>
      </c>
    </row>
    <row r="4641" spans="1:2" x14ac:dyDescent="0.35">
      <c r="A4641">
        <v>128</v>
      </c>
      <c r="B4641" s="2">
        <v>-0.32754</v>
      </c>
    </row>
    <row r="4642" spans="1:2" x14ac:dyDescent="0.35">
      <c r="A4642">
        <v>128</v>
      </c>
      <c r="B4642" t="s">
        <v>33</v>
      </c>
    </row>
    <row r="4643" spans="1:2" x14ac:dyDescent="0.35">
      <c r="A4643">
        <v>128</v>
      </c>
      <c r="B4643" s="3">
        <v>0.53</v>
      </c>
    </row>
    <row r="4644" spans="1:2" x14ac:dyDescent="0.35">
      <c r="A4644">
        <v>128</v>
      </c>
      <c r="B4644" t="s">
        <v>34</v>
      </c>
    </row>
    <row r="4645" spans="1:2" x14ac:dyDescent="0.35">
      <c r="A4645">
        <v>128</v>
      </c>
      <c r="B4645" s="3">
        <v>0.47</v>
      </c>
    </row>
    <row r="4646" spans="1:2" x14ac:dyDescent="0.35">
      <c r="A4646">
        <v>128</v>
      </c>
      <c r="B4646" t="s">
        <v>26</v>
      </c>
    </row>
    <row r="4647" spans="1:2" x14ac:dyDescent="0.35">
      <c r="A4647">
        <v>128</v>
      </c>
      <c r="B4647">
        <v>0.52</v>
      </c>
    </row>
    <row r="4648" spans="1:2" x14ac:dyDescent="0.35">
      <c r="A4648">
        <v>128</v>
      </c>
      <c r="B4648" t="s">
        <v>23</v>
      </c>
    </row>
    <row r="4649" spans="1:2" x14ac:dyDescent="0.35">
      <c r="A4649">
        <v>128</v>
      </c>
      <c r="B4649">
        <v>-0.36</v>
      </c>
    </row>
    <row r="4650" spans="1:2" x14ac:dyDescent="0.35">
      <c r="A4650">
        <v>128</v>
      </c>
      <c r="B4650" t="s">
        <v>24</v>
      </c>
    </row>
    <row r="4651" spans="1:2" x14ac:dyDescent="0.35">
      <c r="A4651">
        <v>128</v>
      </c>
      <c r="B4651">
        <v>2.1549999999999998</v>
      </c>
    </row>
    <row r="4652" spans="1:2" x14ac:dyDescent="0.35">
      <c r="A4652">
        <v>128</v>
      </c>
      <c r="B4652" t="s">
        <v>35</v>
      </c>
    </row>
    <row r="4653" spans="1:2" x14ac:dyDescent="0.35">
      <c r="A4653">
        <v>128</v>
      </c>
      <c r="B4653">
        <v>0.60599999999999998</v>
      </c>
    </row>
    <row r="4654" spans="1:2" x14ac:dyDescent="0.35">
      <c r="A4654">
        <v>128</v>
      </c>
      <c r="B4654" t="s">
        <v>36</v>
      </c>
    </row>
    <row r="4655" spans="1:2" x14ac:dyDescent="0.35">
      <c r="A4655">
        <v>128</v>
      </c>
      <c r="B4655">
        <v>0.36699999999999999</v>
      </c>
    </row>
    <row r="4656" spans="1:2" x14ac:dyDescent="0.35">
      <c r="A4656">
        <v>128</v>
      </c>
      <c r="B4656" t="s">
        <v>37</v>
      </c>
    </row>
    <row r="4657" spans="1:2" x14ac:dyDescent="0.35">
      <c r="A4657">
        <v>128</v>
      </c>
      <c r="B4657">
        <v>-0.48199999999999998</v>
      </c>
    </row>
    <row r="4658" spans="1:2" x14ac:dyDescent="0.35">
      <c r="A4658">
        <v>128</v>
      </c>
      <c r="B4658" t="s">
        <v>38</v>
      </c>
    </row>
    <row r="4659" spans="1:2" x14ac:dyDescent="0.35">
      <c r="A4659">
        <v>128</v>
      </c>
      <c r="B4659">
        <v>0.59299999999999997</v>
      </c>
    </row>
    <row r="4660" spans="1:2" x14ac:dyDescent="0.35">
      <c r="A4660">
        <v>128</v>
      </c>
      <c r="B4660" t="s">
        <v>39</v>
      </c>
    </row>
    <row r="4661" spans="1:2" x14ac:dyDescent="0.35">
      <c r="A4661">
        <v>128</v>
      </c>
      <c r="B4661">
        <v>-0.10299999999999999</v>
      </c>
    </row>
    <row r="4662" spans="1:2" x14ac:dyDescent="0.35">
      <c r="A4662">
        <v>128</v>
      </c>
      <c r="B4662" t="s">
        <v>40</v>
      </c>
    </row>
    <row r="4663" spans="1:2" x14ac:dyDescent="0.35">
      <c r="A4663">
        <v>128</v>
      </c>
      <c r="B4663" s="4">
        <v>0</v>
      </c>
    </row>
    <row r="4664" spans="1:2" x14ac:dyDescent="0.35">
      <c r="A4664">
        <v>128</v>
      </c>
      <c r="B4664" t="s">
        <v>41</v>
      </c>
    </row>
    <row r="4665" spans="1:2" x14ac:dyDescent="0.35">
      <c r="A4665">
        <v>128</v>
      </c>
      <c r="B4665" s="4">
        <v>19000000</v>
      </c>
    </row>
    <row r="4666" spans="1:2" x14ac:dyDescent="0.35">
      <c r="A4666">
        <v>128</v>
      </c>
      <c r="B4666" t="s">
        <v>42</v>
      </c>
    </row>
    <row r="4667" spans="1:2" x14ac:dyDescent="0.35">
      <c r="A4667">
        <v>128</v>
      </c>
      <c r="B4667" t="s">
        <v>44</v>
      </c>
    </row>
    <row r="4668" spans="1:2" x14ac:dyDescent="0.35">
      <c r="A4668">
        <v>127</v>
      </c>
      <c r="B4668" t="s">
        <v>27</v>
      </c>
    </row>
    <row r="4669" spans="1:2" x14ac:dyDescent="0.35">
      <c r="A4669">
        <v>127</v>
      </c>
      <c r="B4669" s="2">
        <v>9.3880000000000005E-2</v>
      </c>
    </row>
    <row r="4670" spans="1:2" x14ac:dyDescent="0.35">
      <c r="A4670">
        <v>127</v>
      </c>
      <c r="B4670" t="s">
        <v>1</v>
      </c>
    </row>
    <row r="4671" spans="1:2" x14ac:dyDescent="0.35">
      <c r="A4671">
        <v>127</v>
      </c>
      <c r="B4671">
        <v>-0.36699999999999999</v>
      </c>
    </row>
    <row r="4672" spans="1:2" x14ac:dyDescent="0.35">
      <c r="A4672">
        <v>127</v>
      </c>
      <c r="B4672" t="s">
        <v>28</v>
      </c>
    </row>
    <row r="4673" spans="1:2" x14ac:dyDescent="0.35">
      <c r="A4673">
        <v>127</v>
      </c>
      <c r="B4673">
        <v>459</v>
      </c>
    </row>
    <row r="4674" spans="1:2" x14ac:dyDescent="0.35">
      <c r="A4674">
        <v>127</v>
      </c>
      <c r="B4674" t="s">
        <v>25</v>
      </c>
    </row>
    <row r="4675" spans="1:2" x14ac:dyDescent="0.35">
      <c r="A4675">
        <v>127</v>
      </c>
      <c r="B4675" s="2">
        <v>4.1099999999999998E-2</v>
      </c>
    </row>
    <row r="4676" spans="1:2" x14ac:dyDescent="0.35">
      <c r="A4676">
        <v>127</v>
      </c>
      <c r="B4676" t="s">
        <v>29</v>
      </c>
    </row>
    <row r="4677" spans="1:2" x14ac:dyDescent="0.35">
      <c r="A4677">
        <v>127</v>
      </c>
      <c r="B4677" s="2">
        <v>-7.9299999999999995E-2</v>
      </c>
    </row>
    <row r="4678" spans="1:2" x14ac:dyDescent="0.35">
      <c r="A4678">
        <v>127</v>
      </c>
      <c r="B4678" t="s">
        <v>30</v>
      </c>
    </row>
    <row r="4679" spans="1:2" x14ac:dyDescent="0.35">
      <c r="A4679">
        <v>127</v>
      </c>
      <c r="B4679" s="2">
        <v>-0.46013999999999999</v>
      </c>
    </row>
    <row r="4680" spans="1:2" x14ac:dyDescent="0.35">
      <c r="A4680">
        <v>127</v>
      </c>
      <c r="B4680" t="s">
        <v>8</v>
      </c>
    </row>
    <row r="4681" spans="1:2" x14ac:dyDescent="0.35">
      <c r="A4681">
        <v>127</v>
      </c>
      <c r="B4681" s="2">
        <v>0.59299999999999997</v>
      </c>
    </row>
    <row r="4682" spans="1:2" x14ac:dyDescent="0.35">
      <c r="A4682">
        <v>127</v>
      </c>
      <c r="B4682" t="s">
        <v>31</v>
      </c>
    </row>
    <row r="4683" spans="1:2" x14ac:dyDescent="0.35">
      <c r="A4683">
        <v>127</v>
      </c>
      <c r="B4683">
        <v>-0.29099999999999998</v>
      </c>
    </row>
    <row r="4684" spans="1:2" x14ac:dyDescent="0.35">
      <c r="A4684">
        <v>127</v>
      </c>
      <c r="B4684" t="s">
        <v>32</v>
      </c>
    </row>
    <row r="4685" spans="1:2" x14ac:dyDescent="0.35">
      <c r="A4685">
        <v>127</v>
      </c>
      <c r="B4685" s="2">
        <v>-0.32754</v>
      </c>
    </row>
    <row r="4686" spans="1:2" x14ac:dyDescent="0.35">
      <c r="A4686">
        <v>127</v>
      </c>
      <c r="B4686" t="s">
        <v>33</v>
      </c>
    </row>
    <row r="4687" spans="1:2" x14ac:dyDescent="0.35">
      <c r="A4687">
        <v>127</v>
      </c>
      <c r="B4687" s="3">
        <v>0.53</v>
      </c>
    </row>
    <row r="4688" spans="1:2" x14ac:dyDescent="0.35">
      <c r="A4688">
        <v>127</v>
      </c>
      <c r="B4688" t="s">
        <v>34</v>
      </c>
    </row>
    <row r="4689" spans="1:2" x14ac:dyDescent="0.35">
      <c r="A4689">
        <v>127</v>
      </c>
      <c r="B4689" s="3">
        <v>0.47</v>
      </c>
    </row>
    <row r="4690" spans="1:2" x14ac:dyDescent="0.35">
      <c r="A4690">
        <v>127</v>
      </c>
      <c r="B4690" t="s">
        <v>26</v>
      </c>
    </row>
    <row r="4691" spans="1:2" x14ac:dyDescent="0.35">
      <c r="A4691">
        <v>127</v>
      </c>
      <c r="B4691">
        <v>0.52</v>
      </c>
    </row>
    <row r="4692" spans="1:2" x14ac:dyDescent="0.35">
      <c r="A4692">
        <v>127</v>
      </c>
      <c r="B4692" t="s">
        <v>23</v>
      </c>
    </row>
    <row r="4693" spans="1:2" x14ac:dyDescent="0.35">
      <c r="A4693">
        <v>127</v>
      </c>
      <c r="B4693">
        <v>-0.36</v>
      </c>
    </row>
    <row r="4694" spans="1:2" x14ac:dyDescent="0.35">
      <c r="A4694">
        <v>127</v>
      </c>
      <c r="B4694" t="s">
        <v>24</v>
      </c>
    </row>
    <row r="4695" spans="1:2" x14ac:dyDescent="0.35">
      <c r="A4695">
        <v>127</v>
      </c>
      <c r="B4695">
        <v>2.1549999999999998</v>
      </c>
    </row>
    <row r="4696" spans="1:2" x14ac:dyDescent="0.35">
      <c r="A4696">
        <v>127</v>
      </c>
      <c r="B4696" t="s">
        <v>35</v>
      </c>
    </row>
    <row r="4697" spans="1:2" x14ac:dyDescent="0.35">
      <c r="A4697">
        <v>127</v>
      </c>
      <c r="B4697">
        <v>0.60599999999999998</v>
      </c>
    </row>
    <row r="4698" spans="1:2" x14ac:dyDescent="0.35">
      <c r="A4698">
        <v>127</v>
      </c>
      <c r="B4698" t="s">
        <v>36</v>
      </c>
    </row>
    <row r="4699" spans="1:2" x14ac:dyDescent="0.35">
      <c r="A4699">
        <v>127</v>
      </c>
      <c r="B4699">
        <v>0.36699999999999999</v>
      </c>
    </row>
    <row r="4700" spans="1:2" x14ac:dyDescent="0.35">
      <c r="A4700">
        <v>127</v>
      </c>
      <c r="B4700" t="s">
        <v>37</v>
      </c>
    </row>
    <row r="4701" spans="1:2" x14ac:dyDescent="0.35">
      <c r="A4701">
        <v>127</v>
      </c>
      <c r="B4701">
        <v>-0.48199999999999998</v>
      </c>
    </row>
    <row r="4702" spans="1:2" x14ac:dyDescent="0.35">
      <c r="A4702">
        <v>127</v>
      </c>
      <c r="B4702" t="s">
        <v>38</v>
      </c>
    </row>
    <row r="4703" spans="1:2" x14ac:dyDescent="0.35">
      <c r="A4703">
        <v>127</v>
      </c>
      <c r="B4703">
        <v>0.59299999999999997</v>
      </c>
    </row>
    <row r="4704" spans="1:2" x14ac:dyDescent="0.35">
      <c r="A4704">
        <v>127</v>
      </c>
      <c r="B4704" t="s">
        <v>39</v>
      </c>
    </row>
    <row r="4705" spans="1:2" x14ac:dyDescent="0.35">
      <c r="A4705">
        <v>127</v>
      </c>
      <c r="B4705">
        <v>-0.10299999999999999</v>
      </c>
    </row>
    <row r="4706" spans="1:2" x14ac:dyDescent="0.35">
      <c r="A4706">
        <v>127</v>
      </c>
      <c r="B4706" t="s">
        <v>40</v>
      </c>
    </row>
    <row r="4707" spans="1:2" x14ac:dyDescent="0.35">
      <c r="A4707">
        <v>127</v>
      </c>
      <c r="B4707" s="4">
        <v>0</v>
      </c>
    </row>
    <row r="4708" spans="1:2" x14ac:dyDescent="0.35">
      <c r="A4708">
        <v>127</v>
      </c>
      <c r="B4708" t="s">
        <v>41</v>
      </c>
    </row>
    <row r="4709" spans="1:2" x14ac:dyDescent="0.35">
      <c r="A4709">
        <v>127</v>
      </c>
      <c r="B4709" s="4">
        <v>19000000</v>
      </c>
    </row>
    <row r="4710" spans="1:2" x14ac:dyDescent="0.35">
      <c r="A4710">
        <v>127</v>
      </c>
      <c r="B4710" t="s">
        <v>42</v>
      </c>
    </row>
    <row r="4711" spans="1:2" x14ac:dyDescent="0.35">
      <c r="A4711">
        <v>127</v>
      </c>
      <c r="B4711" t="s">
        <v>44</v>
      </c>
    </row>
    <row r="4712" spans="1:2" x14ac:dyDescent="0.35">
      <c r="A4712">
        <v>126</v>
      </c>
      <c r="B4712" t="s">
        <v>27</v>
      </c>
    </row>
    <row r="4713" spans="1:2" x14ac:dyDescent="0.35">
      <c r="A4713">
        <v>126</v>
      </c>
      <c r="B4713" s="2">
        <v>9.3880000000000005E-2</v>
      </c>
    </row>
    <row r="4714" spans="1:2" x14ac:dyDescent="0.35">
      <c r="A4714">
        <v>126</v>
      </c>
      <c r="B4714" t="s">
        <v>1</v>
      </c>
    </row>
    <row r="4715" spans="1:2" x14ac:dyDescent="0.35">
      <c r="A4715">
        <v>126</v>
      </c>
      <c r="B4715">
        <v>-0.36699999999999999</v>
      </c>
    </row>
    <row r="4716" spans="1:2" x14ac:dyDescent="0.35">
      <c r="A4716">
        <v>126</v>
      </c>
      <c r="B4716" t="s">
        <v>28</v>
      </c>
    </row>
    <row r="4717" spans="1:2" x14ac:dyDescent="0.35">
      <c r="A4717">
        <v>126</v>
      </c>
      <c r="B4717">
        <v>459</v>
      </c>
    </row>
    <row r="4718" spans="1:2" x14ac:dyDescent="0.35">
      <c r="A4718">
        <v>126</v>
      </c>
      <c r="B4718" t="s">
        <v>25</v>
      </c>
    </row>
    <row r="4719" spans="1:2" x14ac:dyDescent="0.35">
      <c r="A4719">
        <v>126</v>
      </c>
      <c r="B4719" s="2">
        <v>4.1099999999999998E-2</v>
      </c>
    </row>
    <row r="4720" spans="1:2" x14ac:dyDescent="0.35">
      <c r="A4720">
        <v>126</v>
      </c>
      <c r="B4720" t="s">
        <v>29</v>
      </c>
    </row>
    <row r="4721" spans="1:2" x14ac:dyDescent="0.35">
      <c r="A4721">
        <v>126</v>
      </c>
      <c r="B4721" s="2">
        <v>-7.9299999999999995E-2</v>
      </c>
    </row>
    <row r="4722" spans="1:2" x14ac:dyDescent="0.35">
      <c r="A4722">
        <v>126</v>
      </c>
      <c r="B4722" t="s">
        <v>30</v>
      </c>
    </row>
    <row r="4723" spans="1:2" x14ac:dyDescent="0.35">
      <c r="A4723">
        <v>126</v>
      </c>
      <c r="B4723" s="2">
        <v>-0.46013999999999999</v>
      </c>
    </row>
    <row r="4724" spans="1:2" x14ac:dyDescent="0.35">
      <c r="A4724">
        <v>126</v>
      </c>
      <c r="B4724" t="s">
        <v>8</v>
      </c>
    </row>
    <row r="4725" spans="1:2" x14ac:dyDescent="0.35">
      <c r="A4725">
        <v>126</v>
      </c>
      <c r="B4725" s="2">
        <v>0.59299999999999997</v>
      </c>
    </row>
    <row r="4726" spans="1:2" x14ac:dyDescent="0.35">
      <c r="A4726">
        <v>126</v>
      </c>
      <c r="B4726" t="s">
        <v>31</v>
      </c>
    </row>
    <row r="4727" spans="1:2" x14ac:dyDescent="0.35">
      <c r="A4727">
        <v>126</v>
      </c>
      <c r="B4727">
        <v>-0.29099999999999998</v>
      </c>
    </row>
    <row r="4728" spans="1:2" x14ac:dyDescent="0.35">
      <c r="A4728">
        <v>126</v>
      </c>
      <c r="B4728" t="s">
        <v>32</v>
      </c>
    </row>
    <row r="4729" spans="1:2" x14ac:dyDescent="0.35">
      <c r="A4729">
        <v>126</v>
      </c>
      <c r="B4729" s="2">
        <v>-0.32754</v>
      </c>
    </row>
    <row r="4730" spans="1:2" x14ac:dyDescent="0.35">
      <c r="A4730">
        <v>126</v>
      </c>
      <c r="B4730" t="s">
        <v>33</v>
      </c>
    </row>
    <row r="4731" spans="1:2" x14ac:dyDescent="0.35">
      <c r="A4731">
        <v>126</v>
      </c>
      <c r="B4731" s="3">
        <v>0.53</v>
      </c>
    </row>
    <row r="4732" spans="1:2" x14ac:dyDescent="0.35">
      <c r="A4732">
        <v>126</v>
      </c>
      <c r="B4732" t="s">
        <v>34</v>
      </c>
    </row>
    <row r="4733" spans="1:2" x14ac:dyDescent="0.35">
      <c r="A4733">
        <v>126</v>
      </c>
      <c r="B4733" s="3">
        <v>0.47</v>
      </c>
    </row>
    <row r="4734" spans="1:2" x14ac:dyDescent="0.35">
      <c r="A4734">
        <v>126</v>
      </c>
      <c r="B4734" t="s">
        <v>26</v>
      </c>
    </row>
    <row r="4735" spans="1:2" x14ac:dyDescent="0.35">
      <c r="A4735">
        <v>126</v>
      </c>
      <c r="B4735">
        <v>0.52</v>
      </c>
    </row>
    <row r="4736" spans="1:2" x14ac:dyDescent="0.35">
      <c r="A4736">
        <v>126</v>
      </c>
      <c r="B4736" t="s">
        <v>23</v>
      </c>
    </row>
    <row r="4737" spans="1:2" x14ac:dyDescent="0.35">
      <c r="A4737">
        <v>126</v>
      </c>
      <c r="B4737">
        <v>-0.36</v>
      </c>
    </row>
    <row r="4738" spans="1:2" x14ac:dyDescent="0.35">
      <c r="A4738">
        <v>126</v>
      </c>
      <c r="B4738" t="s">
        <v>24</v>
      </c>
    </row>
    <row r="4739" spans="1:2" x14ac:dyDescent="0.35">
      <c r="A4739">
        <v>126</v>
      </c>
      <c r="B4739">
        <v>2.1549999999999998</v>
      </c>
    </row>
    <row r="4740" spans="1:2" x14ac:dyDescent="0.35">
      <c r="A4740">
        <v>126</v>
      </c>
      <c r="B4740" t="s">
        <v>35</v>
      </c>
    </row>
    <row r="4741" spans="1:2" x14ac:dyDescent="0.35">
      <c r="A4741">
        <v>126</v>
      </c>
      <c r="B4741">
        <v>0.60599999999999998</v>
      </c>
    </row>
    <row r="4742" spans="1:2" x14ac:dyDescent="0.35">
      <c r="A4742">
        <v>126</v>
      </c>
      <c r="B4742" t="s">
        <v>36</v>
      </c>
    </row>
    <row r="4743" spans="1:2" x14ac:dyDescent="0.35">
      <c r="A4743">
        <v>126</v>
      </c>
      <c r="B4743">
        <v>0.36699999999999999</v>
      </c>
    </row>
    <row r="4744" spans="1:2" x14ac:dyDescent="0.35">
      <c r="A4744">
        <v>126</v>
      </c>
      <c r="B4744" t="s">
        <v>37</v>
      </c>
    </row>
    <row r="4745" spans="1:2" x14ac:dyDescent="0.35">
      <c r="A4745">
        <v>126</v>
      </c>
      <c r="B4745">
        <v>-0.48199999999999998</v>
      </c>
    </row>
    <row r="4746" spans="1:2" x14ac:dyDescent="0.35">
      <c r="A4746">
        <v>126</v>
      </c>
      <c r="B4746" t="s">
        <v>38</v>
      </c>
    </row>
    <row r="4747" spans="1:2" x14ac:dyDescent="0.35">
      <c r="A4747">
        <v>126</v>
      </c>
      <c r="B4747">
        <v>0.59299999999999997</v>
      </c>
    </row>
    <row r="4748" spans="1:2" x14ac:dyDescent="0.35">
      <c r="A4748">
        <v>126</v>
      </c>
      <c r="B4748" t="s">
        <v>39</v>
      </c>
    </row>
    <row r="4749" spans="1:2" x14ac:dyDescent="0.35">
      <c r="A4749">
        <v>126</v>
      </c>
      <c r="B4749">
        <v>-0.10299999999999999</v>
      </c>
    </row>
    <row r="4750" spans="1:2" x14ac:dyDescent="0.35">
      <c r="A4750">
        <v>126</v>
      </c>
      <c r="B4750" t="s">
        <v>40</v>
      </c>
    </row>
    <row r="4751" spans="1:2" x14ac:dyDescent="0.35">
      <c r="A4751">
        <v>126</v>
      </c>
      <c r="B4751" s="4">
        <v>0</v>
      </c>
    </row>
    <row r="4752" spans="1:2" x14ac:dyDescent="0.35">
      <c r="A4752">
        <v>126</v>
      </c>
      <c r="B4752" t="s">
        <v>41</v>
      </c>
    </row>
    <row r="4753" spans="1:2" x14ac:dyDescent="0.35">
      <c r="A4753">
        <v>126</v>
      </c>
      <c r="B4753" s="4">
        <v>19000000</v>
      </c>
    </row>
    <row r="4754" spans="1:2" x14ac:dyDescent="0.35">
      <c r="A4754">
        <v>126</v>
      </c>
      <c r="B4754" t="s">
        <v>42</v>
      </c>
    </row>
    <row r="4755" spans="1:2" x14ac:dyDescent="0.35">
      <c r="A4755">
        <v>126</v>
      </c>
      <c r="B4755" t="s">
        <v>44</v>
      </c>
    </row>
    <row r="4756" spans="1:2" x14ac:dyDescent="0.35">
      <c r="A4756">
        <v>125</v>
      </c>
      <c r="B4756" t="s">
        <v>27</v>
      </c>
    </row>
    <row r="4757" spans="1:2" x14ac:dyDescent="0.35">
      <c r="A4757">
        <v>125</v>
      </c>
      <c r="B4757" s="2">
        <v>9.3880000000000005E-2</v>
      </c>
    </row>
    <row r="4758" spans="1:2" x14ac:dyDescent="0.35">
      <c r="A4758">
        <v>125</v>
      </c>
      <c r="B4758" t="s">
        <v>1</v>
      </c>
    </row>
    <row r="4759" spans="1:2" x14ac:dyDescent="0.35">
      <c r="A4759">
        <v>125</v>
      </c>
      <c r="B4759">
        <v>-0.36699999999999999</v>
      </c>
    </row>
    <row r="4760" spans="1:2" x14ac:dyDescent="0.35">
      <c r="A4760">
        <v>125</v>
      </c>
      <c r="B4760" t="s">
        <v>28</v>
      </c>
    </row>
    <row r="4761" spans="1:2" x14ac:dyDescent="0.35">
      <c r="A4761">
        <v>125</v>
      </c>
      <c r="B4761">
        <v>459</v>
      </c>
    </row>
    <row r="4762" spans="1:2" x14ac:dyDescent="0.35">
      <c r="A4762">
        <v>125</v>
      </c>
      <c r="B4762" t="s">
        <v>25</v>
      </c>
    </row>
    <row r="4763" spans="1:2" x14ac:dyDescent="0.35">
      <c r="A4763">
        <v>125</v>
      </c>
      <c r="B4763" s="2">
        <v>4.1099999999999998E-2</v>
      </c>
    </row>
    <row r="4764" spans="1:2" x14ac:dyDescent="0.35">
      <c r="A4764">
        <v>125</v>
      </c>
      <c r="B4764" t="s">
        <v>29</v>
      </c>
    </row>
    <row r="4765" spans="1:2" x14ac:dyDescent="0.35">
      <c r="A4765">
        <v>125</v>
      </c>
      <c r="B4765" s="2">
        <v>-7.9299999999999995E-2</v>
      </c>
    </row>
    <row r="4766" spans="1:2" x14ac:dyDescent="0.35">
      <c r="A4766">
        <v>125</v>
      </c>
      <c r="B4766" t="s">
        <v>30</v>
      </c>
    </row>
    <row r="4767" spans="1:2" x14ac:dyDescent="0.35">
      <c r="A4767">
        <v>125</v>
      </c>
      <c r="B4767" s="2">
        <v>-0.46013999999999999</v>
      </c>
    </row>
    <row r="4768" spans="1:2" x14ac:dyDescent="0.35">
      <c r="A4768">
        <v>125</v>
      </c>
      <c r="B4768" t="s">
        <v>8</v>
      </c>
    </row>
    <row r="4769" spans="1:2" x14ac:dyDescent="0.35">
      <c r="A4769">
        <v>125</v>
      </c>
      <c r="B4769" s="2">
        <v>0.59299999999999997</v>
      </c>
    </row>
    <row r="4770" spans="1:2" x14ac:dyDescent="0.35">
      <c r="A4770">
        <v>125</v>
      </c>
      <c r="B4770" t="s">
        <v>31</v>
      </c>
    </row>
    <row r="4771" spans="1:2" x14ac:dyDescent="0.35">
      <c r="A4771">
        <v>125</v>
      </c>
      <c r="B4771">
        <v>-0.29099999999999998</v>
      </c>
    </row>
    <row r="4772" spans="1:2" x14ac:dyDescent="0.35">
      <c r="A4772">
        <v>125</v>
      </c>
      <c r="B4772" t="s">
        <v>32</v>
      </c>
    </row>
    <row r="4773" spans="1:2" x14ac:dyDescent="0.35">
      <c r="A4773">
        <v>125</v>
      </c>
      <c r="B4773" s="2">
        <v>-0.32754</v>
      </c>
    </row>
    <row r="4774" spans="1:2" x14ac:dyDescent="0.35">
      <c r="A4774">
        <v>125</v>
      </c>
      <c r="B4774" t="s">
        <v>33</v>
      </c>
    </row>
    <row r="4775" spans="1:2" x14ac:dyDescent="0.35">
      <c r="A4775">
        <v>125</v>
      </c>
      <c r="B4775" s="3">
        <v>0.53</v>
      </c>
    </row>
    <row r="4776" spans="1:2" x14ac:dyDescent="0.35">
      <c r="A4776">
        <v>125</v>
      </c>
      <c r="B4776" t="s">
        <v>34</v>
      </c>
    </row>
    <row r="4777" spans="1:2" x14ac:dyDescent="0.35">
      <c r="A4777">
        <v>125</v>
      </c>
      <c r="B4777" s="3">
        <v>0.47</v>
      </c>
    </row>
    <row r="4778" spans="1:2" x14ac:dyDescent="0.35">
      <c r="A4778">
        <v>125</v>
      </c>
      <c r="B4778" t="s">
        <v>26</v>
      </c>
    </row>
    <row r="4779" spans="1:2" x14ac:dyDescent="0.35">
      <c r="A4779">
        <v>125</v>
      </c>
      <c r="B4779">
        <v>0.52</v>
      </c>
    </row>
    <row r="4780" spans="1:2" x14ac:dyDescent="0.35">
      <c r="A4780">
        <v>125</v>
      </c>
      <c r="B4780" t="s">
        <v>23</v>
      </c>
    </row>
    <row r="4781" spans="1:2" x14ac:dyDescent="0.35">
      <c r="A4781">
        <v>125</v>
      </c>
      <c r="B4781">
        <v>-0.36</v>
      </c>
    </row>
    <row r="4782" spans="1:2" x14ac:dyDescent="0.35">
      <c r="A4782">
        <v>125</v>
      </c>
      <c r="B4782" t="s">
        <v>24</v>
      </c>
    </row>
    <row r="4783" spans="1:2" x14ac:dyDescent="0.35">
      <c r="A4783">
        <v>125</v>
      </c>
      <c r="B4783">
        <v>2.1549999999999998</v>
      </c>
    </row>
    <row r="4784" spans="1:2" x14ac:dyDescent="0.35">
      <c r="A4784">
        <v>125</v>
      </c>
      <c r="B4784" t="s">
        <v>35</v>
      </c>
    </row>
    <row r="4785" spans="1:2" x14ac:dyDescent="0.35">
      <c r="A4785">
        <v>125</v>
      </c>
      <c r="B4785">
        <v>0.60599999999999998</v>
      </c>
    </row>
    <row r="4786" spans="1:2" x14ac:dyDescent="0.35">
      <c r="A4786">
        <v>125</v>
      </c>
      <c r="B4786" t="s">
        <v>36</v>
      </c>
    </row>
    <row r="4787" spans="1:2" x14ac:dyDescent="0.35">
      <c r="A4787">
        <v>125</v>
      </c>
      <c r="B4787">
        <v>0.36699999999999999</v>
      </c>
    </row>
    <row r="4788" spans="1:2" x14ac:dyDescent="0.35">
      <c r="A4788">
        <v>125</v>
      </c>
      <c r="B4788" t="s">
        <v>37</v>
      </c>
    </row>
    <row r="4789" spans="1:2" x14ac:dyDescent="0.35">
      <c r="A4789">
        <v>125</v>
      </c>
      <c r="B4789">
        <v>-0.48199999999999998</v>
      </c>
    </row>
    <row r="4790" spans="1:2" x14ac:dyDescent="0.35">
      <c r="A4790">
        <v>125</v>
      </c>
      <c r="B4790" t="s">
        <v>38</v>
      </c>
    </row>
    <row r="4791" spans="1:2" x14ac:dyDescent="0.35">
      <c r="A4791">
        <v>125</v>
      </c>
      <c r="B4791">
        <v>0.59299999999999997</v>
      </c>
    </row>
    <row r="4792" spans="1:2" x14ac:dyDescent="0.35">
      <c r="A4792">
        <v>125</v>
      </c>
      <c r="B4792" t="s">
        <v>39</v>
      </c>
    </row>
    <row r="4793" spans="1:2" x14ac:dyDescent="0.35">
      <c r="A4793">
        <v>125</v>
      </c>
      <c r="B4793">
        <v>-0.10299999999999999</v>
      </c>
    </row>
    <row r="4794" spans="1:2" x14ac:dyDescent="0.35">
      <c r="A4794">
        <v>125</v>
      </c>
      <c r="B4794" t="s">
        <v>40</v>
      </c>
    </row>
    <row r="4795" spans="1:2" x14ac:dyDescent="0.35">
      <c r="A4795">
        <v>125</v>
      </c>
      <c r="B4795" s="4">
        <v>0</v>
      </c>
    </row>
    <row r="4796" spans="1:2" x14ac:dyDescent="0.35">
      <c r="A4796">
        <v>125</v>
      </c>
      <c r="B4796" t="s">
        <v>41</v>
      </c>
    </row>
    <row r="4797" spans="1:2" x14ac:dyDescent="0.35">
      <c r="A4797">
        <v>125</v>
      </c>
      <c r="B4797" s="4">
        <v>19000000</v>
      </c>
    </row>
    <row r="4798" spans="1:2" x14ac:dyDescent="0.35">
      <c r="A4798">
        <v>125</v>
      </c>
      <c r="B4798" t="s">
        <v>42</v>
      </c>
    </row>
    <row r="4799" spans="1:2" x14ac:dyDescent="0.35">
      <c r="A4799">
        <v>125</v>
      </c>
      <c r="B4799" t="s">
        <v>44</v>
      </c>
    </row>
    <row r="4800" spans="1:2" x14ac:dyDescent="0.35">
      <c r="A4800">
        <v>124</v>
      </c>
      <c r="B4800" t="s">
        <v>27</v>
      </c>
    </row>
    <row r="4801" spans="1:2" x14ac:dyDescent="0.35">
      <c r="A4801">
        <v>124</v>
      </c>
      <c r="B4801" s="2">
        <v>9.3880000000000005E-2</v>
      </c>
    </row>
    <row r="4802" spans="1:2" x14ac:dyDescent="0.35">
      <c r="A4802">
        <v>124</v>
      </c>
      <c r="B4802" t="s">
        <v>1</v>
      </c>
    </row>
    <row r="4803" spans="1:2" x14ac:dyDescent="0.35">
      <c r="A4803">
        <v>124</v>
      </c>
      <c r="B4803">
        <v>-0.36699999999999999</v>
      </c>
    </row>
    <row r="4804" spans="1:2" x14ac:dyDescent="0.35">
      <c r="A4804">
        <v>124</v>
      </c>
      <c r="B4804" t="s">
        <v>28</v>
      </c>
    </row>
    <row r="4805" spans="1:2" x14ac:dyDescent="0.35">
      <c r="A4805">
        <v>124</v>
      </c>
      <c r="B4805">
        <v>459</v>
      </c>
    </row>
    <row r="4806" spans="1:2" x14ac:dyDescent="0.35">
      <c r="A4806">
        <v>124</v>
      </c>
      <c r="B4806" t="s">
        <v>25</v>
      </c>
    </row>
    <row r="4807" spans="1:2" x14ac:dyDescent="0.35">
      <c r="A4807">
        <v>124</v>
      </c>
      <c r="B4807" s="2">
        <v>4.1099999999999998E-2</v>
      </c>
    </row>
    <row r="4808" spans="1:2" x14ac:dyDescent="0.35">
      <c r="A4808">
        <v>124</v>
      </c>
      <c r="B4808" t="s">
        <v>29</v>
      </c>
    </row>
    <row r="4809" spans="1:2" x14ac:dyDescent="0.35">
      <c r="A4809">
        <v>124</v>
      </c>
      <c r="B4809" s="2">
        <v>-7.9299999999999995E-2</v>
      </c>
    </row>
    <row r="4810" spans="1:2" x14ac:dyDescent="0.35">
      <c r="A4810">
        <v>124</v>
      </c>
      <c r="B4810" t="s">
        <v>30</v>
      </c>
    </row>
    <row r="4811" spans="1:2" x14ac:dyDescent="0.35">
      <c r="A4811">
        <v>124</v>
      </c>
      <c r="B4811" s="2">
        <v>-0.46013999999999999</v>
      </c>
    </row>
    <row r="4812" spans="1:2" x14ac:dyDescent="0.35">
      <c r="A4812">
        <v>124</v>
      </c>
      <c r="B4812" t="s">
        <v>8</v>
      </c>
    </row>
    <row r="4813" spans="1:2" x14ac:dyDescent="0.35">
      <c r="A4813">
        <v>124</v>
      </c>
      <c r="B4813" s="2">
        <v>0.59299999999999997</v>
      </c>
    </row>
    <row r="4814" spans="1:2" x14ac:dyDescent="0.35">
      <c r="A4814">
        <v>124</v>
      </c>
      <c r="B4814" t="s">
        <v>31</v>
      </c>
    </row>
    <row r="4815" spans="1:2" x14ac:dyDescent="0.35">
      <c r="A4815">
        <v>124</v>
      </c>
      <c r="B4815">
        <v>-0.29099999999999998</v>
      </c>
    </row>
    <row r="4816" spans="1:2" x14ac:dyDescent="0.35">
      <c r="A4816">
        <v>124</v>
      </c>
      <c r="B4816" t="s">
        <v>32</v>
      </c>
    </row>
    <row r="4817" spans="1:2" x14ac:dyDescent="0.35">
      <c r="A4817">
        <v>124</v>
      </c>
      <c r="B4817" s="2">
        <v>-0.32754</v>
      </c>
    </row>
    <row r="4818" spans="1:2" x14ac:dyDescent="0.35">
      <c r="A4818">
        <v>124</v>
      </c>
      <c r="B4818" t="s">
        <v>33</v>
      </c>
    </row>
    <row r="4819" spans="1:2" x14ac:dyDescent="0.35">
      <c r="A4819">
        <v>124</v>
      </c>
      <c r="B4819" s="3">
        <v>0.53</v>
      </c>
    </row>
    <row r="4820" spans="1:2" x14ac:dyDescent="0.35">
      <c r="A4820">
        <v>124</v>
      </c>
      <c r="B4820" t="s">
        <v>34</v>
      </c>
    </row>
    <row r="4821" spans="1:2" x14ac:dyDescent="0.35">
      <c r="A4821">
        <v>124</v>
      </c>
      <c r="B4821" s="3">
        <v>0.47</v>
      </c>
    </row>
    <row r="4822" spans="1:2" x14ac:dyDescent="0.35">
      <c r="A4822">
        <v>124</v>
      </c>
      <c r="B4822" t="s">
        <v>26</v>
      </c>
    </row>
    <row r="4823" spans="1:2" x14ac:dyDescent="0.35">
      <c r="A4823">
        <v>124</v>
      </c>
      <c r="B4823">
        <v>0.52</v>
      </c>
    </row>
    <row r="4824" spans="1:2" x14ac:dyDescent="0.35">
      <c r="A4824">
        <v>124</v>
      </c>
      <c r="B4824" t="s">
        <v>23</v>
      </c>
    </row>
    <row r="4825" spans="1:2" x14ac:dyDescent="0.35">
      <c r="A4825">
        <v>124</v>
      </c>
      <c r="B4825">
        <v>-0.36</v>
      </c>
    </row>
    <row r="4826" spans="1:2" x14ac:dyDescent="0.35">
      <c r="A4826">
        <v>124</v>
      </c>
      <c r="B4826" t="s">
        <v>24</v>
      </c>
    </row>
    <row r="4827" spans="1:2" x14ac:dyDescent="0.35">
      <c r="A4827">
        <v>124</v>
      </c>
      <c r="B4827">
        <v>2.1549999999999998</v>
      </c>
    </row>
    <row r="4828" spans="1:2" x14ac:dyDescent="0.35">
      <c r="A4828">
        <v>124</v>
      </c>
      <c r="B4828" t="s">
        <v>35</v>
      </c>
    </row>
    <row r="4829" spans="1:2" x14ac:dyDescent="0.35">
      <c r="A4829">
        <v>124</v>
      </c>
      <c r="B4829">
        <v>0.60599999999999998</v>
      </c>
    </row>
    <row r="4830" spans="1:2" x14ac:dyDescent="0.35">
      <c r="A4830">
        <v>124</v>
      </c>
      <c r="B4830" t="s">
        <v>36</v>
      </c>
    </row>
    <row r="4831" spans="1:2" x14ac:dyDescent="0.35">
      <c r="A4831">
        <v>124</v>
      </c>
      <c r="B4831">
        <v>0.36699999999999999</v>
      </c>
    </row>
    <row r="4832" spans="1:2" x14ac:dyDescent="0.35">
      <c r="A4832">
        <v>124</v>
      </c>
      <c r="B4832" t="s">
        <v>37</v>
      </c>
    </row>
    <row r="4833" spans="1:2" x14ac:dyDescent="0.35">
      <c r="A4833">
        <v>124</v>
      </c>
      <c r="B4833">
        <v>-0.48199999999999998</v>
      </c>
    </row>
    <row r="4834" spans="1:2" x14ac:dyDescent="0.35">
      <c r="A4834">
        <v>124</v>
      </c>
      <c r="B4834" t="s">
        <v>38</v>
      </c>
    </row>
    <row r="4835" spans="1:2" x14ac:dyDescent="0.35">
      <c r="A4835">
        <v>124</v>
      </c>
      <c r="B4835">
        <v>0.59299999999999997</v>
      </c>
    </row>
    <row r="4836" spans="1:2" x14ac:dyDescent="0.35">
      <c r="A4836">
        <v>124</v>
      </c>
      <c r="B4836" t="s">
        <v>39</v>
      </c>
    </row>
    <row r="4837" spans="1:2" x14ac:dyDescent="0.35">
      <c r="A4837">
        <v>124</v>
      </c>
      <c r="B4837">
        <v>-0.10299999999999999</v>
      </c>
    </row>
    <row r="4838" spans="1:2" x14ac:dyDescent="0.35">
      <c r="A4838">
        <v>124</v>
      </c>
      <c r="B4838" t="s">
        <v>40</v>
      </c>
    </row>
    <row r="4839" spans="1:2" x14ac:dyDescent="0.35">
      <c r="A4839">
        <v>124</v>
      </c>
      <c r="B4839" s="4">
        <v>0</v>
      </c>
    </row>
    <row r="4840" spans="1:2" x14ac:dyDescent="0.35">
      <c r="A4840">
        <v>124</v>
      </c>
      <c r="B4840" t="s">
        <v>41</v>
      </c>
    </row>
    <row r="4841" spans="1:2" x14ac:dyDescent="0.35">
      <c r="A4841">
        <v>124</v>
      </c>
      <c r="B4841" s="4">
        <v>19000000</v>
      </c>
    </row>
    <row r="4842" spans="1:2" x14ac:dyDescent="0.35">
      <c r="A4842">
        <v>124</v>
      </c>
      <c r="B4842" t="s">
        <v>42</v>
      </c>
    </row>
    <row r="4843" spans="1:2" x14ac:dyDescent="0.35">
      <c r="A4843">
        <v>124</v>
      </c>
      <c r="B4843" t="s">
        <v>44</v>
      </c>
    </row>
    <row r="4844" spans="1:2" x14ac:dyDescent="0.35">
      <c r="A4844">
        <v>123</v>
      </c>
      <c r="B4844" t="s">
        <v>27</v>
      </c>
    </row>
    <row r="4845" spans="1:2" x14ac:dyDescent="0.35">
      <c r="A4845">
        <v>123</v>
      </c>
      <c r="B4845" s="2">
        <v>9.3880000000000005E-2</v>
      </c>
    </row>
    <row r="4846" spans="1:2" x14ac:dyDescent="0.35">
      <c r="A4846">
        <v>123</v>
      </c>
      <c r="B4846" t="s">
        <v>1</v>
      </c>
    </row>
    <row r="4847" spans="1:2" x14ac:dyDescent="0.35">
      <c r="A4847">
        <v>123</v>
      </c>
      <c r="B4847">
        <v>-0.36699999999999999</v>
      </c>
    </row>
    <row r="4848" spans="1:2" x14ac:dyDescent="0.35">
      <c r="A4848">
        <v>123</v>
      </c>
      <c r="B4848" t="s">
        <v>28</v>
      </c>
    </row>
    <row r="4849" spans="1:2" x14ac:dyDescent="0.35">
      <c r="A4849">
        <v>123</v>
      </c>
      <c r="B4849">
        <v>459</v>
      </c>
    </row>
    <row r="4850" spans="1:2" x14ac:dyDescent="0.35">
      <c r="A4850">
        <v>123</v>
      </c>
      <c r="B4850" t="s">
        <v>25</v>
      </c>
    </row>
    <row r="4851" spans="1:2" x14ac:dyDescent="0.35">
      <c r="A4851">
        <v>123</v>
      </c>
      <c r="B4851" s="2">
        <v>4.1099999999999998E-2</v>
      </c>
    </row>
    <row r="4852" spans="1:2" x14ac:dyDescent="0.35">
      <c r="A4852">
        <v>123</v>
      </c>
      <c r="B4852" t="s">
        <v>29</v>
      </c>
    </row>
    <row r="4853" spans="1:2" x14ac:dyDescent="0.35">
      <c r="A4853">
        <v>123</v>
      </c>
      <c r="B4853" s="2">
        <v>-7.9299999999999995E-2</v>
      </c>
    </row>
    <row r="4854" spans="1:2" x14ac:dyDescent="0.35">
      <c r="A4854">
        <v>123</v>
      </c>
      <c r="B4854" t="s">
        <v>30</v>
      </c>
    </row>
    <row r="4855" spans="1:2" x14ac:dyDescent="0.35">
      <c r="A4855">
        <v>123</v>
      </c>
      <c r="B4855" s="2">
        <v>-0.46013999999999999</v>
      </c>
    </row>
    <row r="4856" spans="1:2" x14ac:dyDescent="0.35">
      <c r="A4856">
        <v>123</v>
      </c>
      <c r="B4856" t="s">
        <v>8</v>
      </c>
    </row>
    <row r="4857" spans="1:2" x14ac:dyDescent="0.35">
      <c r="A4857">
        <v>123</v>
      </c>
      <c r="B4857" s="2">
        <v>0.59299999999999997</v>
      </c>
    </row>
    <row r="4858" spans="1:2" x14ac:dyDescent="0.35">
      <c r="A4858">
        <v>123</v>
      </c>
      <c r="B4858" t="s">
        <v>31</v>
      </c>
    </row>
    <row r="4859" spans="1:2" x14ac:dyDescent="0.35">
      <c r="A4859">
        <v>123</v>
      </c>
      <c r="B4859">
        <v>-0.29099999999999998</v>
      </c>
    </row>
    <row r="4860" spans="1:2" x14ac:dyDescent="0.35">
      <c r="A4860">
        <v>123</v>
      </c>
      <c r="B4860" t="s">
        <v>32</v>
      </c>
    </row>
    <row r="4861" spans="1:2" x14ac:dyDescent="0.35">
      <c r="A4861">
        <v>123</v>
      </c>
      <c r="B4861" s="2">
        <v>-0.32754</v>
      </c>
    </row>
    <row r="4862" spans="1:2" x14ac:dyDescent="0.35">
      <c r="A4862">
        <v>123</v>
      </c>
      <c r="B4862" t="s">
        <v>33</v>
      </c>
    </row>
    <row r="4863" spans="1:2" x14ac:dyDescent="0.35">
      <c r="A4863">
        <v>123</v>
      </c>
      <c r="B4863" s="3">
        <v>0.53</v>
      </c>
    </row>
    <row r="4864" spans="1:2" x14ac:dyDescent="0.35">
      <c r="A4864">
        <v>123</v>
      </c>
      <c r="B4864" t="s">
        <v>34</v>
      </c>
    </row>
    <row r="4865" spans="1:2" x14ac:dyDescent="0.35">
      <c r="A4865">
        <v>123</v>
      </c>
      <c r="B4865" s="3">
        <v>0.47</v>
      </c>
    </row>
    <row r="4866" spans="1:2" x14ac:dyDescent="0.35">
      <c r="A4866">
        <v>123</v>
      </c>
      <c r="B4866" t="s">
        <v>26</v>
      </c>
    </row>
    <row r="4867" spans="1:2" x14ac:dyDescent="0.35">
      <c r="A4867">
        <v>123</v>
      </c>
      <c r="B4867">
        <v>0.52</v>
      </c>
    </row>
    <row r="4868" spans="1:2" x14ac:dyDescent="0.35">
      <c r="A4868">
        <v>123</v>
      </c>
      <c r="B4868" t="s">
        <v>23</v>
      </c>
    </row>
    <row r="4869" spans="1:2" x14ac:dyDescent="0.35">
      <c r="A4869">
        <v>123</v>
      </c>
      <c r="B4869">
        <v>-0.36</v>
      </c>
    </row>
    <row r="4870" spans="1:2" x14ac:dyDescent="0.35">
      <c r="A4870">
        <v>123</v>
      </c>
      <c r="B4870" t="s">
        <v>24</v>
      </c>
    </row>
    <row r="4871" spans="1:2" x14ac:dyDescent="0.35">
      <c r="A4871">
        <v>123</v>
      </c>
      <c r="B4871">
        <v>2.1549999999999998</v>
      </c>
    </row>
    <row r="4872" spans="1:2" x14ac:dyDescent="0.35">
      <c r="A4872">
        <v>123</v>
      </c>
      <c r="B4872" t="s">
        <v>35</v>
      </c>
    </row>
    <row r="4873" spans="1:2" x14ac:dyDescent="0.35">
      <c r="A4873">
        <v>123</v>
      </c>
      <c r="B4873">
        <v>0.60599999999999998</v>
      </c>
    </row>
    <row r="4874" spans="1:2" x14ac:dyDescent="0.35">
      <c r="A4874">
        <v>123</v>
      </c>
      <c r="B4874" t="s">
        <v>36</v>
      </c>
    </row>
    <row r="4875" spans="1:2" x14ac:dyDescent="0.35">
      <c r="A4875">
        <v>123</v>
      </c>
      <c r="B4875">
        <v>0.36699999999999999</v>
      </c>
    </row>
    <row r="4876" spans="1:2" x14ac:dyDescent="0.35">
      <c r="A4876">
        <v>123</v>
      </c>
      <c r="B4876" t="s">
        <v>37</v>
      </c>
    </row>
    <row r="4877" spans="1:2" x14ac:dyDescent="0.35">
      <c r="A4877">
        <v>123</v>
      </c>
      <c r="B4877">
        <v>-0.48199999999999998</v>
      </c>
    </row>
    <row r="4878" spans="1:2" x14ac:dyDescent="0.35">
      <c r="A4878">
        <v>123</v>
      </c>
      <c r="B4878" t="s">
        <v>38</v>
      </c>
    </row>
    <row r="4879" spans="1:2" x14ac:dyDescent="0.35">
      <c r="A4879">
        <v>123</v>
      </c>
      <c r="B4879">
        <v>0.59299999999999997</v>
      </c>
    </row>
    <row r="4880" spans="1:2" x14ac:dyDescent="0.35">
      <c r="A4880">
        <v>123</v>
      </c>
      <c r="B4880" t="s">
        <v>39</v>
      </c>
    </row>
    <row r="4881" spans="1:2" x14ac:dyDescent="0.35">
      <c r="A4881">
        <v>123</v>
      </c>
      <c r="B4881">
        <v>-0.10299999999999999</v>
      </c>
    </row>
    <row r="4882" spans="1:2" x14ac:dyDescent="0.35">
      <c r="A4882">
        <v>123</v>
      </c>
      <c r="B4882" t="s">
        <v>40</v>
      </c>
    </row>
    <row r="4883" spans="1:2" x14ac:dyDescent="0.35">
      <c r="A4883">
        <v>123</v>
      </c>
      <c r="B4883" s="4">
        <v>0</v>
      </c>
    </row>
    <row r="4884" spans="1:2" x14ac:dyDescent="0.35">
      <c r="A4884">
        <v>123</v>
      </c>
      <c r="B4884" t="s">
        <v>41</v>
      </c>
    </row>
    <row r="4885" spans="1:2" x14ac:dyDescent="0.35">
      <c r="A4885">
        <v>123</v>
      </c>
      <c r="B4885" s="4">
        <v>19000000</v>
      </c>
    </row>
    <row r="4886" spans="1:2" x14ac:dyDescent="0.35">
      <c r="A4886">
        <v>123</v>
      </c>
      <c r="B4886" t="s">
        <v>42</v>
      </c>
    </row>
    <row r="4887" spans="1:2" x14ac:dyDescent="0.35">
      <c r="A4887">
        <v>123</v>
      </c>
      <c r="B4887" t="s">
        <v>44</v>
      </c>
    </row>
    <row r="4888" spans="1:2" x14ac:dyDescent="0.35">
      <c r="A4888">
        <v>122</v>
      </c>
      <c r="B4888" t="s">
        <v>27</v>
      </c>
    </row>
    <row r="4889" spans="1:2" x14ac:dyDescent="0.35">
      <c r="A4889">
        <v>122</v>
      </c>
      <c r="B4889" s="2">
        <v>5.9999999999999995E-4</v>
      </c>
    </row>
    <row r="4890" spans="1:2" x14ac:dyDescent="0.35">
      <c r="A4890">
        <v>122</v>
      </c>
      <c r="B4890" t="s">
        <v>1</v>
      </c>
    </row>
    <row r="4891" spans="1:2" x14ac:dyDescent="0.35">
      <c r="A4891">
        <v>122</v>
      </c>
      <c r="B4891">
        <v>-1.4730000000000001</v>
      </c>
    </row>
    <row r="4892" spans="1:2" x14ac:dyDescent="0.35">
      <c r="A4892">
        <v>122</v>
      </c>
      <c r="B4892" t="s">
        <v>28</v>
      </c>
    </row>
    <row r="4893" spans="1:2" x14ac:dyDescent="0.35">
      <c r="A4893">
        <v>122</v>
      </c>
      <c r="B4893">
        <v>278</v>
      </c>
    </row>
    <row r="4894" spans="1:2" x14ac:dyDescent="0.35">
      <c r="A4894">
        <v>122</v>
      </c>
      <c r="B4894" t="s">
        <v>25</v>
      </c>
    </row>
    <row r="4895" spans="1:2" x14ac:dyDescent="0.35">
      <c r="A4895">
        <v>122</v>
      </c>
      <c r="B4895" s="2">
        <v>1.8499999999999999E-2</v>
      </c>
    </row>
    <row r="4896" spans="1:2" x14ac:dyDescent="0.35">
      <c r="A4896">
        <v>122</v>
      </c>
      <c r="B4896" t="s">
        <v>29</v>
      </c>
    </row>
    <row r="4897" spans="1:2" x14ac:dyDescent="0.35">
      <c r="A4897">
        <v>122</v>
      </c>
      <c r="B4897" s="2">
        <v>-2.1299999999999999E-2</v>
      </c>
    </row>
    <row r="4898" spans="1:2" x14ac:dyDescent="0.35">
      <c r="A4898">
        <v>122</v>
      </c>
      <c r="B4898" t="s">
        <v>30</v>
      </c>
    </row>
    <row r="4899" spans="1:2" x14ac:dyDescent="0.35">
      <c r="A4899">
        <v>122</v>
      </c>
      <c r="B4899" s="2">
        <v>-0.16703000000000001</v>
      </c>
    </row>
    <row r="4900" spans="1:2" x14ac:dyDescent="0.35">
      <c r="A4900">
        <v>122</v>
      </c>
      <c r="B4900" t="s">
        <v>8</v>
      </c>
    </row>
    <row r="4901" spans="1:2" x14ac:dyDescent="0.35">
      <c r="A4901">
        <v>122</v>
      </c>
      <c r="B4901" s="2">
        <v>0.11700000000000001</v>
      </c>
    </row>
    <row r="4902" spans="1:2" x14ac:dyDescent="0.35">
      <c r="A4902">
        <v>122</v>
      </c>
      <c r="B4902" t="s">
        <v>31</v>
      </c>
    </row>
    <row r="4903" spans="1:2" x14ac:dyDescent="0.35">
      <c r="A4903">
        <v>122</v>
      </c>
      <c r="B4903">
        <v>-0.58499999999999996</v>
      </c>
    </row>
    <row r="4904" spans="1:2" x14ac:dyDescent="0.35">
      <c r="A4904">
        <v>122</v>
      </c>
      <c r="B4904" t="s">
        <v>32</v>
      </c>
    </row>
    <row r="4905" spans="1:2" x14ac:dyDescent="0.35">
      <c r="A4905">
        <v>122</v>
      </c>
      <c r="B4905" s="2">
        <v>-0.11099000000000001</v>
      </c>
    </row>
    <row r="4906" spans="1:2" x14ac:dyDescent="0.35">
      <c r="A4906">
        <v>122</v>
      </c>
      <c r="B4906" t="s">
        <v>33</v>
      </c>
    </row>
    <row r="4907" spans="1:2" x14ac:dyDescent="0.35">
      <c r="A4907">
        <v>122</v>
      </c>
      <c r="B4907" s="3">
        <v>0.78</v>
      </c>
    </row>
    <row r="4908" spans="1:2" x14ac:dyDescent="0.35">
      <c r="A4908">
        <v>122</v>
      </c>
      <c r="B4908" t="s">
        <v>34</v>
      </c>
    </row>
    <row r="4909" spans="1:2" x14ac:dyDescent="0.35">
      <c r="A4909">
        <v>122</v>
      </c>
      <c r="B4909" s="3">
        <v>0.22</v>
      </c>
    </row>
    <row r="4910" spans="1:2" x14ac:dyDescent="0.35">
      <c r="A4910">
        <v>122</v>
      </c>
      <c r="B4910" t="s">
        <v>26</v>
      </c>
    </row>
    <row r="4911" spans="1:2" x14ac:dyDescent="0.35">
      <c r="A4911">
        <v>122</v>
      </c>
      <c r="B4911">
        <v>0.87</v>
      </c>
    </row>
    <row r="4912" spans="1:2" x14ac:dyDescent="0.35">
      <c r="A4912">
        <v>122</v>
      </c>
      <c r="B4912" t="s">
        <v>23</v>
      </c>
    </row>
    <row r="4913" spans="1:2" x14ac:dyDescent="0.35">
      <c r="A4913">
        <v>122</v>
      </c>
      <c r="B4913">
        <v>-9.4E-2</v>
      </c>
    </row>
    <row r="4914" spans="1:2" x14ac:dyDescent="0.35">
      <c r="A4914">
        <v>122</v>
      </c>
      <c r="B4914" t="s">
        <v>24</v>
      </c>
    </row>
    <row r="4915" spans="1:2" x14ac:dyDescent="0.35">
      <c r="A4915">
        <v>122</v>
      </c>
      <c r="B4915">
        <v>-0.35299999999999998</v>
      </c>
    </row>
    <row r="4916" spans="1:2" x14ac:dyDescent="0.35">
      <c r="A4916">
        <v>122</v>
      </c>
      <c r="B4916" t="s">
        <v>35</v>
      </c>
    </row>
    <row r="4917" spans="1:2" x14ac:dyDescent="0.35">
      <c r="A4917">
        <v>122</v>
      </c>
      <c r="B4917">
        <v>7.9000000000000001E-2</v>
      </c>
    </row>
    <row r="4918" spans="1:2" x14ac:dyDescent="0.35">
      <c r="A4918">
        <v>122</v>
      </c>
      <c r="B4918" t="s">
        <v>36</v>
      </c>
    </row>
    <row r="4919" spans="1:2" x14ac:dyDescent="0.35">
      <c r="A4919">
        <v>122</v>
      </c>
      <c r="B4919">
        <v>6.0000000000000001E-3</v>
      </c>
    </row>
    <row r="4920" spans="1:2" x14ac:dyDescent="0.35">
      <c r="A4920">
        <v>122</v>
      </c>
      <c r="B4920" t="s">
        <v>37</v>
      </c>
    </row>
    <row r="4921" spans="1:2" x14ac:dyDescent="0.35">
      <c r="A4921">
        <v>122</v>
      </c>
      <c r="B4921">
        <v>-1.532</v>
      </c>
    </row>
    <row r="4922" spans="1:2" x14ac:dyDescent="0.35">
      <c r="A4922">
        <v>122</v>
      </c>
      <c r="B4922" t="s">
        <v>38</v>
      </c>
    </row>
    <row r="4923" spans="1:2" x14ac:dyDescent="0.35">
      <c r="A4923">
        <v>122</v>
      </c>
      <c r="B4923">
        <v>0.11799999999999999</v>
      </c>
    </row>
    <row r="4924" spans="1:2" x14ac:dyDescent="0.35">
      <c r="A4924">
        <v>122</v>
      </c>
      <c r="B4924" t="s">
        <v>39</v>
      </c>
    </row>
    <row r="4925" spans="1:2" x14ac:dyDescent="0.35">
      <c r="A4925">
        <v>122</v>
      </c>
      <c r="B4925">
        <v>0.33</v>
      </c>
    </row>
    <row r="4926" spans="1:2" x14ac:dyDescent="0.35">
      <c r="A4926">
        <v>122</v>
      </c>
      <c r="B4926" t="s">
        <v>40</v>
      </c>
    </row>
    <row r="4927" spans="1:2" x14ac:dyDescent="0.35">
      <c r="A4927">
        <v>122</v>
      </c>
      <c r="B4927" s="4">
        <v>0</v>
      </c>
    </row>
    <row r="4928" spans="1:2" x14ac:dyDescent="0.35">
      <c r="A4928">
        <v>122</v>
      </c>
      <c r="B4928" t="s">
        <v>41</v>
      </c>
    </row>
    <row r="4929" spans="1:2" x14ac:dyDescent="0.35">
      <c r="A4929">
        <v>122</v>
      </c>
      <c r="B4929" s="4">
        <v>250000000</v>
      </c>
    </row>
    <row r="4930" spans="1:2" x14ac:dyDescent="0.35">
      <c r="A4930">
        <v>122</v>
      </c>
      <c r="B4930" t="s">
        <v>42</v>
      </c>
    </row>
    <row r="4931" spans="1:2" x14ac:dyDescent="0.35">
      <c r="A4931">
        <v>122</v>
      </c>
      <c r="B4931" t="s">
        <v>45</v>
      </c>
    </row>
    <row r="4932" spans="1:2" x14ac:dyDescent="0.35">
      <c r="A4932">
        <v>121</v>
      </c>
      <c r="B4932" t="s">
        <v>27</v>
      </c>
    </row>
    <row r="4933" spans="1:2" x14ac:dyDescent="0.35">
      <c r="A4933">
        <v>121</v>
      </c>
      <c r="B4933" s="2">
        <v>5.9999999999999995E-4</v>
      </c>
    </row>
    <row r="4934" spans="1:2" x14ac:dyDescent="0.35">
      <c r="A4934">
        <v>121</v>
      </c>
      <c r="B4934" t="s">
        <v>1</v>
      </c>
    </row>
    <row r="4935" spans="1:2" x14ac:dyDescent="0.35">
      <c r="A4935">
        <v>121</v>
      </c>
      <c r="B4935">
        <v>-1.4730000000000001</v>
      </c>
    </row>
    <row r="4936" spans="1:2" x14ac:dyDescent="0.35">
      <c r="A4936">
        <v>121</v>
      </c>
      <c r="B4936" t="s">
        <v>28</v>
      </c>
    </row>
    <row r="4937" spans="1:2" x14ac:dyDescent="0.35">
      <c r="A4937">
        <v>121</v>
      </c>
      <c r="B4937">
        <v>278</v>
      </c>
    </row>
    <row r="4938" spans="1:2" x14ac:dyDescent="0.35">
      <c r="A4938">
        <v>121</v>
      </c>
      <c r="B4938" t="s">
        <v>25</v>
      </c>
    </row>
    <row r="4939" spans="1:2" x14ac:dyDescent="0.35">
      <c r="A4939">
        <v>121</v>
      </c>
      <c r="B4939" s="2">
        <v>1.8499999999999999E-2</v>
      </c>
    </row>
    <row r="4940" spans="1:2" x14ac:dyDescent="0.35">
      <c r="A4940">
        <v>121</v>
      </c>
      <c r="B4940" t="s">
        <v>29</v>
      </c>
    </row>
    <row r="4941" spans="1:2" x14ac:dyDescent="0.35">
      <c r="A4941">
        <v>121</v>
      </c>
      <c r="B4941" s="2">
        <v>-2.1299999999999999E-2</v>
      </c>
    </row>
    <row r="4942" spans="1:2" x14ac:dyDescent="0.35">
      <c r="A4942">
        <v>121</v>
      </c>
      <c r="B4942" t="s">
        <v>30</v>
      </c>
    </row>
    <row r="4943" spans="1:2" x14ac:dyDescent="0.35">
      <c r="A4943">
        <v>121</v>
      </c>
      <c r="B4943" s="2">
        <v>-0.16703000000000001</v>
      </c>
    </row>
    <row r="4944" spans="1:2" x14ac:dyDescent="0.35">
      <c r="A4944">
        <v>121</v>
      </c>
      <c r="B4944" t="s">
        <v>8</v>
      </c>
    </row>
    <row r="4945" spans="1:2" x14ac:dyDescent="0.35">
      <c r="A4945">
        <v>121</v>
      </c>
      <c r="B4945" s="2">
        <v>0.11700000000000001</v>
      </c>
    </row>
    <row r="4946" spans="1:2" x14ac:dyDescent="0.35">
      <c r="A4946">
        <v>121</v>
      </c>
      <c r="B4946" t="s">
        <v>31</v>
      </c>
    </row>
    <row r="4947" spans="1:2" x14ac:dyDescent="0.35">
      <c r="A4947">
        <v>121</v>
      </c>
      <c r="B4947">
        <v>-0.58499999999999996</v>
      </c>
    </row>
    <row r="4948" spans="1:2" x14ac:dyDescent="0.35">
      <c r="A4948">
        <v>121</v>
      </c>
      <c r="B4948" t="s">
        <v>32</v>
      </c>
    </row>
    <row r="4949" spans="1:2" x14ac:dyDescent="0.35">
      <c r="A4949">
        <v>121</v>
      </c>
      <c r="B4949" s="2">
        <v>-0.11099000000000001</v>
      </c>
    </row>
    <row r="4950" spans="1:2" x14ac:dyDescent="0.35">
      <c r="A4950">
        <v>121</v>
      </c>
      <c r="B4950" t="s">
        <v>33</v>
      </c>
    </row>
    <row r="4951" spans="1:2" x14ac:dyDescent="0.35">
      <c r="A4951">
        <v>121</v>
      </c>
      <c r="B4951" s="3">
        <v>0.78</v>
      </c>
    </row>
    <row r="4952" spans="1:2" x14ac:dyDescent="0.35">
      <c r="A4952">
        <v>121</v>
      </c>
      <c r="B4952" t="s">
        <v>34</v>
      </c>
    </row>
    <row r="4953" spans="1:2" x14ac:dyDescent="0.35">
      <c r="A4953">
        <v>121</v>
      </c>
      <c r="B4953" s="3">
        <v>0.22</v>
      </c>
    </row>
    <row r="4954" spans="1:2" x14ac:dyDescent="0.35">
      <c r="A4954">
        <v>121</v>
      </c>
      <c r="B4954" t="s">
        <v>26</v>
      </c>
    </row>
    <row r="4955" spans="1:2" x14ac:dyDescent="0.35">
      <c r="A4955">
        <v>121</v>
      </c>
      <c r="B4955">
        <v>0.87</v>
      </c>
    </row>
    <row r="4956" spans="1:2" x14ac:dyDescent="0.35">
      <c r="A4956">
        <v>121</v>
      </c>
      <c r="B4956" t="s">
        <v>23</v>
      </c>
    </row>
    <row r="4957" spans="1:2" x14ac:dyDescent="0.35">
      <c r="A4957">
        <v>121</v>
      </c>
      <c r="B4957">
        <v>-9.4E-2</v>
      </c>
    </row>
    <row r="4958" spans="1:2" x14ac:dyDescent="0.35">
      <c r="A4958">
        <v>121</v>
      </c>
      <c r="B4958" t="s">
        <v>24</v>
      </c>
    </row>
    <row r="4959" spans="1:2" x14ac:dyDescent="0.35">
      <c r="A4959">
        <v>121</v>
      </c>
      <c r="B4959">
        <v>-0.35299999999999998</v>
      </c>
    </row>
    <row r="4960" spans="1:2" x14ac:dyDescent="0.35">
      <c r="A4960">
        <v>121</v>
      </c>
      <c r="B4960" t="s">
        <v>35</v>
      </c>
    </row>
    <row r="4961" spans="1:2" x14ac:dyDescent="0.35">
      <c r="A4961">
        <v>121</v>
      </c>
      <c r="B4961">
        <v>7.9000000000000001E-2</v>
      </c>
    </row>
    <row r="4962" spans="1:2" x14ac:dyDescent="0.35">
      <c r="A4962">
        <v>121</v>
      </c>
      <c r="B4962" t="s">
        <v>36</v>
      </c>
    </row>
    <row r="4963" spans="1:2" x14ac:dyDescent="0.35">
      <c r="A4963">
        <v>121</v>
      </c>
      <c r="B4963">
        <v>6.0000000000000001E-3</v>
      </c>
    </row>
    <row r="4964" spans="1:2" x14ac:dyDescent="0.35">
      <c r="A4964">
        <v>121</v>
      </c>
      <c r="B4964" t="s">
        <v>37</v>
      </c>
    </row>
    <row r="4965" spans="1:2" x14ac:dyDescent="0.35">
      <c r="A4965">
        <v>121</v>
      </c>
      <c r="B4965">
        <v>-1.532</v>
      </c>
    </row>
    <row r="4966" spans="1:2" x14ac:dyDescent="0.35">
      <c r="A4966">
        <v>121</v>
      </c>
      <c r="B4966" t="s">
        <v>38</v>
      </c>
    </row>
    <row r="4967" spans="1:2" x14ac:dyDescent="0.35">
      <c r="A4967">
        <v>121</v>
      </c>
      <c r="B4967">
        <v>0.11799999999999999</v>
      </c>
    </row>
    <row r="4968" spans="1:2" x14ac:dyDescent="0.35">
      <c r="A4968">
        <v>121</v>
      </c>
      <c r="B4968" t="s">
        <v>39</v>
      </c>
    </row>
    <row r="4969" spans="1:2" x14ac:dyDescent="0.35">
      <c r="A4969">
        <v>121</v>
      </c>
      <c r="B4969">
        <v>0.33</v>
      </c>
    </row>
    <row r="4970" spans="1:2" x14ac:dyDescent="0.35">
      <c r="A4970">
        <v>121</v>
      </c>
      <c r="B4970" t="s">
        <v>40</v>
      </c>
    </row>
    <row r="4971" spans="1:2" x14ac:dyDescent="0.35">
      <c r="A4971">
        <v>121</v>
      </c>
      <c r="B4971" s="4">
        <v>0</v>
      </c>
    </row>
    <row r="4972" spans="1:2" x14ac:dyDescent="0.35">
      <c r="A4972">
        <v>121</v>
      </c>
      <c r="B4972" t="s">
        <v>41</v>
      </c>
    </row>
    <row r="4973" spans="1:2" x14ac:dyDescent="0.35">
      <c r="A4973">
        <v>121</v>
      </c>
      <c r="B4973" s="4">
        <v>250000000</v>
      </c>
    </row>
    <row r="4974" spans="1:2" x14ac:dyDescent="0.35">
      <c r="A4974">
        <v>121</v>
      </c>
      <c r="B4974" t="s">
        <v>42</v>
      </c>
    </row>
    <row r="4975" spans="1:2" x14ac:dyDescent="0.35">
      <c r="A4975">
        <v>121</v>
      </c>
      <c r="B4975" t="s">
        <v>45</v>
      </c>
    </row>
    <row r="4976" spans="1:2" x14ac:dyDescent="0.35">
      <c r="A4976">
        <v>120</v>
      </c>
      <c r="B4976" t="s">
        <v>27</v>
      </c>
    </row>
    <row r="4977" spans="1:2" x14ac:dyDescent="0.35">
      <c r="A4977">
        <v>120</v>
      </c>
      <c r="B4977" s="2">
        <v>5.9999999999999995E-4</v>
      </c>
    </row>
    <row r="4978" spans="1:2" x14ac:dyDescent="0.35">
      <c r="A4978">
        <v>120</v>
      </c>
      <c r="B4978" t="s">
        <v>1</v>
      </c>
    </row>
    <row r="4979" spans="1:2" x14ac:dyDescent="0.35">
      <c r="A4979">
        <v>120</v>
      </c>
      <c r="B4979">
        <v>-1.4730000000000001</v>
      </c>
    </row>
    <row r="4980" spans="1:2" x14ac:dyDescent="0.35">
      <c r="A4980">
        <v>120</v>
      </c>
      <c r="B4980" t="s">
        <v>28</v>
      </c>
    </row>
    <row r="4981" spans="1:2" x14ac:dyDescent="0.35">
      <c r="A4981">
        <v>120</v>
      </c>
      <c r="B4981">
        <v>278</v>
      </c>
    </row>
    <row r="4982" spans="1:2" x14ac:dyDescent="0.35">
      <c r="A4982">
        <v>120</v>
      </c>
      <c r="B4982" t="s">
        <v>25</v>
      </c>
    </row>
    <row r="4983" spans="1:2" x14ac:dyDescent="0.35">
      <c r="A4983">
        <v>120</v>
      </c>
      <c r="B4983" s="2">
        <v>1.8499999999999999E-2</v>
      </c>
    </row>
    <row r="4984" spans="1:2" x14ac:dyDescent="0.35">
      <c r="A4984">
        <v>120</v>
      </c>
      <c r="B4984" t="s">
        <v>29</v>
      </c>
    </row>
    <row r="4985" spans="1:2" x14ac:dyDescent="0.35">
      <c r="A4985">
        <v>120</v>
      </c>
      <c r="B4985" s="2">
        <v>-2.1299999999999999E-2</v>
      </c>
    </row>
    <row r="4986" spans="1:2" x14ac:dyDescent="0.35">
      <c r="A4986">
        <v>120</v>
      </c>
      <c r="B4986" t="s">
        <v>30</v>
      </c>
    </row>
    <row r="4987" spans="1:2" x14ac:dyDescent="0.35">
      <c r="A4987">
        <v>120</v>
      </c>
      <c r="B4987" s="2">
        <v>-0.16703000000000001</v>
      </c>
    </row>
    <row r="4988" spans="1:2" x14ac:dyDescent="0.35">
      <c r="A4988">
        <v>120</v>
      </c>
      <c r="B4988" t="s">
        <v>8</v>
      </c>
    </row>
    <row r="4989" spans="1:2" x14ac:dyDescent="0.35">
      <c r="A4989">
        <v>120</v>
      </c>
      <c r="B4989" s="2">
        <v>0.11700000000000001</v>
      </c>
    </row>
    <row r="4990" spans="1:2" x14ac:dyDescent="0.35">
      <c r="A4990">
        <v>120</v>
      </c>
      <c r="B4990" t="s">
        <v>31</v>
      </c>
    </row>
    <row r="4991" spans="1:2" x14ac:dyDescent="0.35">
      <c r="A4991">
        <v>120</v>
      </c>
      <c r="B4991">
        <v>-0.58499999999999996</v>
      </c>
    </row>
    <row r="4992" spans="1:2" x14ac:dyDescent="0.35">
      <c r="A4992">
        <v>120</v>
      </c>
      <c r="B4992" t="s">
        <v>32</v>
      </c>
    </row>
    <row r="4993" spans="1:2" x14ac:dyDescent="0.35">
      <c r="A4993">
        <v>120</v>
      </c>
      <c r="B4993" s="2">
        <v>-0.11099000000000001</v>
      </c>
    </row>
    <row r="4994" spans="1:2" x14ac:dyDescent="0.35">
      <c r="A4994">
        <v>120</v>
      </c>
      <c r="B4994" t="s">
        <v>33</v>
      </c>
    </row>
    <row r="4995" spans="1:2" x14ac:dyDescent="0.35">
      <c r="A4995">
        <v>120</v>
      </c>
      <c r="B4995" s="3">
        <v>0.78</v>
      </c>
    </row>
    <row r="4996" spans="1:2" x14ac:dyDescent="0.35">
      <c r="A4996">
        <v>120</v>
      </c>
      <c r="B4996" t="s">
        <v>34</v>
      </c>
    </row>
    <row r="4997" spans="1:2" x14ac:dyDescent="0.35">
      <c r="A4997">
        <v>120</v>
      </c>
      <c r="B4997" s="3">
        <v>0.22</v>
      </c>
    </row>
    <row r="4998" spans="1:2" x14ac:dyDescent="0.35">
      <c r="A4998">
        <v>120</v>
      </c>
      <c r="B4998" t="s">
        <v>26</v>
      </c>
    </row>
    <row r="4999" spans="1:2" x14ac:dyDescent="0.35">
      <c r="A4999">
        <v>120</v>
      </c>
      <c r="B4999">
        <v>0.87</v>
      </c>
    </row>
    <row r="5000" spans="1:2" x14ac:dyDescent="0.35">
      <c r="A5000">
        <v>120</v>
      </c>
      <c r="B5000" t="s">
        <v>23</v>
      </c>
    </row>
    <row r="5001" spans="1:2" x14ac:dyDescent="0.35">
      <c r="A5001">
        <v>120</v>
      </c>
      <c r="B5001">
        <v>-9.4E-2</v>
      </c>
    </row>
    <row r="5002" spans="1:2" x14ac:dyDescent="0.35">
      <c r="A5002">
        <v>120</v>
      </c>
      <c r="B5002" t="s">
        <v>24</v>
      </c>
    </row>
    <row r="5003" spans="1:2" x14ac:dyDescent="0.35">
      <c r="A5003">
        <v>120</v>
      </c>
      <c r="B5003">
        <v>-0.35299999999999998</v>
      </c>
    </row>
    <row r="5004" spans="1:2" x14ac:dyDescent="0.35">
      <c r="A5004">
        <v>120</v>
      </c>
      <c r="B5004" t="s">
        <v>35</v>
      </c>
    </row>
    <row r="5005" spans="1:2" x14ac:dyDescent="0.35">
      <c r="A5005">
        <v>120</v>
      </c>
      <c r="B5005">
        <v>7.9000000000000001E-2</v>
      </c>
    </row>
    <row r="5006" spans="1:2" x14ac:dyDescent="0.35">
      <c r="A5006">
        <v>120</v>
      </c>
      <c r="B5006" t="s">
        <v>36</v>
      </c>
    </row>
    <row r="5007" spans="1:2" x14ac:dyDescent="0.35">
      <c r="A5007">
        <v>120</v>
      </c>
      <c r="B5007">
        <v>6.0000000000000001E-3</v>
      </c>
    </row>
    <row r="5008" spans="1:2" x14ac:dyDescent="0.35">
      <c r="A5008">
        <v>120</v>
      </c>
      <c r="B5008" t="s">
        <v>37</v>
      </c>
    </row>
    <row r="5009" spans="1:2" x14ac:dyDescent="0.35">
      <c r="A5009">
        <v>120</v>
      </c>
      <c r="B5009">
        <v>-1.532</v>
      </c>
    </row>
    <row r="5010" spans="1:2" x14ac:dyDescent="0.35">
      <c r="A5010">
        <v>120</v>
      </c>
      <c r="B5010" t="s">
        <v>38</v>
      </c>
    </row>
    <row r="5011" spans="1:2" x14ac:dyDescent="0.35">
      <c r="A5011">
        <v>120</v>
      </c>
      <c r="B5011">
        <v>0.11799999999999999</v>
      </c>
    </row>
    <row r="5012" spans="1:2" x14ac:dyDescent="0.35">
      <c r="A5012">
        <v>120</v>
      </c>
      <c r="B5012" t="s">
        <v>39</v>
      </c>
    </row>
    <row r="5013" spans="1:2" x14ac:dyDescent="0.35">
      <c r="A5013">
        <v>120</v>
      </c>
      <c r="B5013">
        <v>0.33</v>
      </c>
    </row>
    <row r="5014" spans="1:2" x14ac:dyDescent="0.35">
      <c r="A5014">
        <v>120</v>
      </c>
      <c r="B5014" t="s">
        <v>40</v>
      </c>
    </row>
    <row r="5015" spans="1:2" x14ac:dyDescent="0.35">
      <c r="A5015">
        <v>120</v>
      </c>
      <c r="B5015" s="4">
        <v>0</v>
      </c>
    </row>
    <row r="5016" spans="1:2" x14ac:dyDescent="0.35">
      <c r="A5016">
        <v>120</v>
      </c>
      <c r="B5016" t="s">
        <v>41</v>
      </c>
    </row>
    <row r="5017" spans="1:2" x14ac:dyDescent="0.35">
      <c r="A5017">
        <v>120</v>
      </c>
      <c r="B5017" s="4">
        <v>250000000</v>
      </c>
    </row>
    <row r="5018" spans="1:2" x14ac:dyDescent="0.35">
      <c r="A5018">
        <v>120</v>
      </c>
      <c r="B5018" t="s">
        <v>42</v>
      </c>
    </row>
    <row r="5019" spans="1:2" x14ac:dyDescent="0.35">
      <c r="A5019">
        <v>120</v>
      </c>
      <c r="B5019" t="s">
        <v>45</v>
      </c>
    </row>
    <row r="5020" spans="1:2" x14ac:dyDescent="0.35">
      <c r="A5020">
        <v>119</v>
      </c>
      <c r="B5020" t="s">
        <v>27</v>
      </c>
    </row>
    <row r="5021" spans="1:2" x14ac:dyDescent="0.35">
      <c r="A5021">
        <v>119</v>
      </c>
      <c r="B5021" s="2">
        <v>5.9999999999999995E-4</v>
      </c>
    </row>
    <row r="5022" spans="1:2" x14ac:dyDescent="0.35">
      <c r="A5022">
        <v>119</v>
      </c>
      <c r="B5022" t="s">
        <v>1</v>
      </c>
    </row>
    <row r="5023" spans="1:2" x14ac:dyDescent="0.35">
      <c r="A5023">
        <v>119</v>
      </c>
      <c r="B5023">
        <v>-1.4730000000000001</v>
      </c>
    </row>
    <row r="5024" spans="1:2" x14ac:dyDescent="0.35">
      <c r="A5024">
        <v>119</v>
      </c>
      <c r="B5024" t="s">
        <v>28</v>
      </c>
    </row>
    <row r="5025" spans="1:2" x14ac:dyDescent="0.35">
      <c r="A5025">
        <v>119</v>
      </c>
      <c r="B5025">
        <v>278</v>
      </c>
    </row>
    <row r="5026" spans="1:2" x14ac:dyDescent="0.35">
      <c r="A5026">
        <v>119</v>
      </c>
      <c r="B5026" t="s">
        <v>25</v>
      </c>
    </row>
    <row r="5027" spans="1:2" x14ac:dyDescent="0.35">
      <c r="A5027">
        <v>119</v>
      </c>
      <c r="B5027" s="2">
        <v>1.8499999999999999E-2</v>
      </c>
    </row>
    <row r="5028" spans="1:2" x14ac:dyDescent="0.35">
      <c r="A5028">
        <v>119</v>
      </c>
      <c r="B5028" t="s">
        <v>29</v>
      </c>
    </row>
    <row r="5029" spans="1:2" x14ac:dyDescent="0.35">
      <c r="A5029">
        <v>119</v>
      </c>
      <c r="B5029" s="2">
        <v>-2.1299999999999999E-2</v>
      </c>
    </row>
    <row r="5030" spans="1:2" x14ac:dyDescent="0.35">
      <c r="A5030">
        <v>119</v>
      </c>
      <c r="B5030" t="s">
        <v>30</v>
      </c>
    </row>
    <row r="5031" spans="1:2" x14ac:dyDescent="0.35">
      <c r="A5031">
        <v>119</v>
      </c>
      <c r="B5031" s="2">
        <v>-0.16703000000000001</v>
      </c>
    </row>
    <row r="5032" spans="1:2" x14ac:dyDescent="0.35">
      <c r="A5032">
        <v>119</v>
      </c>
      <c r="B5032" t="s">
        <v>8</v>
      </c>
    </row>
    <row r="5033" spans="1:2" x14ac:dyDescent="0.35">
      <c r="A5033">
        <v>119</v>
      </c>
      <c r="B5033" s="2">
        <v>0.11700000000000001</v>
      </c>
    </row>
    <row r="5034" spans="1:2" x14ac:dyDescent="0.35">
      <c r="A5034">
        <v>119</v>
      </c>
      <c r="B5034" t="s">
        <v>31</v>
      </c>
    </row>
    <row r="5035" spans="1:2" x14ac:dyDescent="0.35">
      <c r="A5035">
        <v>119</v>
      </c>
      <c r="B5035">
        <v>-0.58499999999999996</v>
      </c>
    </row>
    <row r="5036" spans="1:2" x14ac:dyDescent="0.35">
      <c r="A5036">
        <v>119</v>
      </c>
      <c r="B5036" t="s">
        <v>32</v>
      </c>
    </row>
    <row r="5037" spans="1:2" x14ac:dyDescent="0.35">
      <c r="A5037">
        <v>119</v>
      </c>
      <c r="B5037" s="2">
        <v>-0.11099000000000001</v>
      </c>
    </row>
    <row r="5038" spans="1:2" x14ac:dyDescent="0.35">
      <c r="A5038">
        <v>119</v>
      </c>
      <c r="B5038" t="s">
        <v>33</v>
      </c>
    </row>
    <row r="5039" spans="1:2" x14ac:dyDescent="0.35">
      <c r="A5039">
        <v>119</v>
      </c>
      <c r="B5039" s="3">
        <v>0.78</v>
      </c>
    </row>
    <row r="5040" spans="1:2" x14ac:dyDescent="0.35">
      <c r="A5040">
        <v>119</v>
      </c>
      <c r="B5040" t="s">
        <v>34</v>
      </c>
    </row>
    <row r="5041" spans="1:2" x14ac:dyDescent="0.35">
      <c r="A5041">
        <v>119</v>
      </c>
      <c r="B5041" s="3">
        <v>0.22</v>
      </c>
    </row>
    <row r="5042" spans="1:2" x14ac:dyDescent="0.35">
      <c r="A5042">
        <v>119</v>
      </c>
      <c r="B5042" t="s">
        <v>26</v>
      </c>
    </row>
    <row r="5043" spans="1:2" x14ac:dyDescent="0.35">
      <c r="A5043">
        <v>119</v>
      </c>
      <c r="B5043">
        <v>0.87</v>
      </c>
    </row>
    <row r="5044" spans="1:2" x14ac:dyDescent="0.35">
      <c r="A5044">
        <v>119</v>
      </c>
      <c r="B5044" t="s">
        <v>23</v>
      </c>
    </row>
    <row r="5045" spans="1:2" x14ac:dyDescent="0.35">
      <c r="A5045">
        <v>119</v>
      </c>
      <c r="B5045">
        <v>-9.4E-2</v>
      </c>
    </row>
    <row r="5046" spans="1:2" x14ac:dyDescent="0.35">
      <c r="A5046">
        <v>119</v>
      </c>
      <c r="B5046" t="s">
        <v>24</v>
      </c>
    </row>
    <row r="5047" spans="1:2" x14ac:dyDescent="0.35">
      <c r="A5047">
        <v>119</v>
      </c>
      <c r="B5047">
        <v>-0.35299999999999998</v>
      </c>
    </row>
    <row r="5048" spans="1:2" x14ac:dyDescent="0.35">
      <c r="A5048">
        <v>119</v>
      </c>
      <c r="B5048" t="s">
        <v>35</v>
      </c>
    </row>
    <row r="5049" spans="1:2" x14ac:dyDescent="0.35">
      <c r="A5049">
        <v>119</v>
      </c>
      <c r="B5049">
        <v>7.9000000000000001E-2</v>
      </c>
    </row>
    <row r="5050" spans="1:2" x14ac:dyDescent="0.35">
      <c r="A5050">
        <v>119</v>
      </c>
      <c r="B5050" t="s">
        <v>36</v>
      </c>
    </row>
    <row r="5051" spans="1:2" x14ac:dyDescent="0.35">
      <c r="A5051">
        <v>119</v>
      </c>
      <c r="B5051">
        <v>6.0000000000000001E-3</v>
      </c>
    </row>
    <row r="5052" spans="1:2" x14ac:dyDescent="0.35">
      <c r="A5052">
        <v>119</v>
      </c>
      <c r="B5052" t="s">
        <v>37</v>
      </c>
    </row>
    <row r="5053" spans="1:2" x14ac:dyDescent="0.35">
      <c r="A5053">
        <v>119</v>
      </c>
      <c r="B5053">
        <v>-1.532</v>
      </c>
    </row>
    <row r="5054" spans="1:2" x14ac:dyDescent="0.35">
      <c r="A5054">
        <v>119</v>
      </c>
      <c r="B5054" t="s">
        <v>38</v>
      </c>
    </row>
    <row r="5055" spans="1:2" x14ac:dyDescent="0.35">
      <c r="A5055">
        <v>119</v>
      </c>
      <c r="B5055">
        <v>0.11799999999999999</v>
      </c>
    </row>
    <row r="5056" spans="1:2" x14ac:dyDescent="0.35">
      <c r="A5056">
        <v>119</v>
      </c>
      <c r="B5056" t="s">
        <v>39</v>
      </c>
    </row>
    <row r="5057" spans="1:2" x14ac:dyDescent="0.35">
      <c r="A5057">
        <v>119</v>
      </c>
      <c r="B5057">
        <v>0.33</v>
      </c>
    </row>
    <row r="5058" spans="1:2" x14ac:dyDescent="0.35">
      <c r="A5058">
        <v>119</v>
      </c>
      <c r="B5058" t="s">
        <v>40</v>
      </c>
    </row>
    <row r="5059" spans="1:2" x14ac:dyDescent="0.35">
      <c r="A5059">
        <v>119</v>
      </c>
      <c r="B5059" s="4">
        <v>0</v>
      </c>
    </row>
    <row r="5060" spans="1:2" x14ac:dyDescent="0.35">
      <c r="A5060">
        <v>119</v>
      </c>
      <c r="B5060" t="s">
        <v>41</v>
      </c>
    </row>
    <row r="5061" spans="1:2" x14ac:dyDescent="0.35">
      <c r="A5061">
        <v>119</v>
      </c>
      <c r="B5061" s="4">
        <v>250000000</v>
      </c>
    </row>
    <row r="5062" spans="1:2" x14ac:dyDescent="0.35">
      <c r="A5062">
        <v>119</v>
      </c>
      <c r="B5062" t="s">
        <v>42</v>
      </c>
    </row>
    <row r="5063" spans="1:2" x14ac:dyDescent="0.35">
      <c r="A5063">
        <v>119</v>
      </c>
      <c r="B5063" t="s">
        <v>45</v>
      </c>
    </row>
    <row r="5064" spans="1:2" x14ac:dyDescent="0.35">
      <c r="A5064">
        <v>118</v>
      </c>
      <c r="B5064" t="s">
        <v>27</v>
      </c>
    </row>
    <row r="5065" spans="1:2" x14ac:dyDescent="0.35">
      <c r="A5065">
        <v>118</v>
      </c>
      <c r="B5065" s="2">
        <v>5.9999999999999995E-4</v>
      </c>
    </row>
    <row r="5066" spans="1:2" x14ac:dyDescent="0.35">
      <c r="A5066">
        <v>118</v>
      </c>
      <c r="B5066" t="s">
        <v>1</v>
      </c>
    </row>
    <row r="5067" spans="1:2" x14ac:dyDescent="0.35">
      <c r="A5067">
        <v>118</v>
      </c>
      <c r="B5067">
        <v>-1.4730000000000001</v>
      </c>
    </row>
    <row r="5068" spans="1:2" x14ac:dyDescent="0.35">
      <c r="A5068">
        <v>118</v>
      </c>
      <c r="B5068" t="s">
        <v>28</v>
      </c>
    </row>
    <row r="5069" spans="1:2" x14ac:dyDescent="0.35">
      <c r="A5069">
        <v>118</v>
      </c>
      <c r="B5069">
        <v>278</v>
      </c>
    </row>
    <row r="5070" spans="1:2" x14ac:dyDescent="0.35">
      <c r="A5070">
        <v>118</v>
      </c>
      <c r="B5070" t="s">
        <v>25</v>
      </c>
    </row>
    <row r="5071" spans="1:2" x14ac:dyDescent="0.35">
      <c r="A5071">
        <v>118</v>
      </c>
      <c r="B5071" s="2">
        <v>1.8499999999999999E-2</v>
      </c>
    </row>
    <row r="5072" spans="1:2" x14ac:dyDescent="0.35">
      <c r="A5072">
        <v>118</v>
      </c>
      <c r="B5072" t="s">
        <v>29</v>
      </c>
    </row>
    <row r="5073" spans="1:2" x14ac:dyDescent="0.35">
      <c r="A5073">
        <v>118</v>
      </c>
      <c r="B5073" s="2">
        <v>-2.1299999999999999E-2</v>
      </c>
    </row>
    <row r="5074" spans="1:2" x14ac:dyDescent="0.35">
      <c r="A5074">
        <v>118</v>
      </c>
      <c r="B5074" t="s">
        <v>30</v>
      </c>
    </row>
    <row r="5075" spans="1:2" x14ac:dyDescent="0.35">
      <c r="A5075">
        <v>118</v>
      </c>
      <c r="B5075" s="2">
        <v>-0.16703000000000001</v>
      </c>
    </row>
    <row r="5076" spans="1:2" x14ac:dyDescent="0.35">
      <c r="A5076">
        <v>118</v>
      </c>
      <c r="B5076" t="s">
        <v>8</v>
      </c>
    </row>
    <row r="5077" spans="1:2" x14ac:dyDescent="0.35">
      <c r="A5077">
        <v>118</v>
      </c>
      <c r="B5077" s="2">
        <v>0.11700000000000001</v>
      </c>
    </row>
    <row r="5078" spans="1:2" x14ac:dyDescent="0.35">
      <c r="A5078">
        <v>118</v>
      </c>
      <c r="B5078" t="s">
        <v>31</v>
      </c>
    </row>
    <row r="5079" spans="1:2" x14ac:dyDescent="0.35">
      <c r="A5079">
        <v>118</v>
      </c>
      <c r="B5079">
        <v>-0.58499999999999996</v>
      </c>
    </row>
    <row r="5080" spans="1:2" x14ac:dyDescent="0.35">
      <c r="A5080">
        <v>118</v>
      </c>
      <c r="B5080" t="s">
        <v>32</v>
      </c>
    </row>
    <row r="5081" spans="1:2" x14ac:dyDescent="0.35">
      <c r="A5081">
        <v>118</v>
      </c>
      <c r="B5081" s="2">
        <v>-0.11099000000000001</v>
      </c>
    </row>
    <row r="5082" spans="1:2" x14ac:dyDescent="0.35">
      <c r="A5082">
        <v>118</v>
      </c>
      <c r="B5082" t="s">
        <v>33</v>
      </c>
    </row>
    <row r="5083" spans="1:2" x14ac:dyDescent="0.35">
      <c r="A5083">
        <v>118</v>
      </c>
      <c r="B5083" s="3">
        <v>0.78</v>
      </c>
    </row>
    <row r="5084" spans="1:2" x14ac:dyDescent="0.35">
      <c r="A5084">
        <v>118</v>
      </c>
      <c r="B5084" t="s">
        <v>34</v>
      </c>
    </row>
    <row r="5085" spans="1:2" x14ac:dyDescent="0.35">
      <c r="A5085">
        <v>118</v>
      </c>
      <c r="B5085" s="3">
        <v>0.22</v>
      </c>
    </row>
    <row r="5086" spans="1:2" x14ac:dyDescent="0.35">
      <c r="A5086">
        <v>118</v>
      </c>
      <c r="B5086" t="s">
        <v>26</v>
      </c>
    </row>
    <row r="5087" spans="1:2" x14ac:dyDescent="0.35">
      <c r="A5087">
        <v>118</v>
      </c>
      <c r="B5087">
        <v>0.87</v>
      </c>
    </row>
    <row r="5088" spans="1:2" x14ac:dyDescent="0.35">
      <c r="A5088">
        <v>118</v>
      </c>
      <c r="B5088" t="s">
        <v>23</v>
      </c>
    </row>
    <row r="5089" spans="1:2" x14ac:dyDescent="0.35">
      <c r="A5089">
        <v>118</v>
      </c>
      <c r="B5089">
        <v>-9.4E-2</v>
      </c>
    </row>
    <row r="5090" spans="1:2" x14ac:dyDescent="0.35">
      <c r="A5090">
        <v>118</v>
      </c>
      <c r="B5090" t="s">
        <v>24</v>
      </c>
    </row>
    <row r="5091" spans="1:2" x14ac:dyDescent="0.35">
      <c r="A5091">
        <v>118</v>
      </c>
      <c r="B5091">
        <v>-0.35299999999999998</v>
      </c>
    </row>
    <row r="5092" spans="1:2" x14ac:dyDescent="0.35">
      <c r="A5092">
        <v>118</v>
      </c>
      <c r="B5092" t="s">
        <v>35</v>
      </c>
    </row>
    <row r="5093" spans="1:2" x14ac:dyDescent="0.35">
      <c r="A5093">
        <v>118</v>
      </c>
      <c r="B5093">
        <v>7.9000000000000001E-2</v>
      </c>
    </row>
    <row r="5094" spans="1:2" x14ac:dyDescent="0.35">
      <c r="A5094">
        <v>118</v>
      </c>
      <c r="B5094" t="s">
        <v>36</v>
      </c>
    </row>
    <row r="5095" spans="1:2" x14ac:dyDescent="0.35">
      <c r="A5095">
        <v>118</v>
      </c>
      <c r="B5095">
        <v>6.0000000000000001E-3</v>
      </c>
    </row>
    <row r="5096" spans="1:2" x14ac:dyDescent="0.35">
      <c r="A5096">
        <v>118</v>
      </c>
      <c r="B5096" t="s">
        <v>37</v>
      </c>
    </row>
    <row r="5097" spans="1:2" x14ac:dyDescent="0.35">
      <c r="A5097">
        <v>118</v>
      </c>
      <c r="B5097">
        <v>-1.532</v>
      </c>
    </row>
    <row r="5098" spans="1:2" x14ac:dyDescent="0.35">
      <c r="A5098">
        <v>118</v>
      </c>
      <c r="B5098" t="s">
        <v>38</v>
      </c>
    </row>
    <row r="5099" spans="1:2" x14ac:dyDescent="0.35">
      <c r="A5099">
        <v>118</v>
      </c>
      <c r="B5099">
        <v>0.11799999999999999</v>
      </c>
    </row>
    <row r="5100" spans="1:2" x14ac:dyDescent="0.35">
      <c r="A5100">
        <v>118</v>
      </c>
      <c r="B5100" t="s">
        <v>39</v>
      </c>
    </row>
    <row r="5101" spans="1:2" x14ac:dyDescent="0.35">
      <c r="A5101">
        <v>118</v>
      </c>
      <c r="B5101">
        <v>0.33</v>
      </c>
    </row>
    <row r="5102" spans="1:2" x14ac:dyDescent="0.35">
      <c r="A5102">
        <v>118</v>
      </c>
      <c r="B5102" t="s">
        <v>40</v>
      </c>
    </row>
    <row r="5103" spans="1:2" x14ac:dyDescent="0.35">
      <c r="A5103">
        <v>118</v>
      </c>
      <c r="B5103" s="4">
        <v>0</v>
      </c>
    </row>
    <row r="5104" spans="1:2" x14ac:dyDescent="0.35">
      <c r="A5104">
        <v>118</v>
      </c>
      <c r="B5104" t="s">
        <v>41</v>
      </c>
    </row>
    <row r="5105" spans="1:2" x14ac:dyDescent="0.35">
      <c r="A5105">
        <v>118</v>
      </c>
      <c r="B5105" s="4">
        <v>250000000</v>
      </c>
    </row>
    <row r="5106" spans="1:2" x14ac:dyDescent="0.35">
      <c r="A5106">
        <v>118</v>
      </c>
      <c r="B5106" t="s">
        <v>42</v>
      </c>
    </row>
    <row r="5107" spans="1:2" x14ac:dyDescent="0.35">
      <c r="A5107">
        <v>118</v>
      </c>
      <c r="B5107" t="s">
        <v>45</v>
      </c>
    </row>
    <row r="5108" spans="1:2" x14ac:dyDescent="0.35">
      <c r="A5108">
        <v>108</v>
      </c>
      <c r="B5108" s="2" t="s">
        <v>27</v>
      </c>
    </row>
    <row r="5109" spans="1:2" x14ac:dyDescent="0.35">
      <c r="A5109">
        <v>108</v>
      </c>
      <c r="B5109" s="2">
        <v>0.47092000000000001</v>
      </c>
    </row>
    <row r="5110" spans="1:2" x14ac:dyDescent="0.35">
      <c r="A5110">
        <v>108</v>
      </c>
      <c r="B5110" t="s">
        <v>1</v>
      </c>
    </row>
    <row r="5111" spans="1:2" x14ac:dyDescent="0.35">
      <c r="A5111">
        <v>108</v>
      </c>
      <c r="B5111">
        <v>1.4159999999999999</v>
      </c>
    </row>
    <row r="5112" spans="1:2" x14ac:dyDescent="0.35">
      <c r="A5112">
        <v>108</v>
      </c>
      <c r="B5112" t="s">
        <v>28</v>
      </c>
    </row>
    <row r="5113" spans="1:2" x14ac:dyDescent="0.35">
      <c r="A5113">
        <v>108</v>
      </c>
      <c r="B5113">
        <v>283</v>
      </c>
    </row>
    <row r="5114" spans="1:2" x14ac:dyDescent="0.35">
      <c r="A5114">
        <v>108</v>
      </c>
      <c r="B5114" s="2" t="s">
        <v>25</v>
      </c>
    </row>
    <row r="5115" spans="1:2" x14ac:dyDescent="0.35">
      <c r="A5115">
        <v>108</v>
      </c>
      <c r="B5115" s="2">
        <v>0.1166</v>
      </c>
    </row>
    <row r="5116" spans="1:2" x14ac:dyDescent="0.35">
      <c r="A5116">
        <v>108</v>
      </c>
      <c r="B5116" s="2" t="s">
        <v>29</v>
      </c>
    </row>
    <row r="5117" spans="1:2" x14ac:dyDescent="0.35">
      <c r="A5117">
        <v>108</v>
      </c>
      <c r="B5117" s="2">
        <v>-7.51E-2</v>
      </c>
    </row>
    <row r="5118" spans="1:2" x14ac:dyDescent="0.35">
      <c r="A5118">
        <v>108</v>
      </c>
      <c r="B5118" s="2" t="s">
        <v>30</v>
      </c>
    </row>
    <row r="5119" spans="1:2" x14ac:dyDescent="0.35">
      <c r="A5119">
        <v>108</v>
      </c>
      <c r="B5119" s="2">
        <v>0.86343000000000003</v>
      </c>
    </row>
    <row r="5120" spans="1:2" x14ac:dyDescent="0.35">
      <c r="A5120">
        <v>108</v>
      </c>
      <c r="B5120" s="2" t="s">
        <v>8</v>
      </c>
    </row>
    <row r="5121" spans="1:2" x14ac:dyDescent="0.35">
      <c r="A5121">
        <v>108</v>
      </c>
      <c r="B5121" s="2">
        <v>0.49099999999999999</v>
      </c>
    </row>
    <row r="5122" spans="1:2" x14ac:dyDescent="0.35">
      <c r="A5122">
        <v>108</v>
      </c>
      <c r="B5122" t="s">
        <v>31</v>
      </c>
    </row>
    <row r="5123" spans="1:2" x14ac:dyDescent="0.35">
      <c r="A5123">
        <v>108</v>
      </c>
      <c r="B5123">
        <v>0.70099999999999996</v>
      </c>
    </row>
    <row r="5124" spans="1:2" x14ac:dyDescent="0.35">
      <c r="A5124">
        <v>108</v>
      </c>
      <c r="B5124" s="2" t="s">
        <v>32</v>
      </c>
    </row>
    <row r="5125" spans="1:2" x14ac:dyDescent="0.35">
      <c r="A5125">
        <v>108</v>
      </c>
      <c r="B5125" s="2">
        <v>0.49281000000000003</v>
      </c>
    </row>
    <row r="5126" spans="1:2" x14ac:dyDescent="0.35">
      <c r="A5126">
        <v>108</v>
      </c>
      <c r="B5126" s="3" t="s">
        <v>33</v>
      </c>
    </row>
    <row r="5127" spans="1:2" x14ac:dyDescent="0.35">
      <c r="A5127">
        <v>108</v>
      </c>
      <c r="B5127" s="3">
        <v>0.33</v>
      </c>
    </row>
    <row r="5128" spans="1:2" x14ac:dyDescent="0.35">
      <c r="A5128">
        <v>108</v>
      </c>
      <c r="B5128" s="3" t="s">
        <v>34</v>
      </c>
    </row>
    <row r="5129" spans="1:2" x14ac:dyDescent="0.35">
      <c r="A5129">
        <v>108</v>
      </c>
      <c r="B5129" s="3">
        <v>0.67</v>
      </c>
    </row>
    <row r="5130" spans="1:2" x14ac:dyDescent="0.35">
      <c r="A5130">
        <v>108</v>
      </c>
      <c r="B5130" t="s">
        <v>26</v>
      </c>
    </row>
    <row r="5131" spans="1:2" x14ac:dyDescent="0.35">
      <c r="A5131">
        <v>108</v>
      </c>
      <c r="B5131">
        <v>1.55</v>
      </c>
    </row>
    <row r="5132" spans="1:2" x14ac:dyDescent="0.35">
      <c r="A5132">
        <v>108</v>
      </c>
      <c r="B5132" t="s">
        <v>23</v>
      </c>
    </row>
    <row r="5133" spans="1:2" x14ac:dyDescent="0.35">
      <c r="A5133">
        <v>108</v>
      </c>
      <c r="B5133">
        <v>0.92400000000000004</v>
      </c>
    </row>
    <row r="5134" spans="1:2" x14ac:dyDescent="0.35">
      <c r="A5134">
        <v>108</v>
      </c>
      <c r="B5134" t="s">
        <v>24</v>
      </c>
    </row>
    <row r="5135" spans="1:2" x14ac:dyDescent="0.35">
      <c r="A5135">
        <v>108</v>
      </c>
      <c r="B5135">
        <v>4.7430000000000003</v>
      </c>
    </row>
    <row r="5136" spans="1:2" x14ac:dyDescent="0.35">
      <c r="A5136">
        <v>108</v>
      </c>
      <c r="B5136" t="s">
        <v>35</v>
      </c>
    </row>
    <row r="5137" spans="1:2" x14ac:dyDescent="0.35">
      <c r="A5137">
        <v>108</v>
      </c>
      <c r="B5137">
        <v>0.86699999999999999</v>
      </c>
    </row>
    <row r="5138" spans="1:2" x14ac:dyDescent="0.35">
      <c r="A5138">
        <v>108</v>
      </c>
      <c r="B5138" t="s">
        <v>36</v>
      </c>
    </row>
    <row r="5139" spans="1:2" x14ac:dyDescent="0.35">
      <c r="A5139">
        <v>108</v>
      </c>
      <c r="B5139">
        <v>0.751</v>
      </c>
    </row>
    <row r="5140" spans="1:2" x14ac:dyDescent="0.35">
      <c r="A5140">
        <v>108</v>
      </c>
      <c r="B5140" t="s">
        <v>37</v>
      </c>
    </row>
    <row r="5141" spans="1:2" x14ac:dyDescent="0.35">
      <c r="A5141">
        <v>108</v>
      </c>
      <c r="B5141">
        <v>1.3779999999999999</v>
      </c>
    </row>
    <row r="5142" spans="1:2" x14ac:dyDescent="0.35">
      <c r="A5142">
        <v>108</v>
      </c>
      <c r="B5142" t="s">
        <v>38</v>
      </c>
    </row>
    <row r="5143" spans="1:2" x14ac:dyDescent="0.35">
      <c r="A5143">
        <v>108</v>
      </c>
      <c r="B5143">
        <v>0.84499999999999997</v>
      </c>
    </row>
    <row r="5144" spans="1:2" x14ac:dyDescent="0.35">
      <c r="A5144">
        <v>108</v>
      </c>
      <c r="B5144" t="s">
        <v>39</v>
      </c>
    </row>
    <row r="5145" spans="1:2" x14ac:dyDescent="0.35">
      <c r="A5145">
        <v>108</v>
      </c>
      <c r="B5145">
        <v>0.25900000000000001</v>
      </c>
    </row>
    <row r="5146" spans="1:2" x14ac:dyDescent="0.35">
      <c r="A5146">
        <v>108</v>
      </c>
      <c r="B5146" s="4" t="s">
        <v>40</v>
      </c>
    </row>
    <row r="5147" spans="1:2" x14ac:dyDescent="0.35">
      <c r="A5147">
        <v>108</v>
      </c>
      <c r="B5147" s="4">
        <v>0</v>
      </c>
    </row>
    <row r="5148" spans="1:2" x14ac:dyDescent="0.35">
      <c r="A5148">
        <v>108</v>
      </c>
      <c r="B5148" s="4" t="s">
        <v>41</v>
      </c>
    </row>
    <row r="5149" spans="1:2" x14ac:dyDescent="0.35">
      <c r="A5149">
        <v>108</v>
      </c>
      <c r="B5149" s="4">
        <v>12000000</v>
      </c>
    </row>
    <row r="5150" spans="1:2" x14ac:dyDescent="0.35">
      <c r="A5150">
        <v>108</v>
      </c>
      <c r="B5150" t="s">
        <v>42</v>
      </c>
    </row>
    <row r="5151" spans="1:2" x14ac:dyDescent="0.35">
      <c r="A5151">
        <v>107</v>
      </c>
      <c r="B5151" t="s">
        <v>27</v>
      </c>
    </row>
    <row r="5152" spans="1:2" x14ac:dyDescent="0.35">
      <c r="A5152">
        <v>107</v>
      </c>
      <c r="B5152" s="2">
        <v>0.47092000000000001</v>
      </c>
    </row>
    <row r="5153" spans="1:2" x14ac:dyDescent="0.35">
      <c r="A5153">
        <v>107</v>
      </c>
      <c r="B5153" t="s">
        <v>1</v>
      </c>
    </row>
    <row r="5154" spans="1:2" x14ac:dyDescent="0.35">
      <c r="A5154">
        <v>107</v>
      </c>
      <c r="B5154">
        <v>1.4159999999999999</v>
      </c>
    </row>
    <row r="5155" spans="1:2" x14ac:dyDescent="0.35">
      <c r="A5155">
        <v>107</v>
      </c>
      <c r="B5155" t="s">
        <v>28</v>
      </c>
    </row>
    <row r="5156" spans="1:2" x14ac:dyDescent="0.35">
      <c r="A5156">
        <v>107</v>
      </c>
      <c r="B5156" s="2">
        <v>283</v>
      </c>
    </row>
    <row r="5157" spans="1:2" x14ac:dyDescent="0.35">
      <c r="A5157">
        <v>107</v>
      </c>
      <c r="B5157" t="s">
        <v>25</v>
      </c>
    </row>
    <row r="5158" spans="1:2" x14ac:dyDescent="0.35">
      <c r="A5158">
        <v>107</v>
      </c>
      <c r="B5158" s="2">
        <v>0.1166</v>
      </c>
    </row>
    <row r="5159" spans="1:2" x14ac:dyDescent="0.35">
      <c r="A5159">
        <v>107</v>
      </c>
      <c r="B5159" t="s">
        <v>29</v>
      </c>
    </row>
    <row r="5160" spans="1:2" x14ac:dyDescent="0.35">
      <c r="A5160">
        <v>107</v>
      </c>
      <c r="B5160" s="2">
        <v>-7.51E-2</v>
      </c>
    </row>
    <row r="5161" spans="1:2" x14ac:dyDescent="0.35">
      <c r="A5161">
        <v>107</v>
      </c>
      <c r="B5161" t="s">
        <v>30</v>
      </c>
    </row>
    <row r="5162" spans="1:2" x14ac:dyDescent="0.35">
      <c r="A5162">
        <v>107</v>
      </c>
      <c r="B5162" s="2">
        <v>0.86343000000000003</v>
      </c>
    </row>
    <row r="5163" spans="1:2" x14ac:dyDescent="0.35">
      <c r="A5163">
        <v>107</v>
      </c>
      <c r="B5163" t="s">
        <v>8</v>
      </c>
    </row>
    <row r="5164" spans="1:2" x14ac:dyDescent="0.35">
      <c r="A5164">
        <v>107</v>
      </c>
      <c r="B5164" s="2">
        <v>0.49099999999999999</v>
      </c>
    </row>
    <row r="5165" spans="1:2" x14ac:dyDescent="0.35">
      <c r="A5165">
        <v>107</v>
      </c>
      <c r="B5165" t="s">
        <v>31</v>
      </c>
    </row>
    <row r="5166" spans="1:2" x14ac:dyDescent="0.35">
      <c r="A5166">
        <v>107</v>
      </c>
      <c r="B5166" s="2">
        <v>0.70099999999999996</v>
      </c>
    </row>
    <row r="5167" spans="1:2" x14ac:dyDescent="0.35">
      <c r="A5167">
        <v>107</v>
      </c>
      <c r="B5167" t="s">
        <v>32</v>
      </c>
    </row>
    <row r="5168" spans="1:2" x14ac:dyDescent="0.35">
      <c r="A5168">
        <v>107</v>
      </c>
      <c r="B5168" s="3">
        <v>0.49281000000000003</v>
      </c>
    </row>
    <row r="5169" spans="1:2" x14ac:dyDescent="0.35">
      <c r="A5169">
        <v>107</v>
      </c>
      <c r="B5169" t="s">
        <v>33</v>
      </c>
    </row>
    <row r="5170" spans="1:2" x14ac:dyDescent="0.35">
      <c r="A5170">
        <v>107</v>
      </c>
      <c r="B5170" s="3">
        <v>0.33</v>
      </c>
    </row>
    <row r="5171" spans="1:2" x14ac:dyDescent="0.35">
      <c r="A5171">
        <v>107</v>
      </c>
      <c r="B5171" t="s">
        <v>34</v>
      </c>
    </row>
    <row r="5172" spans="1:2" x14ac:dyDescent="0.35">
      <c r="A5172">
        <v>107</v>
      </c>
      <c r="B5172" s="3">
        <v>0.67</v>
      </c>
    </row>
    <row r="5173" spans="1:2" x14ac:dyDescent="0.35">
      <c r="A5173">
        <v>107</v>
      </c>
      <c r="B5173" t="s">
        <v>26</v>
      </c>
    </row>
    <row r="5174" spans="1:2" x14ac:dyDescent="0.35">
      <c r="A5174">
        <v>107</v>
      </c>
      <c r="B5174">
        <v>1.55</v>
      </c>
    </row>
    <row r="5175" spans="1:2" x14ac:dyDescent="0.35">
      <c r="A5175">
        <v>107</v>
      </c>
      <c r="B5175" t="s">
        <v>23</v>
      </c>
    </row>
    <row r="5176" spans="1:2" x14ac:dyDescent="0.35">
      <c r="A5176">
        <v>107</v>
      </c>
      <c r="B5176">
        <v>0.92400000000000004</v>
      </c>
    </row>
    <row r="5177" spans="1:2" x14ac:dyDescent="0.35">
      <c r="A5177">
        <v>107</v>
      </c>
      <c r="B5177" t="s">
        <v>24</v>
      </c>
    </row>
    <row r="5178" spans="1:2" x14ac:dyDescent="0.35">
      <c r="A5178">
        <v>107</v>
      </c>
      <c r="B5178">
        <v>4.7430000000000003</v>
      </c>
    </row>
    <row r="5179" spans="1:2" x14ac:dyDescent="0.35">
      <c r="A5179">
        <v>107</v>
      </c>
      <c r="B5179" t="s">
        <v>35</v>
      </c>
    </row>
    <row r="5180" spans="1:2" x14ac:dyDescent="0.35">
      <c r="A5180">
        <v>107</v>
      </c>
      <c r="B5180">
        <v>0.86699999999999999</v>
      </c>
    </row>
    <row r="5181" spans="1:2" x14ac:dyDescent="0.35">
      <c r="A5181">
        <v>107</v>
      </c>
      <c r="B5181" t="s">
        <v>36</v>
      </c>
    </row>
    <row r="5182" spans="1:2" x14ac:dyDescent="0.35">
      <c r="A5182">
        <v>107</v>
      </c>
      <c r="B5182">
        <v>0.751</v>
      </c>
    </row>
    <row r="5183" spans="1:2" x14ac:dyDescent="0.35">
      <c r="A5183">
        <v>107</v>
      </c>
      <c r="B5183" t="s">
        <v>37</v>
      </c>
    </row>
    <row r="5184" spans="1:2" x14ac:dyDescent="0.35">
      <c r="A5184">
        <v>107</v>
      </c>
      <c r="B5184">
        <v>1.3779999999999999</v>
      </c>
    </row>
    <row r="5185" spans="1:2" x14ac:dyDescent="0.35">
      <c r="A5185">
        <v>107</v>
      </c>
      <c r="B5185" t="s">
        <v>38</v>
      </c>
    </row>
    <row r="5186" spans="1:2" x14ac:dyDescent="0.35">
      <c r="A5186">
        <v>107</v>
      </c>
      <c r="B5186">
        <v>0.84499999999999997</v>
      </c>
    </row>
    <row r="5187" spans="1:2" x14ac:dyDescent="0.35">
      <c r="A5187">
        <v>107</v>
      </c>
      <c r="B5187" t="s">
        <v>39</v>
      </c>
    </row>
    <row r="5188" spans="1:2" x14ac:dyDescent="0.35">
      <c r="A5188">
        <v>107</v>
      </c>
      <c r="B5188" s="4">
        <v>0.25900000000000001</v>
      </c>
    </row>
    <row r="5189" spans="1:2" x14ac:dyDescent="0.35">
      <c r="A5189">
        <v>107</v>
      </c>
      <c r="B5189" t="s">
        <v>40</v>
      </c>
    </row>
    <row r="5190" spans="1:2" x14ac:dyDescent="0.35">
      <c r="A5190">
        <v>107</v>
      </c>
      <c r="B5190" s="4">
        <v>0</v>
      </c>
    </row>
    <row r="5191" spans="1:2" x14ac:dyDescent="0.35">
      <c r="A5191">
        <v>107</v>
      </c>
      <c r="B5191" t="s">
        <v>41</v>
      </c>
    </row>
    <row r="5192" spans="1:2" x14ac:dyDescent="0.35">
      <c r="A5192">
        <v>107</v>
      </c>
      <c r="B5192" s="4">
        <v>12000000</v>
      </c>
    </row>
    <row r="5193" spans="1:2" x14ac:dyDescent="0.35">
      <c r="A5193">
        <v>107</v>
      </c>
      <c r="B5193" t="s">
        <v>42</v>
      </c>
    </row>
    <row r="5194" spans="1:2" x14ac:dyDescent="0.35">
      <c r="A5194">
        <v>107</v>
      </c>
      <c r="B5194" t="s">
        <v>46</v>
      </c>
    </row>
    <row r="5195" spans="1:2" x14ac:dyDescent="0.35">
      <c r="A5195">
        <v>106</v>
      </c>
      <c r="B5195" t="s">
        <v>27</v>
      </c>
    </row>
    <row r="5196" spans="1:2" x14ac:dyDescent="0.35">
      <c r="A5196">
        <v>106</v>
      </c>
      <c r="B5196" s="2">
        <v>0.47092000000000001</v>
      </c>
    </row>
    <row r="5197" spans="1:2" x14ac:dyDescent="0.35">
      <c r="A5197">
        <v>106</v>
      </c>
      <c r="B5197" t="s">
        <v>1</v>
      </c>
    </row>
    <row r="5198" spans="1:2" x14ac:dyDescent="0.35">
      <c r="A5198">
        <v>106</v>
      </c>
      <c r="B5198">
        <v>1.4159999999999999</v>
      </c>
    </row>
    <row r="5199" spans="1:2" x14ac:dyDescent="0.35">
      <c r="A5199">
        <v>106</v>
      </c>
      <c r="B5199" s="2" t="s">
        <v>28</v>
      </c>
    </row>
    <row r="5200" spans="1:2" x14ac:dyDescent="0.35">
      <c r="A5200">
        <v>106</v>
      </c>
      <c r="B5200">
        <v>283</v>
      </c>
    </row>
    <row r="5201" spans="1:2" x14ac:dyDescent="0.35">
      <c r="A5201">
        <v>106</v>
      </c>
      <c r="B5201" s="2" t="s">
        <v>25</v>
      </c>
    </row>
    <row r="5202" spans="1:2" x14ac:dyDescent="0.35">
      <c r="A5202">
        <v>106</v>
      </c>
      <c r="B5202" s="2">
        <v>0.1166</v>
      </c>
    </row>
    <row r="5203" spans="1:2" x14ac:dyDescent="0.35">
      <c r="A5203">
        <v>106</v>
      </c>
      <c r="B5203" s="2" t="s">
        <v>29</v>
      </c>
    </row>
    <row r="5204" spans="1:2" x14ac:dyDescent="0.35">
      <c r="A5204">
        <v>106</v>
      </c>
      <c r="B5204" s="2">
        <v>-7.51E-2</v>
      </c>
    </row>
    <row r="5205" spans="1:2" x14ac:dyDescent="0.35">
      <c r="A5205">
        <v>106</v>
      </c>
      <c r="B5205" s="2" t="s">
        <v>30</v>
      </c>
    </row>
    <row r="5206" spans="1:2" x14ac:dyDescent="0.35">
      <c r="A5206">
        <v>106</v>
      </c>
      <c r="B5206" s="2">
        <v>0.86343000000000003</v>
      </c>
    </row>
    <row r="5207" spans="1:2" x14ac:dyDescent="0.35">
      <c r="A5207">
        <v>106</v>
      </c>
      <c r="B5207" t="s">
        <v>8</v>
      </c>
    </row>
    <row r="5208" spans="1:2" x14ac:dyDescent="0.35">
      <c r="A5208">
        <v>106</v>
      </c>
      <c r="B5208" s="2">
        <v>0.49099999999999999</v>
      </c>
    </row>
    <row r="5209" spans="1:2" x14ac:dyDescent="0.35">
      <c r="A5209">
        <v>106</v>
      </c>
      <c r="B5209" s="2" t="s">
        <v>31</v>
      </c>
    </row>
    <row r="5210" spans="1:2" x14ac:dyDescent="0.35">
      <c r="A5210">
        <v>106</v>
      </c>
      <c r="B5210">
        <v>0.70099999999999996</v>
      </c>
    </row>
    <row r="5211" spans="1:2" x14ac:dyDescent="0.35">
      <c r="A5211">
        <v>106</v>
      </c>
      <c r="B5211" s="3" t="s">
        <v>32</v>
      </c>
    </row>
    <row r="5212" spans="1:2" x14ac:dyDescent="0.35">
      <c r="A5212">
        <v>106</v>
      </c>
      <c r="B5212" s="2">
        <v>0.49281000000000003</v>
      </c>
    </row>
    <row r="5213" spans="1:2" x14ac:dyDescent="0.35">
      <c r="A5213">
        <v>106</v>
      </c>
      <c r="B5213" s="3" t="s">
        <v>33</v>
      </c>
    </row>
    <row r="5214" spans="1:2" x14ac:dyDescent="0.35">
      <c r="A5214">
        <v>106</v>
      </c>
      <c r="B5214" s="3">
        <v>0.33</v>
      </c>
    </row>
    <row r="5215" spans="1:2" x14ac:dyDescent="0.35">
      <c r="A5215">
        <v>106</v>
      </c>
      <c r="B5215" t="s">
        <v>34</v>
      </c>
    </row>
    <row r="5216" spans="1:2" x14ac:dyDescent="0.35">
      <c r="A5216">
        <v>106</v>
      </c>
      <c r="B5216" s="3">
        <v>0.67</v>
      </c>
    </row>
    <row r="5217" spans="1:2" x14ac:dyDescent="0.35">
      <c r="A5217">
        <v>106</v>
      </c>
      <c r="B5217" t="s">
        <v>26</v>
      </c>
    </row>
    <row r="5218" spans="1:2" x14ac:dyDescent="0.35">
      <c r="A5218">
        <v>106</v>
      </c>
      <c r="B5218">
        <v>1.55</v>
      </c>
    </row>
    <row r="5219" spans="1:2" x14ac:dyDescent="0.35">
      <c r="A5219">
        <v>106</v>
      </c>
      <c r="B5219" t="s">
        <v>23</v>
      </c>
    </row>
    <row r="5220" spans="1:2" x14ac:dyDescent="0.35">
      <c r="A5220">
        <v>106</v>
      </c>
      <c r="B5220">
        <v>0.92400000000000004</v>
      </c>
    </row>
    <row r="5221" spans="1:2" x14ac:dyDescent="0.35">
      <c r="A5221">
        <v>106</v>
      </c>
      <c r="B5221" t="s">
        <v>24</v>
      </c>
    </row>
    <row r="5222" spans="1:2" x14ac:dyDescent="0.35">
      <c r="A5222">
        <v>106</v>
      </c>
      <c r="B5222">
        <v>4.7430000000000003</v>
      </c>
    </row>
    <row r="5223" spans="1:2" x14ac:dyDescent="0.35">
      <c r="A5223">
        <v>106</v>
      </c>
      <c r="B5223" t="s">
        <v>35</v>
      </c>
    </row>
    <row r="5224" spans="1:2" x14ac:dyDescent="0.35">
      <c r="A5224">
        <v>106</v>
      </c>
      <c r="B5224">
        <v>0.86699999999999999</v>
      </c>
    </row>
    <row r="5225" spans="1:2" x14ac:dyDescent="0.35">
      <c r="A5225">
        <v>106</v>
      </c>
      <c r="B5225" t="s">
        <v>36</v>
      </c>
    </row>
    <row r="5226" spans="1:2" x14ac:dyDescent="0.35">
      <c r="A5226">
        <v>106</v>
      </c>
      <c r="B5226">
        <v>0.751</v>
      </c>
    </row>
    <row r="5227" spans="1:2" x14ac:dyDescent="0.35">
      <c r="A5227">
        <v>106</v>
      </c>
      <c r="B5227" t="s">
        <v>37</v>
      </c>
    </row>
    <row r="5228" spans="1:2" x14ac:dyDescent="0.35">
      <c r="A5228">
        <v>106</v>
      </c>
      <c r="B5228">
        <v>1.3779999999999999</v>
      </c>
    </row>
    <row r="5229" spans="1:2" x14ac:dyDescent="0.35">
      <c r="A5229">
        <v>106</v>
      </c>
      <c r="B5229" t="s">
        <v>38</v>
      </c>
    </row>
    <row r="5230" spans="1:2" x14ac:dyDescent="0.35">
      <c r="A5230">
        <v>106</v>
      </c>
      <c r="B5230">
        <v>0.84499999999999997</v>
      </c>
    </row>
    <row r="5231" spans="1:2" x14ac:dyDescent="0.35">
      <c r="A5231">
        <v>106</v>
      </c>
      <c r="B5231" s="4" t="s">
        <v>39</v>
      </c>
    </row>
    <row r="5232" spans="1:2" x14ac:dyDescent="0.35">
      <c r="A5232">
        <v>106</v>
      </c>
      <c r="B5232">
        <v>0.25900000000000001</v>
      </c>
    </row>
    <row r="5233" spans="1:2" x14ac:dyDescent="0.35">
      <c r="A5233">
        <v>106</v>
      </c>
      <c r="B5233" s="4" t="s">
        <v>40</v>
      </c>
    </row>
    <row r="5234" spans="1:2" x14ac:dyDescent="0.35">
      <c r="A5234">
        <v>106</v>
      </c>
      <c r="B5234" s="4">
        <v>0</v>
      </c>
    </row>
    <row r="5235" spans="1:2" x14ac:dyDescent="0.35">
      <c r="A5235">
        <v>106</v>
      </c>
      <c r="B5235" t="s">
        <v>41</v>
      </c>
    </row>
    <row r="5236" spans="1:2" x14ac:dyDescent="0.35">
      <c r="A5236">
        <v>106</v>
      </c>
      <c r="B5236" s="4">
        <v>12000000</v>
      </c>
    </row>
    <row r="5237" spans="1:2" x14ac:dyDescent="0.35">
      <c r="A5237">
        <v>106</v>
      </c>
      <c r="B5237" t="s">
        <v>42</v>
      </c>
    </row>
    <row r="5238" spans="1:2" x14ac:dyDescent="0.35">
      <c r="A5238">
        <v>106</v>
      </c>
      <c r="B5238" t="s">
        <v>46</v>
      </c>
    </row>
    <row r="5239" spans="1:2" x14ac:dyDescent="0.35">
      <c r="A5239">
        <v>105</v>
      </c>
      <c r="B5239" t="s">
        <v>27</v>
      </c>
    </row>
    <row r="5240" spans="1:2" x14ac:dyDescent="0.35">
      <c r="A5240">
        <v>105</v>
      </c>
      <c r="B5240" s="2">
        <v>0.47092000000000001</v>
      </c>
    </row>
    <row r="5241" spans="1:2" x14ac:dyDescent="0.35">
      <c r="A5241">
        <v>105</v>
      </c>
      <c r="B5241" t="s">
        <v>1</v>
      </c>
    </row>
    <row r="5242" spans="1:2" x14ac:dyDescent="0.35">
      <c r="A5242">
        <v>105</v>
      </c>
      <c r="B5242">
        <v>1.4159999999999999</v>
      </c>
    </row>
    <row r="5243" spans="1:2" x14ac:dyDescent="0.35">
      <c r="A5243">
        <v>105</v>
      </c>
      <c r="B5243" t="s">
        <v>28</v>
      </c>
    </row>
    <row r="5244" spans="1:2" x14ac:dyDescent="0.35">
      <c r="A5244">
        <v>105</v>
      </c>
      <c r="B5244">
        <v>283</v>
      </c>
    </row>
    <row r="5245" spans="1:2" x14ac:dyDescent="0.35">
      <c r="A5245">
        <v>105</v>
      </c>
      <c r="B5245" t="s">
        <v>25</v>
      </c>
    </row>
    <row r="5246" spans="1:2" x14ac:dyDescent="0.35">
      <c r="A5246">
        <v>105</v>
      </c>
      <c r="B5246" s="2">
        <v>0.1166</v>
      </c>
    </row>
    <row r="5247" spans="1:2" x14ac:dyDescent="0.35">
      <c r="A5247">
        <v>105</v>
      </c>
      <c r="B5247" t="s">
        <v>29</v>
      </c>
    </row>
    <row r="5248" spans="1:2" x14ac:dyDescent="0.35">
      <c r="A5248">
        <v>105</v>
      </c>
      <c r="B5248" s="2">
        <v>-7.51E-2</v>
      </c>
    </row>
    <row r="5249" spans="1:2" x14ac:dyDescent="0.35">
      <c r="A5249">
        <v>105</v>
      </c>
      <c r="B5249" t="s">
        <v>30</v>
      </c>
    </row>
    <row r="5250" spans="1:2" x14ac:dyDescent="0.35">
      <c r="A5250">
        <v>105</v>
      </c>
      <c r="B5250" s="2">
        <v>0.86343000000000003</v>
      </c>
    </row>
    <row r="5251" spans="1:2" x14ac:dyDescent="0.35">
      <c r="A5251">
        <v>105</v>
      </c>
      <c r="B5251" t="s">
        <v>8</v>
      </c>
    </row>
    <row r="5252" spans="1:2" x14ac:dyDescent="0.35">
      <c r="A5252">
        <v>105</v>
      </c>
      <c r="B5252" s="2">
        <v>0.49099999999999999</v>
      </c>
    </row>
    <row r="5253" spans="1:2" x14ac:dyDescent="0.35">
      <c r="A5253">
        <v>105</v>
      </c>
      <c r="B5253" t="s">
        <v>31</v>
      </c>
    </row>
    <row r="5254" spans="1:2" x14ac:dyDescent="0.35">
      <c r="A5254">
        <v>105</v>
      </c>
      <c r="B5254">
        <v>0.70099999999999996</v>
      </c>
    </row>
    <row r="5255" spans="1:2" x14ac:dyDescent="0.35">
      <c r="A5255">
        <v>105</v>
      </c>
      <c r="B5255" t="s">
        <v>32</v>
      </c>
    </row>
    <row r="5256" spans="1:2" x14ac:dyDescent="0.35">
      <c r="A5256">
        <v>105</v>
      </c>
      <c r="B5256" s="2">
        <v>0.49281000000000003</v>
      </c>
    </row>
    <row r="5257" spans="1:2" x14ac:dyDescent="0.35">
      <c r="A5257">
        <v>105</v>
      </c>
      <c r="B5257" t="s">
        <v>33</v>
      </c>
    </row>
    <row r="5258" spans="1:2" x14ac:dyDescent="0.35">
      <c r="A5258">
        <v>105</v>
      </c>
      <c r="B5258" s="3">
        <v>0.33</v>
      </c>
    </row>
    <row r="5259" spans="1:2" x14ac:dyDescent="0.35">
      <c r="A5259">
        <v>105</v>
      </c>
      <c r="B5259" t="s">
        <v>34</v>
      </c>
    </row>
    <row r="5260" spans="1:2" x14ac:dyDescent="0.35">
      <c r="A5260">
        <v>105</v>
      </c>
      <c r="B5260" s="3">
        <v>0.67</v>
      </c>
    </row>
    <row r="5261" spans="1:2" x14ac:dyDescent="0.35">
      <c r="A5261">
        <v>105</v>
      </c>
      <c r="B5261" t="s">
        <v>26</v>
      </c>
    </row>
    <row r="5262" spans="1:2" x14ac:dyDescent="0.35">
      <c r="A5262">
        <v>105</v>
      </c>
      <c r="B5262">
        <v>1.55</v>
      </c>
    </row>
    <row r="5263" spans="1:2" x14ac:dyDescent="0.35">
      <c r="A5263">
        <v>105</v>
      </c>
      <c r="B5263" t="s">
        <v>23</v>
      </c>
    </row>
    <row r="5264" spans="1:2" x14ac:dyDescent="0.35">
      <c r="A5264">
        <v>105</v>
      </c>
      <c r="B5264">
        <v>0.92400000000000004</v>
      </c>
    </row>
    <row r="5265" spans="1:2" x14ac:dyDescent="0.35">
      <c r="A5265">
        <v>105</v>
      </c>
      <c r="B5265" t="s">
        <v>24</v>
      </c>
    </row>
    <row r="5266" spans="1:2" x14ac:dyDescent="0.35">
      <c r="A5266">
        <v>105</v>
      </c>
      <c r="B5266">
        <v>4.7430000000000003</v>
      </c>
    </row>
    <row r="5267" spans="1:2" x14ac:dyDescent="0.35">
      <c r="A5267">
        <v>105</v>
      </c>
      <c r="B5267" t="s">
        <v>35</v>
      </c>
    </row>
    <row r="5268" spans="1:2" x14ac:dyDescent="0.35">
      <c r="A5268">
        <v>105</v>
      </c>
      <c r="B5268">
        <v>0.86699999999999999</v>
      </c>
    </row>
    <row r="5269" spans="1:2" x14ac:dyDescent="0.35">
      <c r="A5269">
        <v>105</v>
      </c>
      <c r="B5269" t="s">
        <v>36</v>
      </c>
    </row>
    <row r="5270" spans="1:2" x14ac:dyDescent="0.35">
      <c r="A5270">
        <v>105</v>
      </c>
      <c r="B5270">
        <v>0.751</v>
      </c>
    </row>
    <row r="5271" spans="1:2" x14ac:dyDescent="0.35">
      <c r="A5271">
        <v>105</v>
      </c>
      <c r="B5271" t="s">
        <v>37</v>
      </c>
    </row>
    <row r="5272" spans="1:2" x14ac:dyDescent="0.35">
      <c r="A5272">
        <v>105</v>
      </c>
      <c r="B5272">
        <v>1.3779999999999999</v>
      </c>
    </row>
    <row r="5273" spans="1:2" x14ac:dyDescent="0.35">
      <c r="A5273">
        <v>105</v>
      </c>
      <c r="B5273" t="s">
        <v>38</v>
      </c>
    </row>
    <row r="5274" spans="1:2" x14ac:dyDescent="0.35">
      <c r="A5274">
        <v>105</v>
      </c>
      <c r="B5274">
        <v>0.84499999999999997</v>
      </c>
    </row>
    <row r="5275" spans="1:2" x14ac:dyDescent="0.35">
      <c r="A5275">
        <v>105</v>
      </c>
      <c r="B5275" t="s">
        <v>39</v>
      </c>
    </row>
    <row r="5276" spans="1:2" x14ac:dyDescent="0.35">
      <c r="A5276">
        <v>105</v>
      </c>
      <c r="B5276">
        <v>0.25900000000000001</v>
      </c>
    </row>
    <row r="5277" spans="1:2" x14ac:dyDescent="0.35">
      <c r="A5277">
        <v>105</v>
      </c>
      <c r="B5277" t="s">
        <v>40</v>
      </c>
    </row>
    <row r="5278" spans="1:2" x14ac:dyDescent="0.35">
      <c r="A5278">
        <v>105</v>
      </c>
      <c r="B5278" s="4">
        <v>0</v>
      </c>
    </row>
    <row r="5279" spans="1:2" x14ac:dyDescent="0.35">
      <c r="A5279">
        <v>105</v>
      </c>
      <c r="B5279" t="s">
        <v>41</v>
      </c>
    </row>
    <row r="5280" spans="1:2" x14ac:dyDescent="0.35">
      <c r="A5280">
        <v>105</v>
      </c>
      <c r="B5280" s="4">
        <v>12000000</v>
      </c>
    </row>
    <row r="5281" spans="1:2" x14ac:dyDescent="0.35">
      <c r="A5281">
        <v>105</v>
      </c>
      <c r="B5281" t="s">
        <v>42</v>
      </c>
    </row>
    <row r="5282" spans="1:2" x14ac:dyDescent="0.35">
      <c r="A5282">
        <v>105</v>
      </c>
      <c r="B5282" t="s">
        <v>46</v>
      </c>
    </row>
    <row r="5283" spans="1:2" x14ac:dyDescent="0.35">
      <c r="A5283">
        <v>104</v>
      </c>
      <c r="B5283" t="s">
        <v>27</v>
      </c>
    </row>
    <row r="5284" spans="1:2" x14ac:dyDescent="0.35">
      <c r="A5284">
        <v>104</v>
      </c>
      <c r="B5284" s="2">
        <v>0.47092000000000001</v>
      </c>
    </row>
    <row r="5285" spans="1:2" x14ac:dyDescent="0.35">
      <c r="A5285">
        <v>104</v>
      </c>
      <c r="B5285" t="s">
        <v>1</v>
      </c>
    </row>
    <row r="5286" spans="1:2" x14ac:dyDescent="0.35">
      <c r="A5286">
        <v>104</v>
      </c>
      <c r="B5286">
        <v>1.4159999999999999</v>
      </c>
    </row>
    <row r="5287" spans="1:2" x14ac:dyDescent="0.35">
      <c r="A5287">
        <v>104</v>
      </c>
      <c r="B5287" t="s">
        <v>28</v>
      </c>
    </row>
    <row r="5288" spans="1:2" x14ac:dyDescent="0.35">
      <c r="A5288">
        <v>104</v>
      </c>
      <c r="B5288">
        <v>283</v>
      </c>
    </row>
    <row r="5289" spans="1:2" x14ac:dyDescent="0.35">
      <c r="A5289">
        <v>104</v>
      </c>
      <c r="B5289" t="s">
        <v>25</v>
      </c>
    </row>
    <row r="5290" spans="1:2" x14ac:dyDescent="0.35">
      <c r="A5290">
        <v>104</v>
      </c>
      <c r="B5290" s="2">
        <v>0.1166</v>
      </c>
    </row>
    <row r="5291" spans="1:2" x14ac:dyDescent="0.35">
      <c r="A5291">
        <v>104</v>
      </c>
      <c r="B5291" t="s">
        <v>29</v>
      </c>
    </row>
    <row r="5292" spans="1:2" x14ac:dyDescent="0.35">
      <c r="A5292">
        <v>104</v>
      </c>
      <c r="B5292" s="2">
        <v>-7.51E-2</v>
      </c>
    </row>
    <row r="5293" spans="1:2" x14ac:dyDescent="0.35">
      <c r="A5293">
        <v>104</v>
      </c>
      <c r="B5293" t="s">
        <v>30</v>
      </c>
    </row>
    <row r="5294" spans="1:2" x14ac:dyDescent="0.35">
      <c r="A5294">
        <v>104</v>
      </c>
      <c r="B5294" s="2">
        <v>0.86343000000000003</v>
      </c>
    </row>
    <row r="5295" spans="1:2" x14ac:dyDescent="0.35">
      <c r="A5295">
        <v>104</v>
      </c>
      <c r="B5295" t="s">
        <v>8</v>
      </c>
    </row>
    <row r="5296" spans="1:2" x14ac:dyDescent="0.35">
      <c r="A5296">
        <v>104</v>
      </c>
      <c r="B5296" s="2">
        <v>0.49099999999999999</v>
      </c>
    </row>
    <row r="5297" spans="1:2" x14ac:dyDescent="0.35">
      <c r="A5297">
        <v>104</v>
      </c>
      <c r="B5297" t="s">
        <v>31</v>
      </c>
    </row>
    <row r="5298" spans="1:2" x14ac:dyDescent="0.35">
      <c r="A5298">
        <v>104</v>
      </c>
      <c r="B5298">
        <v>0.70099999999999996</v>
      </c>
    </row>
    <row r="5299" spans="1:2" x14ac:dyDescent="0.35">
      <c r="A5299">
        <v>104</v>
      </c>
      <c r="B5299" t="s">
        <v>32</v>
      </c>
    </row>
    <row r="5300" spans="1:2" x14ac:dyDescent="0.35">
      <c r="A5300">
        <v>104</v>
      </c>
      <c r="B5300" s="2">
        <v>0.49281000000000003</v>
      </c>
    </row>
    <row r="5301" spans="1:2" x14ac:dyDescent="0.35">
      <c r="A5301">
        <v>104</v>
      </c>
      <c r="B5301" t="s">
        <v>33</v>
      </c>
    </row>
    <row r="5302" spans="1:2" x14ac:dyDescent="0.35">
      <c r="A5302">
        <v>104</v>
      </c>
      <c r="B5302" s="3">
        <v>0.33</v>
      </c>
    </row>
    <row r="5303" spans="1:2" x14ac:dyDescent="0.35">
      <c r="A5303">
        <v>104</v>
      </c>
      <c r="B5303" t="s">
        <v>34</v>
      </c>
    </row>
    <row r="5304" spans="1:2" x14ac:dyDescent="0.35">
      <c r="A5304">
        <v>104</v>
      </c>
      <c r="B5304" s="3">
        <v>0.67</v>
      </c>
    </row>
    <row r="5305" spans="1:2" x14ac:dyDescent="0.35">
      <c r="A5305">
        <v>104</v>
      </c>
      <c r="B5305" t="s">
        <v>26</v>
      </c>
    </row>
    <row r="5306" spans="1:2" x14ac:dyDescent="0.35">
      <c r="A5306">
        <v>104</v>
      </c>
      <c r="B5306">
        <v>1.55</v>
      </c>
    </row>
    <row r="5307" spans="1:2" x14ac:dyDescent="0.35">
      <c r="A5307">
        <v>104</v>
      </c>
      <c r="B5307" t="s">
        <v>23</v>
      </c>
    </row>
    <row r="5308" spans="1:2" x14ac:dyDescent="0.35">
      <c r="A5308">
        <v>104</v>
      </c>
      <c r="B5308">
        <v>0.92400000000000004</v>
      </c>
    </row>
    <row r="5309" spans="1:2" x14ac:dyDescent="0.35">
      <c r="A5309">
        <v>104</v>
      </c>
      <c r="B5309" t="s">
        <v>24</v>
      </c>
    </row>
    <row r="5310" spans="1:2" x14ac:dyDescent="0.35">
      <c r="A5310">
        <v>104</v>
      </c>
      <c r="B5310">
        <v>4.7430000000000003</v>
      </c>
    </row>
    <row r="5311" spans="1:2" x14ac:dyDescent="0.35">
      <c r="A5311">
        <v>104</v>
      </c>
      <c r="B5311" t="s">
        <v>35</v>
      </c>
    </row>
    <row r="5312" spans="1:2" x14ac:dyDescent="0.35">
      <c r="A5312">
        <v>104</v>
      </c>
      <c r="B5312">
        <v>0.86699999999999999</v>
      </c>
    </row>
    <row r="5313" spans="1:2" x14ac:dyDescent="0.35">
      <c r="A5313">
        <v>104</v>
      </c>
      <c r="B5313" t="s">
        <v>36</v>
      </c>
    </row>
    <row r="5314" spans="1:2" x14ac:dyDescent="0.35">
      <c r="A5314">
        <v>104</v>
      </c>
      <c r="B5314">
        <v>0.751</v>
      </c>
    </row>
    <row r="5315" spans="1:2" x14ac:dyDescent="0.35">
      <c r="A5315">
        <v>104</v>
      </c>
      <c r="B5315" t="s">
        <v>37</v>
      </c>
    </row>
    <row r="5316" spans="1:2" x14ac:dyDescent="0.35">
      <c r="A5316">
        <v>104</v>
      </c>
      <c r="B5316">
        <v>1.3779999999999999</v>
      </c>
    </row>
    <row r="5317" spans="1:2" x14ac:dyDescent="0.35">
      <c r="A5317">
        <v>104</v>
      </c>
      <c r="B5317" t="s">
        <v>38</v>
      </c>
    </row>
    <row r="5318" spans="1:2" x14ac:dyDescent="0.35">
      <c r="A5318">
        <v>104</v>
      </c>
      <c r="B5318">
        <v>0.84499999999999997</v>
      </c>
    </row>
    <row r="5319" spans="1:2" x14ac:dyDescent="0.35">
      <c r="A5319">
        <v>104</v>
      </c>
      <c r="B5319" t="s">
        <v>39</v>
      </c>
    </row>
    <row r="5320" spans="1:2" x14ac:dyDescent="0.35">
      <c r="A5320">
        <v>104</v>
      </c>
      <c r="B5320">
        <v>0.25900000000000001</v>
      </c>
    </row>
    <row r="5321" spans="1:2" x14ac:dyDescent="0.35">
      <c r="A5321">
        <v>104</v>
      </c>
      <c r="B5321" t="s">
        <v>40</v>
      </c>
    </row>
    <row r="5322" spans="1:2" x14ac:dyDescent="0.35">
      <c r="A5322">
        <v>104</v>
      </c>
      <c r="B5322" s="4">
        <v>0</v>
      </c>
    </row>
    <row r="5323" spans="1:2" x14ac:dyDescent="0.35">
      <c r="A5323">
        <v>104</v>
      </c>
      <c r="B5323" t="s">
        <v>41</v>
      </c>
    </row>
    <row r="5324" spans="1:2" x14ac:dyDescent="0.35">
      <c r="A5324">
        <v>104</v>
      </c>
      <c r="B5324" s="4">
        <v>12000000</v>
      </c>
    </row>
    <row r="5325" spans="1:2" x14ac:dyDescent="0.35">
      <c r="A5325">
        <v>104</v>
      </c>
      <c r="B5325" t="s">
        <v>42</v>
      </c>
    </row>
    <row r="5326" spans="1:2" x14ac:dyDescent="0.35">
      <c r="A5326">
        <v>104</v>
      </c>
      <c r="B5326" t="s">
        <v>46</v>
      </c>
    </row>
    <row r="5327" spans="1:2" x14ac:dyDescent="0.35">
      <c r="A5327">
        <v>103</v>
      </c>
      <c r="B5327" t="s">
        <v>27</v>
      </c>
    </row>
    <row r="5328" spans="1:2" x14ac:dyDescent="0.35">
      <c r="A5328">
        <v>103</v>
      </c>
      <c r="B5328" s="2">
        <v>0.47092000000000001</v>
      </c>
    </row>
    <row r="5329" spans="1:2" x14ac:dyDescent="0.35">
      <c r="A5329">
        <v>103</v>
      </c>
      <c r="B5329" t="s">
        <v>1</v>
      </c>
    </row>
    <row r="5330" spans="1:2" x14ac:dyDescent="0.35">
      <c r="A5330">
        <v>103</v>
      </c>
      <c r="B5330">
        <v>1.4159999999999999</v>
      </c>
    </row>
    <row r="5331" spans="1:2" x14ac:dyDescent="0.35">
      <c r="A5331">
        <v>103</v>
      </c>
      <c r="B5331" t="s">
        <v>28</v>
      </c>
    </row>
    <row r="5332" spans="1:2" x14ac:dyDescent="0.35">
      <c r="A5332">
        <v>103</v>
      </c>
      <c r="B5332">
        <v>283</v>
      </c>
    </row>
    <row r="5333" spans="1:2" x14ac:dyDescent="0.35">
      <c r="A5333">
        <v>103</v>
      </c>
      <c r="B5333" t="s">
        <v>25</v>
      </c>
    </row>
    <row r="5334" spans="1:2" x14ac:dyDescent="0.35">
      <c r="A5334">
        <v>103</v>
      </c>
      <c r="B5334" s="2">
        <v>0.1166</v>
      </c>
    </row>
    <row r="5335" spans="1:2" x14ac:dyDescent="0.35">
      <c r="A5335">
        <v>103</v>
      </c>
      <c r="B5335" t="s">
        <v>29</v>
      </c>
    </row>
    <row r="5336" spans="1:2" x14ac:dyDescent="0.35">
      <c r="A5336">
        <v>103</v>
      </c>
      <c r="B5336" s="2">
        <v>-7.51E-2</v>
      </c>
    </row>
    <row r="5337" spans="1:2" x14ac:dyDescent="0.35">
      <c r="A5337">
        <v>103</v>
      </c>
      <c r="B5337" t="s">
        <v>30</v>
      </c>
    </row>
    <row r="5338" spans="1:2" x14ac:dyDescent="0.35">
      <c r="A5338">
        <v>103</v>
      </c>
      <c r="B5338" s="2">
        <v>0.86343000000000003</v>
      </c>
    </row>
    <row r="5339" spans="1:2" x14ac:dyDescent="0.35">
      <c r="A5339">
        <v>103</v>
      </c>
      <c r="B5339" t="s">
        <v>8</v>
      </c>
    </row>
    <row r="5340" spans="1:2" x14ac:dyDescent="0.35">
      <c r="A5340">
        <v>103</v>
      </c>
      <c r="B5340" s="2">
        <v>0.49099999999999999</v>
      </c>
    </row>
    <row r="5341" spans="1:2" x14ac:dyDescent="0.35">
      <c r="A5341">
        <v>103</v>
      </c>
      <c r="B5341" t="s">
        <v>31</v>
      </c>
    </row>
    <row r="5342" spans="1:2" x14ac:dyDescent="0.35">
      <c r="A5342">
        <v>103</v>
      </c>
      <c r="B5342">
        <v>0.70099999999999996</v>
      </c>
    </row>
    <row r="5343" spans="1:2" x14ac:dyDescent="0.35">
      <c r="A5343">
        <v>103</v>
      </c>
      <c r="B5343" t="s">
        <v>32</v>
      </c>
    </row>
    <row r="5344" spans="1:2" x14ac:dyDescent="0.35">
      <c r="A5344">
        <v>103</v>
      </c>
      <c r="B5344" s="2">
        <v>0.49281000000000003</v>
      </c>
    </row>
    <row r="5345" spans="1:2" x14ac:dyDescent="0.35">
      <c r="A5345">
        <v>103</v>
      </c>
      <c r="B5345" t="s">
        <v>33</v>
      </c>
    </row>
    <row r="5346" spans="1:2" x14ac:dyDescent="0.35">
      <c r="A5346">
        <v>103</v>
      </c>
      <c r="B5346" s="3">
        <v>0.33</v>
      </c>
    </row>
    <row r="5347" spans="1:2" x14ac:dyDescent="0.35">
      <c r="A5347">
        <v>103</v>
      </c>
      <c r="B5347" t="s">
        <v>34</v>
      </c>
    </row>
    <row r="5348" spans="1:2" x14ac:dyDescent="0.35">
      <c r="A5348">
        <v>103</v>
      </c>
      <c r="B5348" s="3">
        <v>0.67</v>
      </c>
    </row>
    <row r="5349" spans="1:2" x14ac:dyDescent="0.35">
      <c r="A5349">
        <v>103</v>
      </c>
      <c r="B5349" t="s">
        <v>26</v>
      </c>
    </row>
    <row r="5350" spans="1:2" x14ac:dyDescent="0.35">
      <c r="A5350">
        <v>103</v>
      </c>
      <c r="B5350">
        <v>1.55</v>
      </c>
    </row>
    <row r="5351" spans="1:2" x14ac:dyDescent="0.35">
      <c r="A5351">
        <v>103</v>
      </c>
      <c r="B5351" t="s">
        <v>23</v>
      </c>
    </row>
    <row r="5352" spans="1:2" x14ac:dyDescent="0.35">
      <c r="A5352">
        <v>103</v>
      </c>
      <c r="B5352">
        <v>0.92400000000000004</v>
      </c>
    </row>
    <row r="5353" spans="1:2" x14ac:dyDescent="0.35">
      <c r="A5353">
        <v>103</v>
      </c>
      <c r="B5353" t="s">
        <v>24</v>
      </c>
    </row>
    <row r="5354" spans="1:2" x14ac:dyDescent="0.35">
      <c r="A5354">
        <v>103</v>
      </c>
      <c r="B5354">
        <v>4.7430000000000003</v>
      </c>
    </row>
    <row r="5355" spans="1:2" x14ac:dyDescent="0.35">
      <c r="A5355">
        <v>103</v>
      </c>
      <c r="B5355" t="s">
        <v>35</v>
      </c>
    </row>
    <row r="5356" spans="1:2" x14ac:dyDescent="0.35">
      <c r="A5356">
        <v>103</v>
      </c>
      <c r="B5356">
        <v>0.86699999999999999</v>
      </c>
    </row>
    <row r="5357" spans="1:2" x14ac:dyDescent="0.35">
      <c r="A5357">
        <v>103</v>
      </c>
      <c r="B5357" t="s">
        <v>36</v>
      </c>
    </row>
    <row r="5358" spans="1:2" x14ac:dyDescent="0.35">
      <c r="A5358">
        <v>103</v>
      </c>
      <c r="B5358">
        <v>0.751</v>
      </c>
    </row>
    <row r="5359" spans="1:2" x14ac:dyDescent="0.35">
      <c r="A5359">
        <v>103</v>
      </c>
      <c r="B5359" t="s">
        <v>37</v>
      </c>
    </row>
    <row r="5360" spans="1:2" x14ac:dyDescent="0.35">
      <c r="A5360">
        <v>103</v>
      </c>
      <c r="B5360">
        <v>1.3779999999999999</v>
      </c>
    </row>
    <row r="5361" spans="1:2" x14ac:dyDescent="0.35">
      <c r="A5361">
        <v>103</v>
      </c>
      <c r="B5361" t="s">
        <v>38</v>
      </c>
    </row>
    <row r="5362" spans="1:2" x14ac:dyDescent="0.35">
      <c r="A5362">
        <v>103</v>
      </c>
      <c r="B5362">
        <v>0.84499999999999997</v>
      </c>
    </row>
    <row r="5363" spans="1:2" x14ac:dyDescent="0.35">
      <c r="A5363">
        <v>103</v>
      </c>
      <c r="B5363" t="s">
        <v>39</v>
      </c>
    </row>
    <row r="5364" spans="1:2" x14ac:dyDescent="0.35">
      <c r="A5364">
        <v>103</v>
      </c>
      <c r="B5364">
        <v>0.25900000000000001</v>
      </c>
    </row>
    <row r="5365" spans="1:2" x14ac:dyDescent="0.35">
      <c r="A5365">
        <v>103</v>
      </c>
      <c r="B5365" t="s">
        <v>40</v>
      </c>
    </row>
    <row r="5366" spans="1:2" x14ac:dyDescent="0.35">
      <c r="A5366">
        <v>103</v>
      </c>
      <c r="B5366" s="4">
        <v>0</v>
      </c>
    </row>
    <row r="5367" spans="1:2" x14ac:dyDescent="0.35">
      <c r="A5367">
        <v>103</v>
      </c>
      <c r="B5367" t="s">
        <v>41</v>
      </c>
    </row>
    <row r="5368" spans="1:2" x14ac:dyDescent="0.35">
      <c r="A5368">
        <v>103</v>
      </c>
      <c r="B5368" s="4">
        <v>12000000</v>
      </c>
    </row>
    <row r="5369" spans="1:2" x14ac:dyDescent="0.35">
      <c r="A5369">
        <v>103</v>
      </c>
      <c r="B5369" t="s">
        <v>42</v>
      </c>
    </row>
    <row r="5370" spans="1:2" x14ac:dyDescent="0.35">
      <c r="A5370">
        <v>103</v>
      </c>
      <c r="B5370" t="s">
        <v>46</v>
      </c>
    </row>
    <row r="5371" spans="1:2" x14ac:dyDescent="0.35">
      <c r="A5371">
        <v>102</v>
      </c>
      <c r="B5371" t="s">
        <v>27</v>
      </c>
    </row>
    <row r="5372" spans="1:2" x14ac:dyDescent="0.35">
      <c r="A5372">
        <v>102</v>
      </c>
      <c r="B5372" s="2">
        <v>0.47092000000000001</v>
      </c>
    </row>
    <row r="5373" spans="1:2" x14ac:dyDescent="0.35">
      <c r="A5373">
        <v>102</v>
      </c>
      <c r="B5373" t="s">
        <v>1</v>
      </c>
    </row>
    <row r="5374" spans="1:2" x14ac:dyDescent="0.35">
      <c r="A5374">
        <v>102</v>
      </c>
      <c r="B5374">
        <v>1.4159999999999999</v>
      </c>
    </row>
    <row r="5375" spans="1:2" x14ac:dyDescent="0.35">
      <c r="A5375">
        <v>102</v>
      </c>
      <c r="B5375" t="s">
        <v>28</v>
      </c>
    </row>
    <row r="5376" spans="1:2" x14ac:dyDescent="0.35">
      <c r="A5376">
        <v>102</v>
      </c>
      <c r="B5376">
        <v>283</v>
      </c>
    </row>
    <row r="5377" spans="1:2" x14ac:dyDescent="0.35">
      <c r="A5377">
        <v>102</v>
      </c>
      <c r="B5377" t="s">
        <v>25</v>
      </c>
    </row>
    <row r="5378" spans="1:2" x14ac:dyDescent="0.35">
      <c r="A5378">
        <v>102</v>
      </c>
      <c r="B5378" s="2">
        <v>0.1166</v>
      </c>
    </row>
    <row r="5379" spans="1:2" x14ac:dyDescent="0.35">
      <c r="A5379">
        <v>102</v>
      </c>
      <c r="B5379" t="s">
        <v>29</v>
      </c>
    </row>
    <row r="5380" spans="1:2" x14ac:dyDescent="0.35">
      <c r="A5380">
        <v>102</v>
      </c>
      <c r="B5380" s="2">
        <v>-7.51E-2</v>
      </c>
    </row>
    <row r="5381" spans="1:2" x14ac:dyDescent="0.35">
      <c r="A5381">
        <v>102</v>
      </c>
      <c r="B5381" t="s">
        <v>30</v>
      </c>
    </row>
    <row r="5382" spans="1:2" x14ac:dyDescent="0.35">
      <c r="A5382">
        <v>102</v>
      </c>
      <c r="B5382" s="2">
        <v>0.86343000000000003</v>
      </c>
    </row>
    <row r="5383" spans="1:2" x14ac:dyDescent="0.35">
      <c r="A5383">
        <v>102</v>
      </c>
      <c r="B5383" t="s">
        <v>8</v>
      </c>
    </row>
    <row r="5384" spans="1:2" x14ac:dyDescent="0.35">
      <c r="A5384">
        <v>102</v>
      </c>
      <c r="B5384" s="2">
        <v>0.49099999999999999</v>
      </c>
    </row>
    <row r="5385" spans="1:2" x14ac:dyDescent="0.35">
      <c r="A5385">
        <v>102</v>
      </c>
      <c r="B5385" t="s">
        <v>31</v>
      </c>
    </row>
    <row r="5386" spans="1:2" x14ac:dyDescent="0.35">
      <c r="A5386">
        <v>102</v>
      </c>
      <c r="B5386">
        <v>0.70099999999999996</v>
      </c>
    </row>
    <row r="5387" spans="1:2" x14ac:dyDescent="0.35">
      <c r="A5387">
        <v>102</v>
      </c>
      <c r="B5387" t="s">
        <v>32</v>
      </c>
    </row>
    <row r="5388" spans="1:2" x14ac:dyDescent="0.35">
      <c r="A5388">
        <v>102</v>
      </c>
      <c r="B5388" s="2">
        <v>0.49281000000000003</v>
      </c>
    </row>
    <row r="5389" spans="1:2" x14ac:dyDescent="0.35">
      <c r="A5389">
        <v>102</v>
      </c>
      <c r="B5389" t="s">
        <v>33</v>
      </c>
    </row>
    <row r="5390" spans="1:2" x14ac:dyDescent="0.35">
      <c r="A5390">
        <v>102</v>
      </c>
      <c r="B5390" s="3">
        <v>0.33</v>
      </c>
    </row>
    <row r="5391" spans="1:2" x14ac:dyDescent="0.35">
      <c r="A5391">
        <v>102</v>
      </c>
      <c r="B5391" t="s">
        <v>34</v>
      </c>
    </row>
    <row r="5392" spans="1:2" x14ac:dyDescent="0.35">
      <c r="A5392">
        <v>102</v>
      </c>
      <c r="B5392" s="3">
        <v>0.67</v>
      </c>
    </row>
    <row r="5393" spans="1:2" x14ac:dyDescent="0.35">
      <c r="A5393">
        <v>102</v>
      </c>
      <c r="B5393" t="s">
        <v>26</v>
      </c>
    </row>
    <row r="5394" spans="1:2" x14ac:dyDescent="0.35">
      <c r="A5394">
        <v>102</v>
      </c>
      <c r="B5394">
        <v>1.55</v>
      </c>
    </row>
    <row r="5395" spans="1:2" x14ac:dyDescent="0.35">
      <c r="A5395">
        <v>102</v>
      </c>
      <c r="B5395" t="s">
        <v>23</v>
      </c>
    </row>
    <row r="5396" spans="1:2" x14ac:dyDescent="0.35">
      <c r="A5396">
        <v>102</v>
      </c>
      <c r="B5396">
        <v>0.92400000000000004</v>
      </c>
    </row>
    <row r="5397" spans="1:2" x14ac:dyDescent="0.35">
      <c r="A5397">
        <v>102</v>
      </c>
      <c r="B5397" t="s">
        <v>24</v>
      </c>
    </row>
    <row r="5398" spans="1:2" x14ac:dyDescent="0.35">
      <c r="A5398">
        <v>102</v>
      </c>
      <c r="B5398">
        <v>4.7430000000000003</v>
      </c>
    </row>
    <row r="5399" spans="1:2" x14ac:dyDescent="0.35">
      <c r="A5399">
        <v>102</v>
      </c>
      <c r="B5399" t="s">
        <v>35</v>
      </c>
    </row>
    <row r="5400" spans="1:2" x14ac:dyDescent="0.35">
      <c r="A5400">
        <v>102</v>
      </c>
      <c r="B5400">
        <v>0.86699999999999999</v>
      </c>
    </row>
    <row r="5401" spans="1:2" x14ac:dyDescent="0.35">
      <c r="A5401">
        <v>102</v>
      </c>
      <c r="B5401" t="s">
        <v>36</v>
      </c>
    </row>
    <row r="5402" spans="1:2" x14ac:dyDescent="0.35">
      <c r="A5402">
        <v>102</v>
      </c>
      <c r="B5402">
        <v>0.751</v>
      </c>
    </row>
    <row r="5403" spans="1:2" x14ac:dyDescent="0.35">
      <c r="A5403">
        <v>102</v>
      </c>
      <c r="B5403" t="s">
        <v>37</v>
      </c>
    </row>
    <row r="5404" spans="1:2" x14ac:dyDescent="0.35">
      <c r="A5404">
        <v>102</v>
      </c>
      <c r="B5404">
        <v>1.3779999999999999</v>
      </c>
    </row>
    <row r="5405" spans="1:2" x14ac:dyDescent="0.35">
      <c r="A5405">
        <v>102</v>
      </c>
      <c r="B5405" t="s">
        <v>38</v>
      </c>
    </row>
    <row r="5406" spans="1:2" x14ac:dyDescent="0.35">
      <c r="A5406">
        <v>102</v>
      </c>
      <c r="B5406">
        <v>0.84499999999999997</v>
      </c>
    </row>
    <row r="5407" spans="1:2" x14ac:dyDescent="0.35">
      <c r="A5407">
        <v>102</v>
      </c>
      <c r="B5407" t="s">
        <v>39</v>
      </c>
    </row>
    <row r="5408" spans="1:2" x14ac:dyDescent="0.35">
      <c r="A5408">
        <v>102</v>
      </c>
      <c r="B5408">
        <v>0.25900000000000001</v>
      </c>
    </row>
    <row r="5409" spans="1:2" x14ac:dyDescent="0.35">
      <c r="A5409">
        <v>102</v>
      </c>
      <c r="B5409" t="s">
        <v>40</v>
      </c>
    </row>
    <row r="5410" spans="1:2" x14ac:dyDescent="0.35">
      <c r="A5410">
        <v>102</v>
      </c>
      <c r="B5410" s="4">
        <v>0</v>
      </c>
    </row>
    <row r="5411" spans="1:2" x14ac:dyDescent="0.35">
      <c r="A5411">
        <v>102</v>
      </c>
      <c r="B5411" t="s">
        <v>41</v>
      </c>
    </row>
    <row r="5412" spans="1:2" x14ac:dyDescent="0.35">
      <c r="A5412">
        <v>102</v>
      </c>
      <c r="B5412" s="4">
        <v>12000000</v>
      </c>
    </row>
    <row r="5413" spans="1:2" x14ac:dyDescent="0.35">
      <c r="A5413">
        <v>102</v>
      </c>
      <c r="B5413" t="s">
        <v>42</v>
      </c>
    </row>
    <row r="5414" spans="1:2" x14ac:dyDescent="0.35">
      <c r="A5414">
        <v>102</v>
      </c>
      <c r="B5414" t="s">
        <v>46</v>
      </c>
    </row>
    <row r="5415" spans="1:2" x14ac:dyDescent="0.35">
      <c r="A5415">
        <v>101</v>
      </c>
      <c r="B5415" t="s">
        <v>27</v>
      </c>
    </row>
    <row r="5416" spans="1:2" x14ac:dyDescent="0.35">
      <c r="A5416">
        <v>101</v>
      </c>
      <c r="B5416" s="2">
        <v>0.47092000000000001</v>
      </c>
    </row>
    <row r="5417" spans="1:2" x14ac:dyDescent="0.35">
      <c r="A5417">
        <v>101</v>
      </c>
      <c r="B5417" t="s">
        <v>1</v>
      </c>
    </row>
    <row r="5418" spans="1:2" x14ac:dyDescent="0.35">
      <c r="A5418">
        <v>101</v>
      </c>
      <c r="B5418">
        <v>1.4159999999999999</v>
      </c>
    </row>
    <row r="5419" spans="1:2" x14ac:dyDescent="0.35">
      <c r="A5419">
        <v>101</v>
      </c>
      <c r="B5419" t="s">
        <v>28</v>
      </c>
    </row>
    <row r="5420" spans="1:2" x14ac:dyDescent="0.35">
      <c r="A5420">
        <v>101</v>
      </c>
      <c r="B5420">
        <v>283</v>
      </c>
    </row>
    <row r="5421" spans="1:2" x14ac:dyDescent="0.35">
      <c r="A5421">
        <v>101</v>
      </c>
      <c r="B5421" t="s">
        <v>25</v>
      </c>
    </row>
    <row r="5422" spans="1:2" x14ac:dyDescent="0.35">
      <c r="A5422">
        <v>101</v>
      </c>
      <c r="B5422" s="2">
        <v>0.1166</v>
      </c>
    </row>
    <row r="5423" spans="1:2" x14ac:dyDescent="0.35">
      <c r="A5423">
        <v>101</v>
      </c>
      <c r="B5423" t="s">
        <v>29</v>
      </c>
    </row>
    <row r="5424" spans="1:2" x14ac:dyDescent="0.35">
      <c r="A5424">
        <v>101</v>
      </c>
      <c r="B5424" s="2">
        <v>-7.51E-2</v>
      </c>
    </row>
    <row r="5425" spans="1:2" x14ac:dyDescent="0.35">
      <c r="A5425">
        <v>101</v>
      </c>
      <c r="B5425" t="s">
        <v>30</v>
      </c>
    </row>
    <row r="5426" spans="1:2" x14ac:dyDescent="0.35">
      <c r="A5426">
        <v>101</v>
      </c>
      <c r="B5426" s="2">
        <v>0.86343000000000003</v>
      </c>
    </row>
    <row r="5427" spans="1:2" x14ac:dyDescent="0.35">
      <c r="A5427">
        <v>101</v>
      </c>
      <c r="B5427" t="s">
        <v>8</v>
      </c>
    </row>
    <row r="5428" spans="1:2" x14ac:dyDescent="0.35">
      <c r="A5428">
        <v>101</v>
      </c>
      <c r="B5428" s="2">
        <v>0.49099999999999999</v>
      </c>
    </row>
    <row r="5429" spans="1:2" x14ac:dyDescent="0.35">
      <c r="A5429">
        <v>101</v>
      </c>
      <c r="B5429" t="s">
        <v>31</v>
      </c>
    </row>
    <row r="5430" spans="1:2" x14ac:dyDescent="0.35">
      <c r="A5430">
        <v>101</v>
      </c>
      <c r="B5430">
        <v>0.70099999999999996</v>
      </c>
    </row>
    <row r="5431" spans="1:2" x14ac:dyDescent="0.35">
      <c r="A5431">
        <v>101</v>
      </c>
      <c r="B5431" t="s">
        <v>32</v>
      </c>
    </row>
    <row r="5432" spans="1:2" x14ac:dyDescent="0.35">
      <c r="A5432">
        <v>101</v>
      </c>
      <c r="B5432" s="2">
        <v>0.49281000000000003</v>
      </c>
    </row>
    <row r="5433" spans="1:2" x14ac:dyDescent="0.35">
      <c r="A5433">
        <v>101</v>
      </c>
      <c r="B5433" t="s">
        <v>33</v>
      </c>
    </row>
    <row r="5434" spans="1:2" x14ac:dyDescent="0.35">
      <c r="A5434">
        <v>101</v>
      </c>
      <c r="B5434" s="3">
        <v>0.33</v>
      </c>
    </row>
    <row r="5435" spans="1:2" x14ac:dyDescent="0.35">
      <c r="A5435">
        <v>101</v>
      </c>
      <c r="B5435" t="s">
        <v>34</v>
      </c>
    </row>
    <row r="5436" spans="1:2" x14ac:dyDescent="0.35">
      <c r="A5436">
        <v>101</v>
      </c>
      <c r="B5436" s="3">
        <v>0.67</v>
      </c>
    </row>
    <row r="5437" spans="1:2" x14ac:dyDescent="0.35">
      <c r="A5437">
        <v>101</v>
      </c>
      <c r="B5437" t="s">
        <v>26</v>
      </c>
    </row>
    <row r="5438" spans="1:2" x14ac:dyDescent="0.35">
      <c r="A5438">
        <v>101</v>
      </c>
      <c r="B5438">
        <v>1.55</v>
      </c>
    </row>
    <row r="5439" spans="1:2" x14ac:dyDescent="0.35">
      <c r="A5439">
        <v>101</v>
      </c>
      <c r="B5439" t="s">
        <v>23</v>
      </c>
    </row>
    <row r="5440" spans="1:2" x14ac:dyDescent="0.35">
      <c r="A5440">
        <v>101</v>
      </c>
      <c r="B5440">
        <v>0.92400000000000004</v>
      </c>
    </row>
    <row r="5441" spans="1:2" x14ac:dyDescent="0.35">
      <c r="A5441">
        <v>101</v>
      </c>
      <c r="B5441" t="s">
        <v>24</v>
      </c>
    </row>
    <row r="5442" spans="1:2" x14ac:dyDescent="0.35">
      <c r="A5442">
        <v>101</v>
      </c>
      <c r="B5442">
        <v>4.7430000000000003</v>
      </c>
    </row>
    <row r="5443" spans="1:2" x14ac:dyDescent="0.35">
      <c r="A5443">
        <v>101</v>
      </c>
      <c r="B5443" t="s">
        <v>35</v>
      </c>
    </row>
    <row r="5444" spans="1:2" x14ac:dyDescent="0.35">
      <c r="A5444">
        <v>101</v>
      </c>
      <c r="B5444">
        <v>0.86699999999999999</v>
      </c>
    </row>
    <row r="5445" spans="1:2" x14ac:dyDescent="0.35">
      <c r="A5445">
        <v>101</v>
      </c>
      <c r="B5445" t="s">
        <v>36</v>
      </c>
    </row>
    <row r="5446" spans="1:2" x14ac:dyDescent="0.35">
      <c r="A5446">
        <v>101</v>
      </c>
      <c r="B5446">
        <v>0.751</v>
      </c>
    </row>
    <row r="5447" spans="1:2" x14ac:dyDescent="0.35">
      <c r="A5447">
        <v>101</v>
      </c>
      <c r="B5447" t="s">
        <v>37</v>
      </c>
    </row>
    <row r="5448" spans="1:2" x14ac:dyDescent="0.35">
      <c r="A5448">
        <v>101</v>
      </c>
      <c r="B5448">
        <v>1.3779999999999999</v>
      </c>
    </row>
    <row r="5449" spans="1:2" x14ac:dyDescent="0.35">
      <c r="A5449">
        <v>101</v>
      </c>
      <c r="B5449" t="s">
        <v>38</v>
      </c>
    </row>
    <row r="5450" spans="1:2" x14ac:dyDescent="0.35">
      <c r="A5450">
        <v>101</v>
      </c>
      <c r="B5450">
        <v>0.84499999999999997</v>
      </c>
    </row>
    <row r="5451" spans="1:2" x14ac:dyDescent="0.35">
      <c r="A5451">
        <v>101</v>
      </c>
      <c r="B5451" t="s">
        <v>39</v>
      </c>
    </row>
    <row r="5452" spans="1:2" x14ac:dyDescent="0.35">
      <c r="A5452">
        <v>101</v>
      </c>
      <c r="B5452">
        <v>0.25900000000000001</v>
      </c>
    </row>
    <row r="5453" spans="1:2" x14ac:dyDescent="0.35">
      <c r="A5453">
        <v>101</v>
      </c>
      <c r="B5453" t="s">
        <v>40</v>
      </c>
    </row>
    <row r="5454" spans="1:2" x14ac:dyDescent="0.35">
      <c r="A5454">
        <v>101</v>
      </c>
      <c r="B5454" s="4">
        <v>0</v>
      </c>
    </row>
    <row r="5455" spans="1:2" x14ac:dyDescent="0.35">
      <c r="A5455">
        <v>101</v>
      </c>
      <c r="B5455" t="s">
        <v>41</v>
      </c>
    </row>
    <row r="5456" spans="1:2" x14ac:dyDescent="0.35">
      <c r="A5456">
        <v>101</v>
      </c>
      <c r="B5456" s="4">
        <v>12000000</v>
      </c>
    </row>
    <row r="5457" spans="1:2" x14ac:dyDescent="0.35">
      <c r="A5457">
        <v>101</v>
      </c>
      <c r="B5457" t="s">
        <v>42</v>
      </c>
    </row>
    <row r="5458" spans="1:2" x14ac:dyDescent="0.35">
      <c r="A5458">
        <v>101</v>
      </c>
      <c r="B5458" t="s">
        <v>46</v>
      </c>
    </row>
    <row r="5459" spans="1:2" x14ac:dyDescent="0.35">
      <c r="A5459">
        <v>100</v>
      </c>
      <c r="B5459" t="s">
        <v>27</v>
      </c>
    </row>
    <row r="5460" spans="1:2" x14ac:dyDescent="0.35">
      <c r="A5460">
        <v>100</v>
      </c>
      <c r="B5460" s="2">
        <v>0.47092000000000001</v>
      </c>
    </row>
    <row r="5461" spans="1:2" x14ac:dyDescent="0.35">
      <c r="A5461">
        <v>100</v>
      </c>
      <c r="B5461" t="s">
        <v>1</v>
      </c>
    </row>
    <row r="5462" spans="1:2" x14ac:dyDescent="0.35">
      <c r="A5462">
        <v>100</v>
      </c>
      <c r="B5462">
        <v>1.4159999999999999</v>
      </c>
    </row>
    <row r="5463" spans="1:2" x14ac:dyDescent="0.35">
      <c r="A5463">
        <v>100</v>
      </c>
      <c r="B5463" t="s">
        <v>28</v>
      </c>
    </row>
    <row r="5464" spans="1:2" x14ac:dyDescent="0.35">
      <c r="A5464">
        <v>100</v>
      </c>
      <c r="B5464">
        <v>283</v>
      </c>
    </row>
    <row r="5465" spans="1:2" x14ac:dyDescent="0.35">
      <c r="A5465">
        <v>100</v>
      </c>
      <c r="B5465" t="s">
        <v>25</v>
      </c>
    </row>
    <row r="5466" spans="1:2" x14ac:dyDescent="0.35">
      <c r="A5466">
        <v>100</v>
      </c>
      <c r="B5466" s="2">
        <v>0.1166</v>
      </c>
    </row>
    <row r="5467" spans="1:2" x14ac:dyDescent="0.35">
      <c r="A5467">
        <v>100</v>
      </c>
      <c r="B5467" t="s">
        <v>29</v>
      </c>
    </row>
    <row r="5468" spans="1:2" x14ac:dyDescent="0.35">
      <c r="A5468">
        <v>100</v>
      </c>
      <c r="B5468" s="2">
        <v>-7.51E-2</v>
      </c>
    </row>
    <row r="5469" spans="1:2" x14ac:dyDescent="0.35">
      <c r="A5469">
        <v>100</v>
      </c>
      <c r="B5469" t="s">
        <v>30</v>
      </c>
    </row>
    <row r="5470" spans="1:2" x14ac:dyDescent="0.35">
      <c r="A5470">
        <v>100</v>
      </c>
      <c r="B5470" s="2">
        <v>0.86343000000000003</v>
      </c>
    </row>
    <row r="5471" spans="1:2" x14ac:dyDescent="0.35">
      <c r="A5471">
        <v>100</v>
      </c>
      <c r="B5471" t="s">
        <v>8</v>
      </c>
    </row>
    <row r="5472" spans="1:2" x14ac:dyDescent="0.35">
      <c r="A5472">
        <v>100</v>
      </c>
      <c r="B5472" s="2">
        <v>0.49099999999999999</v>
      </c>
    </row>
    <row r="5473" spans="1:2" x14ac:dyDescent="0.35">
      <c r="A5473">
        <v>100</v>
      </c>
      <c r="B5473" t="s">
        <v>31</v>
      </c>
    </row>
    <row r="5474" spans="1:2" x14ac:dyDescent="0.35">
      <c r="A5474">
        <v>100</v>
      </c>
      <c r="B5474">
        <v>0.70099999999999996</v>
      </c>
    </row>
    <row r="5475" spans="1:2" x14ac:dyDescent="0.35">
      <c r="A5475">
        <v>100</v>
      </c>
      <c r="B5475" t="s">
        <v>32</v>
      </c>
    </row>
    <row r="5476" spans="1:2" x14ac:dyDescent="0.35">
      <c r="A5476">
        <v>100</v>
      </c>
      <c r="B5476" s="2">
        <v>0.49281000000000003</v>
      </c>
    </row>
    <row r="5477" spans="1:2" x14ac:dyDescent="0.35">
      <c r="A5477">
        <v>100</v>
      </c>
      <c r="B5477" t="s">
        <v>33</v>
      </c>
    </row>
    <row r="5478" spans="1:2" x14ac:dyDescent="0.35">
      <c r="A5478">
        <v>100</v>
      </c>
      <c r="B5478" s="3">
        <v>0.33</v>
      </c>
    </row>
    <row r="5479" spans="1:2" x14ac:dyDescent="0.35">
      <c r="A5479">
        <v>100</v>
      </c>
      <c r="B5479" t="s">
        <v>34</v>
      </c>
    </row>
    <row r="5480" spans="1:2" x14ac:dyDescent="0.35">
      <c r="A5480">
        <v>100</v>
      </c>
      <c r="B5480" s="3">
        <v>0.67</v>
      </c>
    </row>
    <row r="5481" spans="1:2" x14ac:dyDescent="0.35">
      <c r="A5481">
        <v>100</v>
      </c>
      <c r="B5481" t="s">
        <v>26</v>
      </c>
    </row>
    <row r="5482" spans="1:2" x14ac:dyDescent="0.35">
      <c r="A5482">
        <v>100</v>
      </c>
      <c r="B5482">
        <v>1.55</v>
      </c>
    </row>
    <row r="5483" spans="1:2" x14ac:dyDescent="0.35">
      <c r="A5483">
        <v>100</v>
      </c>
      <c r="B5483" t="s">
        <v>23</v>
      </c>
    </row>
    <row r="5484" spans="1:2" x14ac:dyDescent="0.35">
      <c r="A5484">
        <v>100</v>
      </c>
      <c r="B5484">
        <v>0.92400000000000004</v>
      </c>
    </row>
    <row r="5485" spans="1:2" x14ac:dyDescent="0.35">
      <c r="A5485">
        <v>100</v>
      </c>
      <c r="B5485" t="s">
        <v>24</v>
      </c>
    </row>
    <row r="5486" spans="1:2" x14ac:dyDescent="0.35">
      <c r="A5486">
        <v>100</v>
      </c>
      <c r="B5486">
        <v>4.7430000000000003</v>
      </c>
    </row>
    <row r="5487" spans="1:2" x14ac:dyDescent="0.35">
      <c r="A5487">
        <v>100</v>
      </c>
      <c r="B5487" t="s">
        <v>35</v>
      </c>
    </row>
    <row r="5488" spans="1:2" x14ac:dyDescent="0.35">
      <c r="A5488">
        <v>100</v>
      </c>
      <c r="B5488">
        <v>0.86699999999999999</v>
      </c>
    </row>
    <row r="5489" spans="1:2" x14ac:dyDescent="0.35">
      <c r="A5489">
        <v>100</v>
      </c>
      <c r="B5489" t="s">
        <v>36</v>
      </c>
    </row>
    <row r="5490" spans="1:2" x14ac:dyDescent="0.35">
      <c r="A5490">
        <v>100</v>
      </c>
      <c r="B5490">
        <v>0.751</v>
      </c>
    </row>
    <row r="5491" spans="1:2" x14ac:dyDescent="0.35">
      <c r="A5491">
        <v>100</v>
      </c>
      <c r="B5491" t="s">
        <v>37</v>
      </c>
    </row>
    <row r="5492" spans="1:2" x14ac:dyDescent="0.35">
      <c r="A5492">
        <v>100</v>
      </c>
      <c r="B5492">
        <v>1.3779999999999999</v>
      </c>
    </row>
    <row r="5493" spans="1:2" x14ac:dyDescent="0.35">
      <c r="A5493">
        <v>100</v>
      </c>
      <c r="B5493" t="s">
        <v>38</v>
      </c>
    </row>
    <row r="5494" spans="1:2" x14ac:dyDescent="0.35">
      <c r="A5494">
        <v>100</v>
      </c>
      <c r="B5494">
        <v>0.84499999999999997</v>
      </c>
    </row>
    <row r="5495" spans="1:2" x14ac:dyDescent="0.35">
      <c r="A5495">
        <v>100</v>
      </c>
      <c r="B5495" t="s">
        <v>39</v>
      </c>
    </row>
    <row r="5496" spans="1:2" x14ac:dyDescent="0.35">
      <c r="A5496">
        <v>100</v>
      </c>
      <c r="B5496">
        <v>0.25900000000000001</v>
      </c>
    </row>
    <row r="5497" spans="1:2" x14ac:dyDescent="0.35">
      <c r="A5497">
        <v>100</v>
      </c>
      <c r="B5497" t="s">
        <v>40</v>
      </c>
    </row>
    <row r="5498" spans="1:2" x14ac:dyDescent="0.35">
      <c r="A5498">
        <v>100</v>
      </c>
      <c r="B5498" s="4">
        <v>0</v>
      </c>
    </row>
    <row r="5499" spans="1:2" x14ac:dyDescent="0.35">
      <c r="A5499">
        <v>100</v>
      </c>
      <c r="B5499" t="s">
        <v>41</v>
      </c>
    </row>
    <row r="5500" spans="1:2" x14ac:dyDescent="0.35">
      <c r="A5500">
        <v>100</v>
      </c>
      <c r="B5500" s="4">
        <v>12000000</v>
      </c>
    </row>
    <row r="5501" spans="1:2" x14ac:dyDescent="0.35">
      <c r="A5501">
        <v>100</v>
      </c>
      <c r="B5501" t="s">
        <v>42</v>
      </c>
    </row>
    <row r="5502" spans="1:2" x14ac:dyDescent="0.35">
      <c r="A5502">
        <v>100</v>
      </c>
      <c r="B5502" t="s">
        <v>46</v>
      </c>
    </row>
    <row r="5503" spans="1:2" x14ac:dyDescent="0.35">
      <c r="A5503">
        <v>99</v>
      </c>
      <c r="B5503" t="s">
        <v>27</v>
      </c>
    </row>
    <row r="5504" spans="1:2" x14ac:dyDescent="0.35">
      <c r="A5504">
        <v>99</v>
      </c>
      <c r="B5504" s="2">
        <v>0.47092000000000001</v>
      </c>
    </row>
    <row r="5505" spans="1:2" x14ac:dyDescent="0.35">
      <c r="A5505">
        <v>99</v>
      </c>
      <c r="B5505" t="s">
        <v>1</v>
      </c>
    </row>
    <row r="5506" spans="1:2" x14ac:dyDescent="0.35">
      <c r="A5506">
        <v>99</v>
      </c>
      <c r="B5506">
        <v>1.4159999999999999</v>
      </c>
    </row>
    <row r="5507" spans="1:2" x14ac:dyDescent="0.35">
      <c r="A5507">
        <v>99</v>
      </c>
      <c r="B5507" t="s">
        <v>28</v>
      </c>
    </row>
    <row r="5508" spans="1:2" x14ac:dyDescent="0.35">
      <c r="A5508">
        <v>99</v>
      </c>
      <c r="B5508">
        <v>283</v>
      </c>
    </row>
    <row r="5509" spans="1:2" x14ac:dyDescent="0.35">
      <c r="A5509">
        <v>99</v>
      </c>
      <c r="B5509" t="s">
        <v>25</v>
      </c>
    </row>
    <row r="5510" spans="1:2" x14ac:dyDescent="0.35">
      <c r="A5510">
        <v>99</v>
      </c>
      <c r="B5510" s="2">
        <v>0.1166</v>
      </c>
    </row>
    <row r="5511" spans="1:2" x14ac:dyDescent="0.35">
      <c r="A5511">
        <v>99</v>
      </c>
      <c r="B5511" t="s">
        <v>29</v>
      </c>
    </row>
    <row r="5512" spans="1:2" x14ac:dyDescent="0.35">
      <c r="A5512">
        <v>99</v>
      </c>
      <c r="B5512" s="2">
        <v>-7.51E-2</v>
      </c>
    </row>
    <row r="5513" spans="1:2" x14ac:dyDescent="0.35">
      <c r="A5513">
        <v>99</v>
      </c>
      <c r="B5513" t="s">
        <v>30</v>
      </c>
    </row>
    <row r="5514" spans="1:2" x14ac:dyDescent="0.35">
      <c r="A5514">
        <v>99</v>
      </c>
      <c r="B5514" s="2">
        <v>0.86343000000000003</v>
      </c>
    </row>
    <row r="5515" spans="1:2" x14ac:dyDescent="0.35">
      <c r="A5515">
        <v>99</v>
      </c>
      <c r="B5515" t="s">
        <v>8</v>
      </c>
    </row>
    <row r="5516" spans="1:2" x14ac:dyDescent="0.35">
      <c r="A5516">
        <v>99</v>
      </c>
      <c r="B5516" s="2">
        <v>0.49099999999999999</v>
      </c>
    </row>
    <row r="5517" spans="1:2" x14ac:dyDescent="0.35">
      <c r="A5517">
        <v>99</v>
      </c>
      <c r="B5517" t="s">
        <v>31</v>
      </c>
    </row>
    <row r="5518" spans="1:2" x14ac:dyDescent="0.35">
      <c r="A5518">
        <v>99</v>
      </c>
      <c r="B5518">
        <v>0.70099999999999996</v>
      </c>
    </row>
    <row r="5519" spans="1:2" x14ac:dyDescent="0.35">
      <c r="A5519">
        <v>99</v>
      </c>
      <c r="B5519" t="s">
        <v>32</v>
      </c>
    </row>
    <row r="5520" spans="1:2" x14ac:dyDescent="0.35">
      <c r="A5520">
        <v>99</v>
      </c>
      <c r="B5520" s="2">
        <v>0.49281000000000003</v>
      </c>
    </row>
    <row r="5521" spans="1:2" x14ac:dyDescent="0.35">
      <c r="A5521">
        <v>99</v>
      </c>
      <c r="B5521" t="s">
        <v>33</v>
      </c>
    </row>
    <row r="5522" spans="1:2" x14ac:dyDescent="0.35">
      <c r="A5522">
        <v>99</v>
      </c>
      <c r="B5522" s="3">
        <v>0.33</v>
      </c>
    </row>
    <row r="5523" spans="1:2" x14ac:dyDescent="0.35">
      <c r="A5523">
        <v>99</v>
      </c>
      <c r="B5523" t="s">
        <v>34</v>
      </c>
    </row>
    <row r="5524" spans="1:2" x14ac:dyDescent="0.35">
      <c r="A5524">
        <v>99</v>
      </c>
      <c r="B5524" s="3">
        <v>0.67</v>
      </c>
    </row>
    <row r="5525" spans="1:2" x14ac:dyDescent="0.35">
      <c r="A5525">
        <v>99</v>
      </c>
      <c r="B5525" t="s">
        <v>26</v>
      </c>
    </row>
    <row r="5526" spans="1:2" x14ac:dyDescent="0.35">
      <c r="A5526">
        <v>99</v>
      </c>
      <c r="B5526">
        <v>1.55</v>
      </c>
    </row>
    <row r="5527" spans="1:2" x14ac:dyDescent="0.35">
      <c r="A5527">
        <v>99</v>
      </c>
      <c r="B5527" t="s">
        <v>23</v>
      </c>
    </row>
    <row r="5528" spans="1:2" x14ac:dyDescent="0.35">
      <c r="A5528">
        <v>99</v>
      </c>
      <c r="B5528">
        <v>0.92400000000000004</v>
      </c>
    </row>
    <row r="5529" spans="1:2" x14ac:dyDescent="0.35">
      <c r="A5529">
        <v>99</v>
      </c>
      <c r="B5529" t="s">
        <v>24</v>
      </c>
    </row>
    <row r="5530" spans="1:2" x14ac:dyDescent="0.35">
      <c r="A5530">
        <v>99</v>
      </c>
      <c r="B5530">
        <v>4.7430000000000003</v>
      </c>
    </row>
    <row r="5531" spans="1:2" x14ac:dyDescent="0.35">
      <c r="A5531">
        <v>99</v>
      </c>
      <c r="B5531" t="s">
        <v>35</v>
      </c>
    </row>
    <row r="5532" spans="1:2" x14ac:dyDescent="0.35">
      <c r="A5532">
        <v>99</v>
      </c>
      <c r="B5532">
        <v>0.86699999999999999</v>
      </c>
    </row>
    <row r="5533" spans="1:2" x14ac:dyDescent="0.35">
      <c r="A5533">
        <v>99</v>
      </c>
      <c r="B5533" t="s">
        <v>36</v>
      </c>
    </row>
    <row r="5534" spans="1:2" x14ac:dyDescent="0.35">
      <c r="A5534">
        <v>99</v>
      </c>
      <c r="B5534">
        <v>0.751</v>
      </c>
    </row>
    <row r="5535" spans="1:2" x14ac:dyDescent="0.35">
      <c r="A5535">
        <v>99</v>
      </c>
      <c r="B5535" t="s">
        <v>37</v>
      </c>
    </row>
    <row r="5536" spans="1:2" x14ac:dyDescent="0.35">
      <c r="A5536">
        <v>99</v>
      </c>
      <c r="B5536">
        <v>1.3779999999999999</v>
      </c>
    </row>
    <row r="5537" spans="1:2" x14ac:dyDescent="0.35">
      <c r="A5537">
        <v>99</v>
      </c>
      <c r="B5537" t="s">
        <v>38</v>
      </c>
    </row>
    <row r="5538" spans="1:2" x14ac:dyDescent="0.35">
      <c r="A5538">
        <v>99</v>
      </c>
      <c r="B5538">
        <v>0.84499999999999997</v>
      </c>
    </row>
    <row r="5539" spans="1:2" x14ac:dyDescent="0.35">
      <c r="A5539">
        <v>99</v>
      </c>
      <c r="B5539" t="s">
        <v>39</v>
      </c>
    </row>
    <row r="5540" spans="1:2" x14ac:dyDescent="0.35">
      <c r="A5540">
        <v>99</v>
      </c>
      <c r="B5540">
        <v>0.25900000000000001</v>
      </c>
    </row>
    <row r="5541" spans="1:2" x14ac:dyDescent="0.35">
      <c r="A5541">
        <v>99</v>
      </c>
      <c r="B5541" t="s">
        <v>40</v>
      </c>
    </row>
    <row r="5542" spans="1:2" x14ac:dyDescent="0.35">
      <c r="A5542">
        <v>99</v>
      </c>
      <c r="B5542" s="4">
        <v>0</v>
      </c>
    </row>
    <row r="5543" spans="1:2" x14ac:dyDescent="0.35">
      <c r="A5543">
        <v>99</v>
      </c>
      <c r="B5543" t="s">
        <v>41</v>
      </c>
    </row>
    <row r="5544" spans="1:2" x14ac:dyDescent="0.35">
      <c r="A5544">
        <v>99</v>
      </c>
      <c r="B5544" s="4">
        <v>12000000</v>
      </c>
    </row>
    <row r="5545" spans="1:2" x14ac:dyDescent="0.35">
      <c r="A5545">
        <v>99</v>
      </c>
      <c r="B5545" t="s">
        <v>42</v>
      </c>
    </row>
    <row r="5546" spans="1:2" x14ac:dyDescent="0.35">
      <c r="A5546">
        <v>99</v>
      </c>
      <c r="B5546" t="s">
        <v>46</v>
      </c>
    </row>
    <row r="5547" spans="1:2" x14ac:dyDescent="0.35">
      <c r="A5547">
        <v>98</v>
      </c>
      <c r="B5547" t="s">
        <v>27</v>
      </c>
    </row>
    <row r="5548" spans="1:2" x14ac:dyDescent="0.35">
      <c r="A5548">
        <v>98</v>
      </c>
      <c r="B5548" s="2">
        <v>0.47092000000000001</v>
      </c>
    </row>
    <row r="5549" spans="1:2" x14ac:dyDescent="0.35">
      <c r="A5549">
        <v>98</v>
      </c>
      <c r="B5549" t="s">
        <v>1</v>
      </c>
    </row>
    <row r="5550" spans="1:2" x14ac:dyDescent="0.35">
      <c r="A5550">
        <v>98</v>
      </c>
      <c r="B5550">
        <v>1.4159999999999999</v>
      </c>
    </row>
    <row r="5551" spans="1:2" x14ac:dyDescent="0.35">
      <c r="A5551">
        <v>98</v>
      </c>
      <c r="B5551" t="s">
        <v>28</v>
      </c>
    </row>
    <row r="5552" spans="1:2" x14ac:dyDescent="0.35">
      <c r="A5552">
        <v>98</v>
      </c>
      <c r="B5552">
        <v>283</v>
      </c>
    </row>
    <row r="5553" spans="1:2" x14ac:dyDescent="0.35">
      <c r="A5553">
        <v>98</v>
      </c>
      <c r="B5553" t="s">
        <v>25</v>
      </c>
    </row>
    <row r="5554" spans="1:2" x14ac:dyDescent="0.35">
      <c r="A5554">
        <v>98</v>
      </c>
      <c r="B5554" s="2">
        <v>0.1166</v>
      </c>
    </row>
    <row r="5555" spans="1:2" x14ac:dyDescent="0.35">
      <c r="A5555">
        <v>98</v>
      </c>
      <c r="B5555" t="s">
        <v>29</v>
      </c>
    </row>
    <row r="5556" spans="1:2" x14ac:dyDescent="0.35">
      <c r="A5556">
        <v>98</v>
      </c>
      <c r="B5556" s="2">
        <v>-7.51E-2</v>
      </c>
    </row>
    <row r="5557" spans="1:2" x14ac:dyDescent="0.35">
      <c r="A5557">
        <v>98</v>
      </c>
      <c r="B5557" t="s">
        <v>30</v>
      </c>
    </row>
    <row r="5558" spans="1:2" x14ac:dyDescent="0.35">
      <c r="A5558">
        <v>98</v>
      </c>
      <c r="B5558" s="2">
        <v>0.86343000000000003</v>
      </c>
    </row>
    <row r="5559" spans="1:2" x14ac:dyDescent="0.35">
      <c r="A5559">
        <v>98</v>
      </c>
      <c r="B5559" t="s">
        <v>8</v>
      </c>
    </row>
    <row r="5560" spans="1:2" x14ac:dyDescent="0.35">
      <c r="A5560">
        <v>98</v>
      </c>
      <c r="B5560" s="2">
        <v>0.49099999999999999</v>
      </c>
    </row>
    <row r="5561" spans="1:2" x14ac:dyDescent="0.35">
      <c r="A5561">
        <v>98</v>
      </c>
      <c r="B5561" t="s">
        <v>31</v>
      </c>
    </row>
    <row r="5562" spans="1:2" x14ac:dyDescent="0.35">
      <c r="A5562">
        <v>98</v>
      </c>
      <c r="B5562">
        <v>0.70099999999999996</v>
      </c>
    </row>
    <row r="5563" spans="1:2" x14ac:dyDescent="0.35">
      <c r="A5563">
        <v>98</v>
      </c>
      <c r="B5563" t="s">
        <v>32</v>
      </c>
    </row>
    <row r="5564" spans="1:2" x14ac:dyDescent="0.35">
      <c r="A5564">
        <v>98</v>
      </c>
      <c r="B5564" s="2">
        <v>0.49281000000000003</v>
      </c>
    </row>
    <row r="5565" spans="1:2" x14ac:dyDescent="0.35">
      <c r="A5565">
        <v>98</v>
      </c>
      <c r="B5565" t="s">
        <v>33</v>
      </c>
    </row>
    <row r="5566" spans="1:2" x14ac:dyDescent="0.35">
      <c r="A5566">
        <v>98</v>
      </c>
      <c r="B5566" s="3">
        <v>0.33</v>
      </c>
    </row>
    <row r="5567" spans="1:2" x14ac:dyDescent="0.35">
      <c r="A5567">
        <v>98</v>
      </c>
      <c r="B5567" t="s">
        <v>34</v>
      </c>
    </row>
    <row r="5568" spans="1:2" x14ac:dyDescent="0.35">
      <c r="A5568">
        <v>98</v>
      </c>
      <c r="B5568" s="3">
        <v>0.67</v>
      </c>
    </row>
    <row r="5569" spans="1:2" x14ac:dyDescent="0.35">
      <c r="A5569">
        <v>98</v>
      </c>
      <c r="B5569" t="s">
        <v>26</v>
      </c>
    </row>
    <row r="5570" spans="1:2" x14ac:dyDescent="0.35">
      <c r="A5570">
        <v>98</v>
      </c>
      <c r="B5570">
        <v>1.55</v>
      </c>
    </row>
    <row r="5571" spans="1:2" x14ac:dyDescent="0.35">
      <c r="A5571">
        <v>98</v>
      </c>
      <c r="B5571" t="s">
        <v>23</v>
      </c>
    </row>
    <row r="5572" spans="1:2" x14ac:dyDescent="0.35">
      <c r="A5572">
        <v>98</v>
      </c>
      <c r="B5572">
        <v>0.92400000000000004</v>
      </c>
    </row>
    <row r="5573" spans="1:2" x14ac:dyDescent="0.35">
      <c r="A5573">
        <v>98</v>
      </c>
      <c r="B5573" t="s">
        <v>24</v>
      </c>
    </row>
    <row r="5574" spans="1:2" x14ac:dyDescent="0.35">
      <c r="A5574">
        <v>98</v>
      </c>
      <c r="B5574">
        <v>4.7430000000000003</v>
      </c>
    </row>
    <row r="5575" spans="1:2" x14ac:dyDescent="0.35">
      <c r="A5575">
        <v>98</v>
      </c>
      <c r="B5575" t="s">
        <v>35</v>
      </c>
    </row>
    <row r="5576" spans="1:2" x14ac:dyDescent="0.35">
      <c r="A5576">
        <v>98</v>
      </c>
      <c r="B5576">
        <v>0.86699999999999999</v>
      </c>
    </row>
    <row r="5577" spans="1:2" x14ac:dyDescent="0.35">
      <c r="A5577">
        <v>98</v>
      </c>
      <c r="B5577" t="s">
        <v>36</v>
      </c>
    </row>
    <row r="5578" spans="1:2" x14ac:dyDescent="0.35">
      <c r="A5578">
        <v>98</v>
      </c>
      <c r="B5578">
        <v>0.751</v>
      </c>
    </row>
    <row r="5579" spans="1:2" x14ac:dyDescent="0.35">
      <c r="A5579">
        <v>98</v>
      </c>
      <c r="B5579" t="s">
        <v>37</v>
      </c>
    </row>
    <row r="5580" spans="1:2" x14ac:dyDescent="0.35">
      <c r="A5580">
        <v>98</v>
      </c>
      <c r="B5580">
        <v>1.3779999999999999</v>
      </c>
    </row>
    <row r="5581" spans="1:2" x14ac:dyDescent="0.35">
      <c r="A5581">
        <v>98</v>
      </c>
      <c r="B5581" t="s">
        <v>38</v>
      </c>
    </row>
    <row r="5582" spans="1:2" x14ac:dyDescent="0.35">
      <c r="A5582">
        <v>98</v>
      </c>
      <c r="B5582">
        <v>0.84499999999999997</v>
      </c>
    </row>
    <row r="5583" spans="1:2" x14ac:dyDescent="0.35">
      <c r="A5583">
        <v>98</v>
      </c>
      <c r="B5583" t="s">
        <v>39</v>
      </c>
    </row>
    <row r="5584" spans="1:2" x14ac:dyDescent="0.35">
      <c r="A5584">
        <v>98</v>
      </c>
      <c r="B5584">
        <v>0.25900000000000001</v>
      </c>
    </row>
    <row r="5585" spans="1:2" x14ac:dyDescent="0.35">
      <c r="A5585">
        <v>98</v>
      </c>
      <c r="B5585" t="s">
        <v>40</v>
      </c>
    </row>
    <row r="5586" spans="1:2" x14ac:dyDescent="0.35">
      <c r="A5586">
        <v>98</v>
      </c>
      <c r="B5586" s="4">
        <v>0</v>
      </c>
    </row>
    <row r="5587" spans="1:2" x14ac:dyDescent="0.35">
      <c r="A5587">
        <v>98</v>
      </c>
      <c r="B5587" t="s">
        <v>41</v>
      </c>
    </row>
    <row r="5588" spans="1:2" x14ac:dyDescent="0.35">
      <c r="A5588">
        <v>98</v>
      </c>
      <c r="B5588" s="4">
        <v>12000000</v>
      </c>
    </row>
    <row r="5589" spans="1:2" x14ac:dyDescent="0.35">
      <c r="A5589">
        <v>98</v>
      </c>
      <c r="B5589" t="s">
        <v>42</v>
      </c>
    </row>
    <row r="5590" spans="1:2" x14ac:dyDescent="0.35">
      <c r="A5590">
        <v>98</v>
      </c>
      <c r="B5590" t="s">
        <v>46</v>
      </c>
    </row>
    <row r="5591" spans="1:2" x14ac:dyDescent="0.35">
      <c r="A5591">
        <v>97</v>
      </c>
      <c r="B5591" t="s">
        <v>27</v>
      </c>
    </row>
    <row r="5592" spans="1:2" x14ac:dyDescent="0.35">
      <c r="A5592">
        <v>97</v>
      </c>
      <c r="B5592" s="2">
        <v>0.47092000000000001</v>
      </c>
    </row>
    <row r="5593" spans="1:2" x14ac:dyDescent="0.35">
      <c r="A5593">
        <v>97</v>
      </c>
      <c r="B5593" t="s">
        <v>1</v>
      </c>
    </row>
    <row r="5594" spans="1:2" x14ac:dyDescent="0.35">
      <c r="A5594">
        <v>97</v>
      </c>
      <c r="B5594">
        <v>1.4159999999999999</v>
      </c>
    </row>
    <row r="5595" spans="1:2" x14ac:dyDescent="0.35">
      <c r="A5595">
        <v>97</v>
      </c>
      <c r="B5595" t="s">
        <v>28</v>
      </c>
    </row>
    <row r="5596" spans="1:2" x14ac:dyDescent="0.35">
      <c r="A5596">
        <v>97</v>
      </c>
      <c r="B5596">
        <v>283</v>
      </c>
    </row>
    <row r="5597" spans="1:2" x14ac:dyDescent="0.35">
      <c r="A5597">
        <v>97</v>
      </c>
      <c r="B5597" t="s">
        <v>25</v>
      </c>
    </row>
    <row r="5598" spans="1:2" x14ac:dyDescent="0.35">
      <c r="A5598">
        <v>97</v>
      </c>
      <c r="B5598" s="2">
        <v>0.1166</v>
      </c>
    </row>
    <row r="5599" spans="1:2" x14ac:dyDescent="0.35">
      <c r="A5599">
        <v>97</v>
      </c>
      <c r="B5599" t="s">
        <v>29</v>
      </c>
    </row>
    <row r="5600" spans="1:2" x14ac:dyDescent="0.35">
      <c r="A5600">
        <v>97</v>
      </c>
      <c r="B5600" s="2">
        <v>-7.51E-2</v>
      </c>
    </row>
    <row r="5601" spans="1:2" x14ac:dyDescent="0.35">
      <c r="A5601">
        <v>97</v>
      </c>
      <c r="B5601" t="s">
        <v>30</v>
      </c>
    </row>
    <row r="5602" spans="1:2" x14ac:dyDescent="0.35">
      <c r="A5602">
        <v>97</v>
      </c>
      <c r="B5602" s="2">
        <v>0.86343000000000003</v>
      </c>
    </row>
    <row r="5603" spans="1:2" x14ac:dyDescent="0.35">
      <c r="A5603">
        <v>97</v>
      </c>
      <c r="B5603" t="s">
        <v>8</v>
      </c>
    </row>
    <row r="5604" spans="1:2" x14ac:dyDescent="0.35">
      <c r="A5604">
        <v>97</v>
      </c>
      <c r="B5604" s="2">
        <v>0.49099999999999999</v>
      </c>
    </row>
    <row r="5605" spans="1:2" x14ac:dyDescent="0.35">
      <c r="A5605">
        <v>97</v>
      </c>
      <c r="B5605" t="s">
        <v>31</v>
      </c>
    </row>
    <row r="5606" spans="1:2" x14ac:dyDescent="0.35">
      <c r="A5606">
        <v>97</v>
      </c>
      <c r="B5606">
        <v>0.70099999999999996</v>
      </c>
    </row>
    <row r="5607" spans="1:2" x14ac:dyDescent="0.35">
      <c r="A5607">
        <v>97</v>
      </c>
      <c r="B5607" t="s">
        <v>32</v>
      </c>
    </row>
    <row r="5608" spans="1:2" x14ac:dyDescent="0.35">
      <c r="A5608">
        <v>97</v>
      </c>
      <c r="B5608" s="2">
        <v>0.49281000000000003</v>
      </c>
    </row>
    <row r="5609" spans="1:2" x14ac:dyDescent="0.35">
      <c r="A5609">
        <v>97</v>
      </c>
      <c r="B5609" t="s">
        <v>33</v>
      </c>
    </row>
    <row r="5610" spans="1:2" x14ac:dyDescent="0.35">
      <c r="A5610">
        <v>97</v>
      </c>
      <c r="B5610" s="3">
        <v>0.33</v>
      </c>
    </row>
    <row r="5611" spans="1:2" x14ac:dyDescent="0.35">
      <c r="A5611">
        <v>97</v>
      </c>
      <c r="B5611" t="s">
        <v>34</v>
      </c>
    </row>
    <row r="5612" spans="1:2" x14ac:dyDescent="0.35">
      <c r="A5612">
        <v>97</v>
      </c>
      <c r="B5612" s="3">
        <v>0.67</v>
      </c>
    </row>
    <row r="5613" spans="1:2" x14ac:dyDescent="0.35">
      <c r="A5613">
        <v>97</v>
      </c>
      <c r="B5613" t="s">
        <v>26</v>
      </c>
    </row>
    <row r="5614" spans="1:2" x14ac:dyDescent="0.35">
      <c r="A5614">
        <v>97</v>
      </c>
      <c r="B5614">
        <v>1.55</v>
      </c>
    </row>
    <row r="5615" spans="1:2" x14ac:dyDescent="0.35">
      <c r="A5615">
        <v>97</v>
      </c>
      <c r="B5615" t="s">
        <v>23</v>
      </c>
    </row>
    <row r="5616" spans="1:2" x14ac:dyDescent="0.35">
      <c r="A5616">
        <v>97</v>
      </c>
      <c r="B5616">
        <v>0.92400000000000004</v>
      </c>
    </row>
    <row r="5617" spans="1:2" x14ac:dyDescent="0.35">
      <c r="A5617">
        <v>97</v>
      </c>
      <c r="B5617" t="s">
        <v>24</v>
      </c>
    </row>
    <row r="5618" spans="1:2" x14ac:dyDescent="0.35">
      <c r="A5618">
        <v>97</v>
      </c>
      <c r="B5618">
        <v>4.7430000000000003</v>
      </c>
    </row>
    <row r="5619" spans="1:2" x14ac:dyDescent="0.35">
      <c r="A5619">
        <v>97</v>
      </c>
      <c r="B5619" t="s">
        <v>35</v>
      </c>
    </row>
    <row r="5620" spans="1:2" x14ac:dyDescent="0.35">
      <c r="A5620">
        <v>97</v>
      </c>
      <c r="B5620">
        <v>0.86699999999999999</v>
      </c>
    </row>
    <row r="5621" spans="1:2" x14ac:dyDescent="0.35">
      <c r="A5621">
        <v>97</v>
      </c>
      <c r="B5621" t="s">
        <v>36</v>
      </c>
    </row>
    <row r="5622" spans="1:2" x14ac:dyDescent="0.35">
      <c r="A5622">
        <v>97</v>
      </c>
      <c r="B5622">
        <v>0.751</v>
      </c>
    </row>
    <row r="5623" spans="1:2" x14ac:dyDescent="0.35">
      <c r="A5623">
        <v>97</v>
      </c>
      <c r="B5623" t="s">
        <v>37</v>
      </c>
    </row>
    <row r="5624" spans="1:2" x14ac:dyDescent="0.35">
      <c r="A5624">
        <v>97</v>
      </c>
      <c r="B5624">
        <v>1.3779999999999999</v>
      </c>
    </row>
    <row r="5625" spans="1:2" x14ac:dyDescent="0.35">
      <c r="A5625">
        <v>97</v>
      </c>
      <c r="B5625" t="s">
        <v>38</v>
      </c>
    </row>
    <row r="5626" spans="1:2" x14ac:dyDescent="0.35">
      <c r="A5626">
        <v>97</v>
      </c>
      <c r="B5626">
        <v>0.84499999999999997</v>
      </c>
    </row>
    <row r="5627" spans="1:2" x14ac:dyDescent="0.35">
      <c r="A5627">
        <v>97</v>
      </c>
      <c r="B5627" t="s">
        <v>39</v>
      </c>
    </row>
    <row r="5628" spans="1:2" x14ac:dyDescent="0.35">
      <c r="A5628">
        <v>97</v>
      </c>
      <c r="B5628">
        <v>0.25900000000000001</v>
      </c>
    </row>
    <row r="5629" spans="1:2" x14ac:dyDescent="0.35">
      <c r="A5629">
        <v>97</v>
      </c>
      <c r="B5629" t="s">
        <v>40</v>
      </c>
    </row>
    <row r="5630" spans="1:2" x14ac:dyDescent="0.35">
      <c r="A5630">
        <v>97</v>
      </c>
      <c r="B5630" s="4">
        <v>0</v>
      </c>
    </row>
    <row r="5631" spans="1:2" x14ac:dyDescent="0.35">
      <c r="A5631">
        <v>97</v>
      </c>
      <c r="B5631" t="s">
        <v>41</v>
      </c>
    </row>
    <row r="5632" spans="1:2" x14ac:dyDescent="0.35">
      <c r="A5632">
        <v>97</v>
      </c>
      <c r="B5632" s="4">
        <v>12000000</v>
      </c>
    </row>
    <row r="5633" spans="1:2" x14ac:dyDescent="0.35">
      <c r="A5633">
        <v>97</v>
      </c>
      <c r="B5633" t="s">
        <v>42</v>
      </c>
    </row>
    <row r="5634" spans="1:2" x14ac:dyDescent="0.35">
      <c r="A5634">
        <v>97</v>
      </c>
      <c r="B5634" t="s">
        <v>46</v>
      </c>
    </row>
    <row r="5635" spans="1:2" x14ac:dyDescent="0.35">
      <c r="A5635">
        <v>96</v>
      </c>
      <c r="B5635" t="s">
        <v>27</v>
      </c>
    </row>
    <row r="5636" spans="1:2" x14ac:dyDescent="0.35">
      <c r="A5636">
        <v>96</v>
      </c>
      <c r="B5636" s="2">
        <v>0.47092000000000001</v>
      </c>
    </row>
    <row r="5637" spans="1:2" x14ac:dyDescent="0.35">
      <c r="A5637">
        <v>96</v>
      </c>
      <c r="B5637" t="s">
        <v>1</v>
      </c>
    </row>
    <row r="5638" spans="1:2" x14ac:dyDescent="0.35">
      <c r="A5638">
        <v>96</v>
      </c>
      <c r="B5638">
        <v>1.4159999999999999</v>
      </c>
    </row>
    <row r="5639" spans="1:2" x14ac:dyDescent="0.35">
      <c r="A5639">
        <v>96</v>
      </c>
      <c r="B5639" t="s">
        <v>28</v>
      </c>
    </row>
    <row r="5640" spans="1:2" x14ac:dyDescent="0.35">
      <c r="A5640">
        <v>96</v>
      </c>
      <c r="B5640">
        <v>283</v>
      </c>
    </row>
    <row r="5641" spans="1:2" x14ac:dyDescent="0.35">
      <c r="A5641">
        <v>96</v>
      </c>
      <c r="B5641" t="s">
        <v>25</v>
      </c>
    </row>
    <row r="5642" spans="1:2" x14ac:dyDescent="0.35">
      <c r="A5642">
        <v>96</v>
      </c>
      <c r="B5642" s="2">
        <v>0.1166</v>
      </c>
    </row>
    <row r="5643" spans="1:2" x14ac:dyDescent="0.35">
      <c r="A5643">
        <v>96</v>
      </c>
      <c r="B5643" t="s">
        <v>29</v>
      </c>
    </row>
    <row r="5644" spans="1:2" x14ac:dyDescent="0.35">
      <c r="A5644">
        <v>96</v>
      </c>
      <c r="B5644" s="2">
        <v>-7.51E-2</v>
      </c>
    </row>
    <row r="5645" spans="1:2" x14ac:dyDescent="0.35">
      <c r="A5645">
        <v>96</v>
      </c>
      <c r="B5645" t="s">
        <v>30</v>
      </c>
    </row>
    <row r="5646" spans="1:2" x14ac:dyDescent="0.35">
      <c r="A5646">
        <v>96</v>
      </c>
      <c r="B5646" s="2">
        <v>0.86343000000000003</v>
      </c>
    </row>
    <row r="5647" spans="1:2" x14ac:dyDescent="0.35">
      <c r="A5647">
        <v>96</v>
      </c>
      <c r="B5647" t="s">
        <v>8</v>
      </c>
    </row>
    <row r="5648" spans="1:2" x14ac:dyDescent="0.35">
      <c r="A5648">
        <v>96</v>
      </c>
      <c r="B5648" s="2">
        <v>0.49099999999999999</v>
      </c>
    </row>
    <row r="5649" spans="1:2" x14ac:dyDescent="0.35">
      <c r="A5649">
        <v>96</v>
      </c>
      <c r="B5649" t="s">
        <v>31</v>
      </c>
    </row>
    <row r="5650" spans="1:2" x14ac:dyDescent="0.35">
      <c r="A5650">
        <v>96</v>
      </c>
      <c r="B5650">
        <v>0.70099999999999996</v>
      </c>
    </row>
    <row r="5651" spans="1:2" x14ac:dyDescent="0.35">
      <c r="A5651">
        <v>96</v>
      </c>
      <c r="B5651" t="s">
        <v>32</v>
      </c>
    </row>
    <row r="5652" spans="1:2" x14ac:dyDescent="0.35">
      <c r="A5652">
        <v>96</v>
      </c>
      <c r="B5652" s="2">
        <v>0.49281000000000003</v>
      </c>
    </row>
    <row r="5653" spans="1:2" x14ac:dyDescent="0.35">
      <c r="A5653">
        <v>96</v>
      </c>
      <c r="B5653" t="s">
        <v>33</v>
      </c>
    </row>
    <row r="5654" spans="1:2" x14ac:dyDescent="0.35">
      <c r="A5654">
        <v>96</v>
      </c>
      <c r="B5654" s="3">
        <v>0.33</v>
      </c>
    </row>
    <row r="5655" spans="1:2" x14ac:dyDescent="0.35">
      <c r="A5655">
        <v>96</v>
      </c>
      <c r="B5655" t="s">
        <v>34</v>
      </c>
    </row>
    <row r="5656" spans="1:2" x14ac:dyDescent="0.35">
      <c r="A5656">
        <v>96</v>
      </c>
      <c r="B5656" s="3">
        <v>0.67</v>
      </c>
    </row>
    <row r="5657" spans="1:2" x14ac:dyDescent="0.35">
      <c r="A5657">
        <v>96</v>
      </c>
      <c r="B5657" t="s">
        <v>26</v>
      </c>
    </row>
    <row r="5658" spans="1:2" x14ac:dyDescent="0.35">
      <c r="A5658">
        <v>96</v>
      </c>
      <c r="B5658">
        <v>1.55</v>
      </c>
    </row>
    <row r="5659" spans="1:2" x14ac:dyDescent="0.35">
      <c r="A5659">
        <v>96</v>
      </c>
      <c r="B5659" t="s">
        <v>23</v>
      </c>
    </row>
    <row r="5660" spans="1:2" x14ac:dyDescent="0.35">
      <c r="A5660">
        <v>96</v>
      </c>
      <c r="B5660">
        <v>0.92400000000000004</v>
      </c>
    </row>
    <row r="5661" spans="1:2" x14ac:dyDescent="0.35">
      <c r="A5661">
        <v>96</v>
      </c>
      <c r="B5661" t="s">
        <v>24</v>
      </c>
    </row>
    <row r="5662" spans="1:2" x14ac:dyDescent="0.35">
      <c r="A5662">
        <v>96</v>
      </c>
      <c r="B5662">
        <v>4.7430000000000003</v>
      </c>
    </row>
    <row r="5663" spans="1:2" x14ac:dyDescent="0.35">
      <c r="A5663">
        <v>96</v>
      </c>
      <c r="B5663" t="s">
        <v>35</v>
      </c>
    </row>
    <row r="5664" spans="1:2" x14ac:dyDescent="0.35">
      <c r="A5664">
        <v>96</v>
      </c>
      <c r="B5664">
        <v>0.86699999999999999</v>
      </c>
    </row>
    <row r="5665" spans="1:2" x14ac:dyDescent="0.35">
      <c r="A5665">
        <v>96</v>
      </c>
      <c r="B5665" t="s">
        <v>36</v>
      </c>
    </row>
    <row r="5666" spans="1:2" x14ac:dyDescent="0.35">
      <c r="A5666">
        <v>96</v>
      </c>
      <c r="B5666">
        <v>0.751</v>
      </c>
    </row>
    <row r="5667" spans="1:2" x14ac:dyDescent="0.35">
      <c r="A5667">
        <v>96</v>
      </c>
      <c r="B5667" t="s">
        <v>37</v>
      </c>
    </row>
    <row r="5668" spans="1:2" x14ac:dyDescent="0.35">
      <c r="A5668">
        <v>96</v>
      </c>
      <c r="B5668">
        <v>1.3779999999999999</v>
      </c>
    </row>
    <row r="5669" spans="1:2" x14ac:dyDescent="0.35">
      <c r="A5669">
        <v>96</v>
      </c>
      <c r="B5669" t="s">
        <v>38</v>
      </c>
    </row>
    <row r="5670" spans="1:2" x14ac:dyDescent="0.35">
      <c r="A5670">
        <v>96</v>
      </c>
      <c r="B5670">
        <v>0.84499999999999997</v>
      </c>
    </row>
    <row r="5671" spans="1:2" x14ac:dyDescent="0.35">
      <c r="A5671">
        <v>96</v>
      </c>
      <c r="B5671" t="s">
        <v>39</v>
      </c>
    </row>
    <row r="5672" spans="1:2" x14ac:dyDescent="0.35">
      <c r="A5672">
        <v>96</v>
      </c>
      <c r="B5672">
        <v>0.25900000000000001</v>
      </c>
    </row>
    <row r="5673" spans="1:2" x14ac:dyDescent="0.35">
      <c r="A5673">
        <v>96</v>
      </c>
      <c r="B5673" t="s">
        <v>40</v>
      </c>
    </row>
    <row r="5674" spans="1:2" x14ac:dyDescent="0.35">
      <c r="A5674">
        <v>96</v>
      </c>
      <c r="B5674" s="4">
        <v>0</v>
      </c>
    </row>
    <row r="5675" spans="1:2" x14ac:dyDescent="0.35">
      <c r="A5675">
        <v>96</v>
      </c>
      <c r="B5675" t="s">
        <v>41</v>
      </c>
    </row>
    <row r="5676" spans="1:2" x14ac:dyDescent="0.35">
      <c r="A5676">
        <v>96</v>
      </c>
      <c r="B5676" s="4">
        <v>12000000</v>
      </c>
    </row>
    <row r="5677" spans="1:2" x14ac:dyDescent="0.35">
      <c r="A5677">
        <v>96</v>
      </c>
      <c r="B5677" t="s">
        <v>42</v>
      </c>
    </row>
    <row r="5678" spans="1:2" x14ac:dyDescent="0.35">
      <c r="A5678">
        <v>96</v>
      </c>
      <c r="B5678" t="s">
        <v>46</v>
      </c>
    </row>
    <row r="5679" spans="1:2" x14ac:dyDescent="0.35">
      <c r="A5679">
        <v>95</v>
      </c>
      <c r="B5679" t="s">
        <v>27</v>
      </c>
    </row>
    <row r="5680" spans="1:2" x14ac:dyDescent="0.35">
      <c r="A5680">
        <v>95</v>
      </c>
      <c r="B5680" s="2">
        <v>0.47092000000000001</v>
      </c>
    </row>
    <row r="5681" spans="1:2" x14ac:dyDescent="0.35">
      <c r="A5681">
        <v>95</v>
      </c>
      <c r="B5681" t="s">
        <v>1</v>
      </c>
    </row>
    <row r="5682" spans="1:2" x14ac:dyDescent="0.35">
      <c r="A5682">
        <v>95</v>
      </c>
      <c r="B5682">
        <v>1.4159999999999999</v>
      </c>
    </row>
    <row r="5683" spans="1:2" x14ac:dyDescent="0.35">
      <c r="A5683">
        <v>95</v>
      </c>
      <c r="B5683" t="s">
        <v>28</v>
      </c>
    </row>
    <row r="5684" spans="1:2" x14ac:dyDescent="0.35">
      <c r="A5684">
        <v>95</v>
      </c>
      <c r="B5684">
        <v>283</v>
      </c>
    </row>
    <row r="5685" spans="1:2" x14ac:dyDescent="0.35">
      <c r="A5685">
        <v>95</v>
      </c>
      <c r="B5685" t="s">
        <v>25</v>
      </c>
    </row>
    <row r="5686" spans="1:2" x14ac:dyDescent="0.35">
      <c r="A5686">
        <v>95</v>
      </c>
      <c r="B5686" s="2">
        <v>0.1166</v>
      </c>
    </row>
    <row r="5687" spans="1:2" x14ac:dyDescent="0.35">
      <c r="A5687">
        <v>95</v>
      </c>
      <c r="B5687" t="s">
        <v>29</v>
      </c>
    </row>
    <row r="5688" spans="1:2" x14ac:dyDescent="0.35">
      <c r="A5688">
        <v>95</v>
      </c>
      <c r="B5688" s="2">
        <v>-7.51E-2</v>
      </c>
    </row>
    <row r="5689" spans="1:2" x14ac:dyDescent="0.35">
      <c r="A5689">
        <v>95</v>
      </c>
      <c r="B5689" t="s">
        <v>30</v>
      </c>
    </row>
    <row r="5690" spans="1:2" x14ac:dyDescent="0.35">
      <c r="A5690">
        <v>95</v>
      </c>
      <c r="B5690" s="2">
        <v>0.86343000000000003</v>
      </c>
    </row>
    <row r="5691" spans="1:2" x14ac:dyDescent="0.35">
      <c r="A5691">
        <v>95</v>
      </c>
      <c r="B5691" t="s">
        <v>8</v>
      </c>
    </row>
    <row r="5692" spans="1:2" x14ac:dyDescent="0.35">
      <c r="A5692">
        <v>95</v>
      </c>
      <c r="B5692" s="2">
        <v>0.49099999999999999</v>
      </c>
    </row>
    <row r="5693" spans="1:2" x14ac:dyDescent="0.35">
      <c r="A5693">
        <v>95</v>
      </c>
      <c r="B5693" t="s">
        <v>31</v>
      </c>
    </row>
    <row r="5694" spans="1:2" x14ac:dyDescent="0.35">
      <c r="A5694">
        <v>95</v>
      </c>
      <c r="B5694">
        <v>0.70099999999999996</v>
      </c>
    </row>
    <row r="5695" spans="1:2" x14ac:dyDescent="0.35">
      <c r="A5695">
        <v>95</v>
      </c>
      <c r="B5695" t="s">
        <v>32</v>
      </c>
    </row>
    <row r="5696" spans="1:2" x14ac:dyDescent="0.35">
      <c r="A5696">
        <v>95</v>
      </c>
      <c r="B5696" s="2">
        <v>0.49281000000000003</v>
      </c>
    </row>
    <row r="5697" spans="1:2" x14ac:dyDescent="0.35">
      <c r="A5697">
        <v>95</v>
      </c>
      <c r="B5697" t="s">
        <v>33</v>
      </c>
    </row>
    <row r="5698" spans="1:2" x14ac:dyDescent="0.35">
      <c r="A5698">
        <v>95</v>
      </c>
      <c r="B5698" s="3">
        <v>0.33</v>
      </c>
    </row>
    <row r="5699" spans="1:2" x14ac:dyDescent="0.35">
      <c r="A5699">
        <v>95</v>
      </c>
      <c r="B5699" t="s">
        <v>34</v>
      </c>
    </row>
    <row r="5700" spans="1:2" x14ac:dyDescent="0.35">
      <c r="A5700">
        <v>95</v>
      </c>
      <c r="B5700" s="3">
        <v>0.67</v>
      </c>
    </row>
    <row r="5701" spans="1:2" x14ac:dyDescent="0.35">
      <c r="A5701">
        <v>95</v>
      </c>
      <c r="B5701" t="s">
        <v>26</v>
      </c>
    </row>
    <row r="5702" spans="1:2" x14ac:dyDescent="0.35">
      <c r="A5702">
        <v>95</v>
      </c>
      <c r="B5702">
        <v>1.55</v>
      </c>
    </row>
    <row r="5703" spans="1:2" x14ac:dyDescent="0.35">
      <c r="A5703">
        <v>95</v>
      </c>
      <c r="B5703" t="s">
        <v>23</v>
      </c>
    </row>
    <row r="5704" spans="1:2" x14ac:dyDescent="0.35">
      <c r="A5704">
        <v>95</v>
      </c>
      <c r="B5704">
        <v>0.92400000000000004</v>
      </c>
    </row>
    <row r="5705" spans="1:2" x14ac:dyDescent="0.35">
      <c r="A5705">
        <v>95</v>
      </c>
      <c r="B5705" t="s">
        <v>24</v>
      </c>
    </row>
    <row r="5706" spans="1:2" x14ac:dyDescent="0.35">
      <c r="A5706">
        <v>95</v>
      </c>
      <c r="B5706">
        <v>4.7430000000000003</v>
      </c>
    </row>
    <row r="5707" spans="1:2" x14ac:dyDescent="0.35">
      <c r="A5707">
        <v>95</v>
      </c>
      <c r="B5707" t="s">
        <v>35</v>
      </c>
    </row>
    <row r="5708" spans="1:2" x14ac:dyDescent="0.35">
      <c r="A5708">
        <v>95</v>
      </c>
      <c r="B5708">
        <v>0.86699999999999999</v>
      </c>
    </row>
    <row r="5709" spans="1:2" x14ac:dyDescent="0.35">
      <c r="A5709">
        <v>95</v>
      </c>
      <c r="B5709" t="s">
        <v>36</v>
      </c>
    </row>
    <row r="5710" spans="1:2" x14ac:dyDescent="0.35">
      <c r="A5710">
        <v>95</v>
      </c>
      <c r="B5710">
        <v>0.751</v>
      </c>
    </row>
    <row r="5711" spans="1:2" x14ac:dyDescent="0.35">
      <c r="A5711">
        <v>95</v>
      </c>
      <c r="B5711" t="s">
        <v>37</v>
      </c>
    </row>
    <row r="5712" spans="1:2" x14ac:dyDescent="0.35">
      <c r="A5712">
        <v>95</v>
      </c>
      <c r="B5712">
        <v>1.3779999999999999</v>
      </c>
    </row>
    <row r="5713" spans="1:2" x14ac:dyDescent="0.35">
      <c r="A5713">
        <v>95</v>
      </c>
      <c r="B5713" t="s">
        <v>38</v>
      </c>
    </row>
    <row r="5714" spans="1:2" x14ac:dyDescent="0.35">
      <c r="A5714">
        <v>95</v>
      </c>
      <c r="B5714">
        <v>0.84499999999999997</v>
      </c>
    </row>
    <row r="5715" spans="1:2" x14ac:dyDescent="0.35">
      <c r="A5715">
        <v>95</v>
      </c>
      <c r="B5715" t="s">
        <v>39</v>
      </c>
    </row>
    <row r="5716" spans="1:2" x14ac:dyDescent="0.35">
      <c r="A5716">
        <v>95</v>
      </c>
      <c r="B5716">
        <v>0.25900000000000001</v>
      </c>
    </row>
    <row r="5717" spans="1:2" x14ac:dyDescent="0.35">
      <c r="A5717">
        <v>95</v>
      </c>
      <c r="B5717" t="s">
        <v>40</v>
      </c>
    </row>
    <row r="5718" spans="1:2" x14ac:dyDescent="0.35">
      <c r="A5718">
        <v>95</v>
      </c>
      <c r="B5718" s="4">
        <v>0</v>
      </c>
    </row>
    <row r="5719" spans="1:2" x14ac:dyDescent="0.35">
      <c r="A5719">
        <v>95</v>
      </c>
      <c r="B5719" t="s">
        <v>41</v>
      </c>
    </row>
    <row r="5720" spans="1:2" x14ac:dyDescent="0.35">
      <c r="A5720">
        <v>95</v>
      </c>
      <c r="B5720" s="4">
        <v>12000000</v>
      </c>
    </row>
    <row r="5721" spans="1:2" x14ac:dyDescent="0.35">
      <c r="A5721">
        <v>95</v>
      </c>
      <c r="B5721" t="s">
        <v>42</v>
      </c>
    </row>
    <row r="5722" spans="1:2" x14ac:dyDescent="0.35">
      <c r="A5722">
        <v>95</v>
      </c>
      <c r="B5722" t="s">
        <v>46</v>
      </c>
    </row>
    <row r="5723" spans="1:2" x14ac:dyDescent="0.35">
      <c r="A5723">
        <v>94</v>
      </c>
      <c r="B5723" t="s">
        <v>27</v>
      </c>
    </row>
    <row r="5724" spans="1:2" x14ac:dyDescent="0.35">
      <c r="A5724">
        <v>94</v>
      </c>
      <c r="B5724" s="2">
        <v>0.47092000000000001</v>
      </c>
    </row>
    <row r="5725" spans="1:2" x14ac:dyDescent="0.35">
      <c r="A5725">
        <v>94</v>
      </c>
      <c r="B5725" t="s">
        <v>1</v>
      </c>
    </row>
    <row r="5726" spans="1:2" x14ac:dyDescent="0.35">
      <c r="A5726">
        <v>94</v>
      </c>
      <c r="B5726">
        <v>1.4159999999999999</v>
      </c>
    </row>
    <row r="5727" spans="1:2" x14ac:dyDescent="0.35">
      <c r="A5727">
        <v>94</v>
      </c>
      <c r="B5727" t="s">
        <v>28</v>
      </c>
    </row>
    <row r="5728" spans="1:2" x14ac:dyDescent="0.35">
      <c r="A5728">
        <v>94</v>
      </c>
      <c r="B5728">
        <v>283</v>
      </c>
    </row>
    <row r="5729" spans="1:2" x14ac:dyDescent="0.35">
      <c r="A5729">
        <v>94</v>
      </c>
      <c r="B5729" t="s">
        <v>25</v>
      </c>
    </row>
    <row r="5730" spans="1:2" x14ac:dyDescent="0.35">
      <c r="A5730">
        <v>94</v>
      </c>
      <c r="B5730" s="2">
        <v>0.1166</v>
      </c>
    </row>
    <row r="5731" spans="1:2" x14ac:dyDescent="0.35">
      <c r="A5731">
        <v>94</v>
      </c>
      <c r="B5731" t="s">
        <v>29</v>
      </c>
    </row>
    <row r="5732" spans="1:2" x14ac:dyDescent="0.35">
      <c r="A5732">
        <v>94</v>
      </c>
      <c r="B5732" s="2">
        <v>-7.51E-2</v>
      </c>
    </row>
    <row r="5733" spans="1:2" x14ac:dyDescent="0.35">
      <c r="A5733">
        <v>94</v>
      </c>
      <c r="B5733" t="s">
        <v>30</v>
      </c>
    </row>
    <row r="5734" spans="1:2" x14ac:dyDescent="0.35">
      <c r="A5734">
        <v>94</v>
      </c>
      <c r="B5734" s="2">
        <v>0.86343000000000003</v>
      </c>
    </row>
    <row r="5735" spans="1:2" x14ac:dyDescent="0.35">
      <c r="A5735">
        <v>94</v>
      </c>
      <c r="B5735" t="s">
        <v>8</v>
      </c>
    </row>
    <row r="5736" spans="1:2" x14ac:dyDescent="0.35">
      <c r="A5736">
        <v>94</v>
      </c>
      <c r="B5736" s="2">
        <v>0.49099999999999999</v>
      </c>
    </row>
    <row r="5737" spans="1:2" x14ac:dyDescent="0.35">
      <c r="A5737">
        <v>94</v>
      </c>
      <c r="B5737" t="s">
        <v>31</v>
      </c>
    </row>
    <row r="5738" spans="1:2" x14ac:dyDescent="0.35">
      <c r="A5738">
        <v>94</v>
      </c>
      <c r="B5738">
        <v>0.70099999999999996</v>
      </c>
    </row>
    <row r="5739" spans="1:2" x14ac:dyDescent="0.35">
      <c r="A5739">
        <v>94</v>
      </c>
      <c r="B5739" t="s">
        <v>32</v>
      </c>
    </row>
    <row r="5740" spans="1:2" x14ac:dyDescent="0.35">
      <c r="A5740">
        <v>94</v>
      </c>
      <c r="B5740" s="2">
        <v>0.49281000000000003</v>
      </c>
    </row>
    <row r="5741" spans="1:2" x14ac:dyDescent="0.35">
      <c r="A5741">
        <v>94</v>
      </c>
      <c r="B5741" t="s">
        <v>33</v>
      </c>
    </row>
    <row r="5742" spans="1:2" x14ac:dyDescent="0.35">
      <c r="A5742">
        <v>94</v>
      </c>
      <c r="B5742" s="3">
        <v>0.33</v>
      </c>
    </row>
    <row r="5743" spans="1:2" x14ac:dyDescent="0.35">
      <c r="A5743">
        <v>94</v>
      </c>
      <c r="B5743" t="s">
        <v>34</v>
      </c>
    </row>
    <row r="5744" spans="1:2" x14ac:dyDescent="0.35">
      <c r="A5744">
        <v>94</v>
      </c>
      <c r="B5744" s="3">
        <v>0.67</v>
      </c>
    </row>
    <row r="5745" spans="1:2" x14ac:dyDescent="0.35">
      <c r="A5745">
        <v>94</v>
      </c>
      <c r="B5745" t="s">
        <v>26</v>
      </c>
    </row>
    <row r="5746" spans="1:2" x14ac:dyDescent="0.35">
      <c r="A5746">
        <v>94</v>
      </c>
      <c r="B5746">
        <v>1.55</v>
      </c>
    </row>
    <row r="5747" spans="1:2" x14ac:dyDescent="0.35">
      <c r="A5747">
        <v>94</v>
      </c>
      <c r="B5747" t="s">
        <v>23</v>
      </c>
    </row>
    <row r="5748" spans="1:2" x14ac:dyDescent="0.35">
      <c r="A5748">
        <v>94</v>
      </c>
      <c r="B5748">
        <v>0.92400000000000004</v>
      </c>
    </row>
    <row r="5749" spans="1:2" x14ac:dyDescent="0.35">
      <c r="A5749">
        <v>94</v>
      </c>
      <c r="B5749" t="s">
        <v>24</v>
      </c>
    </row>
    <row r="5750" spans="1:2" x14ac:dyDescent="0.35">
      <c r="A5750">
        <v>94</v>
      </c>
      <c r="B5750">
        <v>4.7430000000000003</v>
      </c>
    </row>
    <row r="5751" spans="1:2" x14ac:dyDescent="0.35">
      <c r="A5751">
        <v>94</v>
      </c>
      <c r="B5751" t="s">
        <v>35</v>
      </c>
    </row>
    <row r="5752" spans="1:2" x14ac:dyDescent="0.35">
      <c r="A5752">
        <v>94</v>
      </c>
      <c r="B5752">
        <v>0.86699999999999999</v>
      </c>
    </row>
    <row r="5753" spans="1:2" x14ac:dyDescent="0.35">
      <c r="A5753">
        <v>94</v>
      </c>
      <c r="B5753" t="s">
        <v>36</v>
      </c>
    </row>
    <row r="5754" spans="1:2" x14ac:dyDescent="0.35">
      <c r="A5754">
        <v>94</v>
      </c>
      <c r="B5754">
        <v>0.751</v>
      </c>
    </row>
    <row r="5755" spans="1:2" x14ac:dyDescent="0.35">
      <c r="A5755">
        <v>94</v>
      </c>
      <c r="B5755" t="s">
        <v>37</v>
      </c>
    </row>
    <row r="5756" spans="1:2" x14ac:dyDescent="0.35">
      <c r="A5756">
        <v>94</v>
      </c>
      <c r="B5756">
        <v>1.3779999999999999</v>
      </c>
    </row>
    <row r="5757" spans="1:2" x14ac:dyDescent="0.35">
      <c r="A5757">
        <v>94</v>
      </c>
      <c r="B5757" t="s">
        <v>38</v>
      </c>
    </row>
    <row r="5758" spans="1:2" x14ac:dyDescent="0.35">
      <c r="A5758">
        <v>94</v>
      </c>
      <c r="B5758">
        <v>0.84499999999999997</v>
      </c>
    </row>
    <row r="5759" spans="1:2" x14ac:dyDescent="0.35">
      <c r="A5759">
        <v>94</v>
      </c>
      <c r="B5759" t="s">
        <v>39</v>
      </c>
    </row>
    <row r="5760" spans="1:2" x14ac:dyDescent="0.35">
      <c r="A5760">
        <v>94</v>
      </c>
      <c r="B5760">
        <v>0.25900000000000001</v>
      </c>
    </row>
    <row r="5761" spans="1:2" x14ac:dyDescent="0.35">
      <c r="A5761">
        <v>94</v>
      </c>
      <c r="B5761" t="s">
        <v>40</v>
      </c>
    </row>
    <row r="5762" spans="1:2" x14ac:dyDescent="0.35">
      <c r="A5762">
        <v>94</v>
      </c>
      <c r="B5762" s="4">
        <v>0</v>
      </c>
    </row>
    <row r="5763" spans="1:2" x14ac:dyDescent="0.35">
      <c r="A5763">
        <v>94</v>
      </c>
      <c r="B5763" t="s">
        <v>41</v>
      </c>
    </row>
    <row r="5764" spans="1:2" x14ac:dyDescent="0.35">
      <c r="A5764">
        <v>94</v>
      </c>
      <c r="B5764" s="4">
        <v>12000000</v>
      </c>
    </row>
    <row r="5765" spans="1:2" x14ac:dyDescent="0.35">
      <c r="A5765">
        <v>94</v>
      </c>
      <c r="B5765" t="s">
        <v>42</v>
      </c>
    </row>
    <row r="5766" spans="1:2" x14ac:dyDescent="0.35">
      <c r="A5766">
        <v>94</v>
      </c>
      <c r="B5766" t="s">
        <v>46</v>
      </c>
    </row>
    <row r="5767" spans="1:2" x14ac:dyDescent="0.35">
      <c r="A5767">
        <v>93</v>
      </c>
      <c r="B5767" t="s">
        <v>27</v>
      </c>
    </row>
    <row r="5768" spans="1:2" x14ac:dyDescent="0.35">
      <c r="A5768">
        <v>93</v>
      </c>
      <c r="B5768" s="2">
        <v>0.47092000000000001</v>
      </c>
    </row>
    <row r="5769" spans="1:2" x14ac:dyDescent="0.35">
      <c r="A5769">
        <v>93</v>
      </c>
      <c r="B5769" t="s">
        <v>1</v>
      </c>
    </row>
    <row r="5770" spans="1:2" x14ac:dyDescent="0.35">
      <c r="A5770">
        <v>93</v>
      </c>
      <c r="B5770">
        <v>1.4159999999999999</v>
      </c>
    </row>
    <row r="5771" spans="1:2" x14ac:dyDescent="0.35">
      <c r="A5771">
        <v>93</v>
      </c>
      <c r="B5771" t="s">
        <v>28</v>
      </c>
    </row>
    <row r="5772" spans="1:2" x14ac:dyDescent="0.35">
      <c r="A5772">
        <v>93</v>
      </c>
      <c r="B5772">
        <v>283</v>
      </c>
    </row>
    <row r="5773" spans="1:2" x14ac:dyDescent="0.35">
      <c r="A5773">
        <v>93</v>
      </c>
      <c r="B5773" t="s">
        <v>25</v>
      </c>
    </row>
    <row r="5774" spans="1:2" x14ac:dyDescent="0.35">
      <c r="A5774">
        <v>93</v>
      </c>
      <c r="B5774" s="2">
        <v>0.1166</v>
      </c>
    </row>
    <row r="5775" spans="1:2" x14ac:dyDescent="0.35">
      <c r="A5775">
        <v>93</v>
      </c>
      <c r="B5775" t="s">
        <v>29</v>
      </c>
    </row>
    <row r="5776" spans="1:2" x14ac:dyDescent="0.35">
      <c r="A5776">
        <v>93</v>
      </c>
      <c r="B5776" s="2">
        <v>-7.51E-2</v>
      </c>
    </row>
    <row r="5777" spans="1:2" x14ac:dyDescent="0.35">
      <c r="A5777">
        <v>93</v>
      </c>
      <c r="B5777" t="s">
        <v>30</v>
      </c>
    </row>
    <row r="5778" spans="1:2" x14ac:dyDescent="0.35">
      <c r="A5778">
        <v>93</v>
      </c>
      <c r="B5778" s="2">
        <v>0.86343000000000003</v>
      </c>
    </row>
    <row r="5779" spans="1:2" x14ac:dyDescent="0.35">
      <c r="A5779">
        <v>93</v>
      </c>
      <c r="B5779" t="s">
        <v>8</v>
      </c>
    </row>
    <row r="5780" spans="1:2" x14ac:dyDescent="0.35">
      <c r="A5780">
        <v>93</v>
      </c>
      <c r="B5780" s="2">
        <v>0.49099999999999999</v>
      </c>
    </row>
    <row r="5781" spans="1:2" x14ac:dyDescent="0.35">
      <c r="A5781">
        <v>93</v>
      </c>
      <c r="B5781" t="s">
        <v>31</v>
      </c>
    </row>
    <row r="5782" spans="1:2" x14ac:dyDescent="0.35">
      <c r="A5782">
        <v>93</v>
      </c>
      <c r="B5782">
        <v>0.70099999999999996</v>
      </c>
    </row>
    <row r="5783" spans="1:2" x14ac:dyDescent="0.35">
      <c r="A5783">
        <v>93</v>
      </c>
      <c r="B5783" t="s">
        <v>32</v>
      </c>
    </row>
    <row r="5784" spans="1:2" x14ac:dyDescent="0.35">
      <c r="A5784">
        <v>93</v>
      </c>
      <c r="B5784" s="2">
        <v>0.49281000000000003</v>
      </c>
    </row>
    <row r="5785" spans="1:2" x14ac:dyDescent="0.35">
      <c r="A5785">
        <v>93</v>
      </c>
      <c r="B5785" t="s">
        <v>33</v>
      </c>
    </row>
    <row r="5786" spans="1:2" x14ac:dyDescent="0.35">
      <c r="A5786">
        <v>93</v>
      </c>
      <c r="B5786" s="3">
        <v>0.33</v>
      </c>
    </row>
    <row r="5787" spans="1:2" x14ac:dyDescent="0.35">
      <c r="A5787">
        <v>93</v>
      </c>
      <c r="B5787" t="s">
        <v>34</v>
      </c>
    </row>
    <row r="5788" spans="1:2" x14ac:dyDescent="0.35">
      <c r="A5788">
        <v>93</v>
      </c>
      <c r="B5788" s="3">
        <v>0.67</v>
      </c>
    </row>
    <row r="5789" spans="1:2" x14ac:dyDescent="0.35">
      <c r="A5789">
        <v>93</v>
      </c>
      <c r="B5789" t="s">
        <v>26</v>
      </c>
    </row>
    <row r="5790" spans="1:2" x14ac:dyDescent="0.35">
      <c r="A5790">
        <v>93</v>
      </c>
      <c r="B5790">
        <v>1.55</v>
      </c>
    </row>
    <row r="5791" spans="1:2" x14ac:dyDescent="0.35">
      <c r="A5791">
        <v>93</v>
      </c>
      <c r="B5791" t="s">
        <v>23</v>
      </c>
    </row>
    <row r="5792" spans="1:2" x14ac:dyDescent="0.35">
      <c r="A5792">
        <v>93</v>
      </c>
      <c r="B5792">
        <v>0.92400000000000004</v>
      </c>
    </row>
    <row r="5793" spans="1:2" x14ac:dyDescent="0.35">
      <c r="A5793">
        <v>93</v>
      </c>
      <c r="B5793" t="s">
        <v>24</v>
      </c>
    </row>
    <row r="5794" spans="1:2" x14ac:dyDescent="0.35">
      <c r="A5794">
        <v>93</v>
      </c>
      <c r="B5794">
        <v>4.7430000000000003</v>
      </c>
    </row>
    <row r="5795" spans="1:2" x14ac:dyDescent="0.35">
      <c r="A5795">
        <v>93</v>
      </c>
      <c r="B5795" t="s">
        <v>35</v>
      </c>
    </row>
    <row r="5796" spans="1:2" x14ac:dyDescent="0.35">
      <c r="A5796">
        <v>93</v>
      </c>
      <c r="B5796">
        <v>0.86699999999999999</v>
      </c>
    </row>
    <row r="5797" spans="1:2" x14ac:dyDescent="0.35">
      <c r="A5797">
        <v>93</v>
      </c>
      <c r="B5797" t="s">
        <v>36</v>
      </c>
    </row>
    <row r="5798" spans="1:2" x14ac:dyDescent="0.35">
      <c r="A5798">
        <v>93</v>
      </c>
      <c r="B5798">
        <v>0.751</v>
      </c>
    </row>
    <row r="5799" spans="1:2" x14ac:dyDescent="0.35">
      <c r="A5799">
        <v>93</v>
      </c>
      <c r="B5799" t="s">
        <v>37</v>
      </c>
    </row>
    <row r="5800" spans="1:2" x14ac:dyDescent="0.35">
      <c r="A5800">
        <v>93</v>
      </c>
      <c r="B5800">
        <v>1.3779999999999999</v>
      </c>
    </row>
    <row r="5801" spans="1:2" x14ac:dyDescent="0.35">
      <c r="A5801">
        <v>93</v>
      </c>
      <c r="B5801" t="s">
        <v>38</v>
      </c>
    </row>
    <row r="5802" spans="1:2" x14ac:dyDescent="0.35">
      <c r="A5802">
        <v>93</v>
      </c>
      <c r="B5802">
        <v>0.84499999999999997</v>
      </c>
    </row>
    <row r="5803" spans="1:2" x14ac:dyDescent="0.35">
      <c r="A5803">
        <v>93</v>
      </c>
      <c r="B5803" t="s">
        <v>39</v>
      </c>
    </row>
    <row r="5804" spans="1:2" x14ac:dyDescent="0.35">
      <c r="A5804">
        <v>93</v>
      </c>
      <c r="B5804">
        <v>0.25900000000000001</v>
      </c>
    </row>
    <row r="5805" spans="1:2" x14ac:dyDescent="0.35">
      <c r="A5805">
        <v>93</v>
      </c>
      <c r="B5805" t="s">
        <v>40</v>
      </c>
    </row>
    <row r="5806" spans="1:2" x14ac:dyDescent="0.35">
      <c r="A5806">
        <v>93</v>
      </c>
      <c r="B5806" s="4">
        <v>0</v>
      </c>
    </row>
    <row r="5807" spans="1:2" x14ac:dyDescent="0.35">
      <c r="A5807">
        <v>93</v>
      </c>
      <c r="B5807" t="s">
        <v>41</v>
      </c>
    </row>
    <row r="5808" spans="1:2" x14ac:dyDescent="0.35">
      <c r="A5808">
        <v>93</v>
      </c>
      <c r="B5808" s="4">
        <v>12000000</v>
      </c>
    </row>
    <row r="5809" spans="1:2" x14ac:dyDescent="0.35">
      <c r="A5809">
        <v>93</v>
      </c>
      <c r="B5809" t="s">
        <v>42</v>
      </c>
    </row>
    <row r="5810" spans="1:2" x14ac:dyDescent="0.35">
      <c r="A5810">
        <v>93</v>
      </c>
      <c r="B5810" t="s">
        <v>46</v>
      </c>
    </row>
    <row r="5811" spans="1:2" x14ac:dyDescent="0.35">
      <c r="A5811">
        <v>92</v>
      </c>
      <c r="B5811" t="s">
        <v>27</v>
      </c>
    </row>
    <row r="5812" spans="1:2" x14ac:dyDescent="0.35">
      <c r="A5812">
        <v>92</v>
      </c>
      <c r="B5812" s="2">
        <v>0.47092000000000001</v>
      </c>
    </row>
    <row r="5813" spans="1:2" x14ac:dyDescent="0.35">
      <c r="A5813">
        <v>92</v>
      </c>
      <c r="B5813" t="s">
        <v>1</v>
      </c>
    </row>
    <row r="5814" spans="1:2" x14ac:dyDescent="0.35">
      <c r="A5814">
        <v>92</v>
      </c>
      <c r="B5814">
        <v>1.4159999999999999</v>
      </c>
    </row>
    <row r="5815" spans="1:2" x14ac:dyDescent="0.35">
      <c r="A5815">
        <v>92</v>
      </c>
      <c r="B5815" t="s">
        <v>28</v>
      </c>
    </row>
    <row r="5816" spans="1:2" x14ac:dyDescent="0.35">
      <c r="A5816">
        <v>92</v>
      </c>
      <c r="B5816">
        <v>283</v>
      </c>
    </row>
    <row r="5817" spans="1:2" x14ac:dyDescent="0.35">
      <c r="A5817">
        <v>92</v>
      </c>
      <c r="B5817" t="s">
        <v>25</v>
      </c>
    </row>
    <row r="5818" spans="1:2" x14ac:dyDescent="0.35">
      <c r="A5818">
        <v>92</v>
      </c>
      <c r="B5818" s="2">
        <v>0.1166</v>
      </c>
    </row>
    <row r="5819" spans="1:2" x14ac:dyDescent="0.35">
      <c r="A5819">
        <v>92</v>
      </c>
      <c r="B5819" t="s">
        <v>29</v>
      </c>
    </row>
    <row r="5820" spans="1:2" x14ac:dyDescent="0.35">
      <c r="A5820">
        <v>92</v>
      </c>
      <c r="B5820" s="2">
        <v>-7.51E-2</v>
      </c>
    </row>
    <row r="5821" spans="1:2" x14ac:dyDescent="0.35">
      <c r="A5821">
        <v>92</v>
      </c>
      <c r="B5821" t="s">
        <v>30</v>
      </c>
    </row>
    <row r="5822" spans="1:2" x14ac:dyDescent="0.35">
      <c r="A5822">
        <v>92</v>
      </c>
      <c r="B5822" s="2">
        <v>0.86343000000000003</v>
      </c>
    </row>
    <row r="5823" spans="1:2" x14ac:dyDescent="0.35">
      <c r="A5823">
        <v>92</v>
      </c>
      <c r="B5823" t="s">
        <v>8</v>
      </c>
    </row>
    <row r="5824" spans="1:2" x14ac:dyDescent="0.35">
      <c r="A5824">
        <v>92</v>
      </c>
      <c r="B5824" s="2">
        <v>0.49099999999999999</v>
      </c>
    </row>
    <row r="5825" spans="1:2" x14ac:dyDescent="0.35">
      <c r="A5825">
        <v>92</v>
      </c>
      <c r="B5825" t="s">
        <v>31</v>
      </c>
    </row>
    <row r="5826" spans="1:2" x14ac:dyDescent="0.35">
      <c r="A5826">
        <v>92</v>
      </c>
      <c r="B5826">
        <v>0.70099999999999996</v>
      </c>
    </row>
    <row r="5827" spans="1:2" x14ac:dyDescent="0.35">
      <c r="A5827">
        <v>92</v>
      </c>
      <c r="B5827" t="s">
        <v>32</v>
      </c>
    </row>
    <row r="5828" spans="1:2" x14ac:dyDescent="0.35">
      <c r="A5828">
        <v>92</v>
      </c>
      <c r="B5828" s="2">
        <v>0.49281000000000003</v>
      </c>
    </row>
    <row r="5829" spans="1:2" x14ac:dyDescent="0.35">
      <c r="A5829">
        <v>92</v>
      </c>
      <c r="B5829" t="s">
        <v>33</v>
      </c>
    </row>
    <row r="5830" spans="1:2" x14ac:dyDescent="0.35">
      <c r="A5830">
        <v>92</v>
      </c>
      <c r="B5830" s="3">
        <v>0.33</v>
      </c>
    </row>
    <row r="5831" spans="1:2" x14ac:dyDescent="0.35">
      <c r="A5831">
        <v>92</v>
      </c>
      <c r="B5831" t="s">
        <v>34</v>
      </c>
    </row>
    <row r="5832" spans="1:2" x14ac:dyDescent="0.35">
      <c r="A5832">
        <v>92</v>
      </c>
      <c r="B5832" s="3">
        <v>0.67</v>
      </c>
    </row>
    <row r="5833" spans="1:2" x14ac:dyDescent="0.35">
      <c r="A5833">
        <v>92</v>
      </c>
      <c r="B5833" t="s">
        <v>26</v>
      </c>
    </row>
    <row r="5834" spans="1:2" x14ac:dyDescent="0.35">
      <c r="A5834">
        <v>92</v>
      </c>
      <c r="B5834">
        <v>1.55</v>
      </c>
    </row>
    <row r="5835" spans="1:2" x14ac:dyDescent="0.35">
      <c r="A5835">
        <v>92</v>
      </c>
      <c r="B5835" t="s">
        <v>23</v>
      </c>
    </row>
    <row r="5836" spans="1:2" x14ac:dyDescent="0.35">
      <c r="A5836">
        <v>92</v>
      </c>
      <c r="B5836">
        <v>0.92400000000000004</v>
      </c>
    </row>
    <row r="5837" spans="1:2" x14ac:dyDescent="0.35">
      <c r="A5837">
        <v>92</v>
      </c>
      <c r="B5837" t="s">
        <v>24</v>
      </c>
    </row>
    <row r="5838" spans="1:2" x14ac:dyDescent="0.35">
      <c r="A5838">
        <v>92</v>
      </c>
      <c r="B5838">
        <v>4.7430000000000003</v>
      </c>
    </row>
    <row r="5839" spans="1:2" x14ac:dyDescent="0.35">
      <c r="A5839">
        <v>92</v>
      </c>
      <c r="B5839" t="s">
        <v>35</v>
      </c>
    </row>
    <row r="5840" spans="1:2" x14ac:dyDescent="0.35">
      <c r="A5840">
        <v>92</v>
      </c>
      <c r="B5840">
        <v>0.86699999999999999</v>
      </c>
    </row>
    <row r="5841" spans="1:2" x14ac:dyDescent="0.35">
      <c r="A5841">
        <v>92</v>
      </c>
      <c r="B5841" t="s">
        <v>36</v>
      </c>
    </row>
    <row r="5842" spans="1:2" x14ac:dyDescent="0.35">
      <c r="A5842">
        <v>92</v>
      </c>
      <c r="B5842">
        <v>0.751</v>
      </c>
    </row>
    <row r="5843" spans="1:2" x14ac:dyDescent="0.35">
      <c r="A5843">
        <v>92</v>
      </c>
      <c r="B5843" t="s">
        <v>37</v>
      </c>
    </row>
    <row r="5844" spans="1:2" x14ac:dyDescent="0.35">
      <c r="A5844">
        <v>92</v>
      </c>
      <c r="B5844">
        <v>1.3779999999999999</v>
      </c>
    </row>
    <row r="5845" spans="1:2" x14ac:dyDescent="0.35">
      <c r="A5845">
        <v>92</v>
      </c>
      <c r="B5845" t="s">
        <v>38</v>
      </c>
    </row>
    <row r="5846" spans="1:2" x14ac:dyDescent="0.35">
      <c r="A5846">
        <v>92</v>
      </c>
      <c r="B5846">
        <v>0.84499999999999997</v>
      </c>
    </row>
    <row r="5847" spans="1:2" x14ac:dyDescent="0.35">
      <c r="A5847">
        <v>92</v>
      </c>
      <c r="B5847" t="s">
        <v>39</v>
      </c>
    </row>
    <row r="5848" spans="1:2" x14ac:dyDescent="0.35">
      <c r="A5848">
        <v>92</v>
      </c>
      <c r="B5848">
        <v>0.25900000000000001</v>
      </c>
    </row>
    <row r="5849" spans="1:2" x14ac:dyDescent="0.35">
      <c r="A5849">
        <v>92</v>
      </c>
      <c r="B5849" t="s">
        <v>40</v>
      </c>
    </row>
    <row r="5850" spans="1:2" x14ac:dyDescent="0.35">
      <c r="A5850">
        <v>92</v>
      </c>
      <c r="B5850" s="4">
        <v>0</v>
      </c>
    </row>
    <row r="5851" spans="1:2" x14ac:dyDescent="0.35">
      <c r="A5851">
        <v>92</v>
      </c>
      <c r="B5851" t="s">
        <v>41</v>
      </c>
    </row>
    <row r="5852" spans="1:2" x14ac:dyDescent="0.35">
      <c r="A5852">
        <v>92</v>
      </c>
      <c r="B5852" s="4">
        <v>12000000</v>
      </c>
    </row>
    <row r="5853" spans="1:2" x14ac:dyDescent="0.35">
      <c r="A5853">
        <v>92</v>
      </c>
      <c r="B5853" t="s">
        <v>42</v>
      </c>
    </row>
    <row r="5854" spans="1:2" x14ac:dyDescent="0.35">
      <c r="A5854">
        <v>92</v>
      </c>
      <c r="B5854" t="s">
        <v>46</v>
      </c>
    </row>
    <row r="5855" spans="1:2" x14ac:dyDescent="0.35">
      <c r="A5855">
        <v>91</v>
      </c>
      <c r="B5855" t="s">
        <v>27</v>
      </c>
    </row>
    <row r="5856" spans="1:2" x14ac:dyDescent="0.35">
      <c r="A5856">
        <v>91</v>
      </c>
      <c r="B5856" s="2">
        <v>0.47092000000000001</v>
      </c>
    </row>
    <row r="5857" spans="1:2" x14ac:dyDescent="0.35">
      <c r="A5857">
        <v>91</v>
      </c>
      <c r="B5857" t="s">
        <v>1</v>
      </c>
    </row>
    <row r="5858" spans="1:2" x14ac:dyDescent="0.35">
      <c r="A5858">
        <v>91</v>
      </c>
      <c r="B5858">
        <v>1.4159999999999999</v>
      </c>
    </row>
    <row r="5859" spans="1:2" x14ac:dyDescent="0.35">
      <c r="A5859">
        <v>91</v>
      </c>
      <c r="B5859" t="s">
        <v>28</v>
      </c>
    </row>
    <row r="5860" spans="1:2" x14ac:dyDescent="0.35">
      <c r="A5860">
        <v>91</v>
      </c>
      <c r="B5860">
        <v>283</v>
      </c>
    </row>
    <row r="5861" spans="1:2" x14ac:dyDescent="0.35">
      <c r="A5861">
        <v>91</v>
      </c>
      <c r="B5861" t="s">
        <v>25</v>
      </c>
    </row>
    <row r="5862" spans="1:2" x14ac:dyDescent="0.35">
      <c r="A5862">
        <v>91</v>
      </c>
      <c r="B5862" s="2">
        <v>0.1166</v>
      </c>
    </row>
    <row r="5863" spans="1:2" x14ac:dyDescent="0.35">
      <c r="A5863">
        <v>91</v>
      </c>
      <c r="B5863" t="s">
        <v>29</v>
      </c>
    </row>
    <row r="5864" spans="1:2" x14ac:dyDescent="0.35">
      <c r="A5864">
        <v>91</v>
      </c>
      <c r="B5864" s="2">
        <v>-7.51E-2</v>
      </c>
    </row>
    <row r="5865" spans="1:2" x14ac:dyDescent="0.35">
      <c r="A5865">
        <v>91</v>
      </c>
      <c r="B5865" t="s">
        <v>30</v>
      </c>
    </row>
    <row r="5866" spans="1:2" x14ac:dyDescent="0.35">
      <c r="A5866">
        <v>91</v>
      </c>
      <c r="B5866" s="2">
        <v>0.86343000000000003</v>
      </c>
    </row>
    <row r="5867" spans="1:2" x14ac:dyDescent="0.35">
      <c r="A5867">
        <v>91</v>
      </c>
      <c r="B5867" t="s">
        <v>8</v>
      </c>
    </row>
    <row r="5868" spans="1:2" x14ac:dyDescent="0.35">
      <c r="A5868">
        <v>91</v>
      </c>
      <c r="B5868" s="2">
        <v>0.49099999999999999</v>
      </c>
    </row>
    <row r="5869" spans="1:2" x14ac:dyDescent="0.35">
      <c r="A5869">
        <v>91</v>
      </c>
      <c r="B5869" t="s">
        <v>31</v>
      </c>
    </row>
    <row r="5870" spans="1:2" x14ac:dyDescent="0.35">
      <c r="A5870">
        <v>91</v>
      </c>
      <c r="B5870">
        <v>0.70099999999999996</v>
      </c>
    </row>
    <row r="5871" spans="1:2" x14ac:dyDescent="0.35">
      <c r="A5871">
        <v>91</v>
      </c>
      <c r="B5871" t="s">
        <v>32</v>
      </c>
    </row>
    <row r="5872" spans="1:2" x14ac:dyDescent="0.35">
      <c r="A5872">
        <v>91</v>
      </c>
      <c r="B5872" s="2">
        <v>0.49281000000000003</v>
      </c>
    </row>
    <row r="5873" spans="1:2" x14ac:dyDescent="0.35">
      <c r="A5873">
        <v>91</v>
      </c>
      <c r="B5873" t="s">
        <v>33</v>
      </c>
    </row>
    <row r="5874" spans="1:2" x14ac:dyDescent="0.35">
      <c r="A5874">
        <v>91</v>
      </c>
      <c r="B5874" s="3">
        <v>0.33</v>
      </c>
    </row>
    <row r="5875" spans="1:2" x14ac:dyDescent="0.35">
      <c r="A5875">
        <v>91</v>
      </c>
      <c r="B5875" t="s">
        <v>34</v>
      </c>
    </row>
    <row r="5876" spans="1:2" x14ac:dyDescent="0.35">
      <c r="A5876">
        <v>91</v>
      </c>
      <c r="B5876" s="3">
        <v>0.67</v>
      </c>
    </row>
    <row r="5877" spans="1:2" x14ac:dyDescent="0.35">
      <c r="A5877">
        <v>91</v>
      </c>
      <c r="B5877" t="s">
        <v>26</v>
      </c>
    </row>
    <row r="5878" spans="1:2" x14ac:dyDescent="0.35">
      <c r="A5878">
        <v>91</v>
      </c>
      <c r="B5878">
        <v>1.55</v>
      </c>
    </row>
    <row r="5879" spans="1:2" x14ac:dyDescent="0.35">
      <c r="A5879">
        <v>91</v>
      </c>
      <c r="B5879" t="s">
        <v>23</v>
      </c>
    </row>
    <row r="5880" spans="1:2" x14ac:dyDescent="0.35">
      <c r="A5880">
        <v>91</v>
      </c>
      <c r="B5880">
        <v>0.92400000000000004</v>
      </c>
    </row>
    <row r="5881" spans="1:2" x14ac:dyDescent="0.35">
      <c r="A5881">
        <v>91</v>
      </c>
      <c r="B5881" t="s">
        <v>24</v>
      </c>
    </row>
    <row r="5882" spans="1:2" x14ac:dyDescent="0.35">
      <c r="A5882">
        <v>91</v>
      </c>
      <c r="B5882">
        <v>4.7430000000000003</v>
      </c>
    </row>
    <row r="5883" spans="1:2" x14ac:dyDescent="0.35">
      <c r="A5883">
        <v>91</v>
      </c>
      <c r="B5883" t="s">
        <v>35</v>
      </c>
    </row>
    <row r="5884" spans="1:2" x14ac:dyDescent="0.35">
      <c r="A5884">
        <v>91</v>
      </c>
      <c r="B5884">
        <v>0.86699999999999999</v>
      </c>
    </row>
    <row r="5885" spans="1:2" x14ac:dyDescent="0.35">
      <c r="A5885">
        <v>91</v>
      </c>
      <c r="B5885" t="s">
        <v>36</v>
      </c>
    </row>
    <row r="5886" spans="1:2" x14ac:dyDescent="0.35">
      <c r="A5886">
        <v>91</v>
      </c>
      <c r="B5886">
        <v>0.751</v>
      </c>
    </row>
    <row r="5887" spans="1:2" x14ac:dyDescent="0.35">
      <c r="A5887">
        <v>91</v>
      </c>
      <c r="B5887" t="s">
        <v>37</v>
      </c>
    </row>
    <row r="5888" spans="1:2" x14ac:dyDescent="0.35">
      <c r="A5888">
        <v>91</v>
      </c>
      <c r="B5888">
        <v>1.3779999999999999</v>
      </c>
    </row>
    <row r="5889" spans="1:2" x14ac:dyDescent="0.35">
      <c r="A5889">
        <v>91</v>
      </c>
      <c r="B5889" t="s">
        <v>38</v>
      </c>
    </row>
    <row r="5890" spans="1:2" x14ac:dyDescent="0.35">
      <c r="A5890">
        <v>91</v>
      </c>
      <c r="B5890">
        <v>0.84499999999999997</v>
      </c>
    </row>
    <row r="5891" spans="1:2" x14ac:dyDescent="0.35">
      <c r="A5891">
        <v>91</v>
      </c>
      <c r="B5891" t="s">
        <v>39</v>
      </c>
    </row>
    <row r="5892" spans="1:2" x14ac:dyDescent="0.35">
      <c r="A5892">
        <v>91</v>
      </c>
      <c r="B5892">
        <v>0.25900000000000001</v>
      </c>
    </row>
    <row r="5893" spans="1:2" x14ac:dyDescent="0.35">
      <c r="A5893">
        <v>91</v>
      </c>
      <c r="B5893" t="s">
        <v>40</v>
      </c>
    </row>
    <row r="5894" spans="1:2" x14ac:dyDescent="0.35">
      <c r="A5894">
        <v>91</v>
      </c>
      <c r="B5894" s="4">
        <v>0</v>
      </c>
    </row>
    <row r="5895" spans="1:2" x14ac:dyDescent="0.35">
      <c r="A5895">
        <v>91</v>
      </c>
      <c r="B5895" t="s">
        <v>41</v>
      </c>
    </row>
    <row r="5896" spans="1:2" x14ac:dyDescent="0.35">
      <c r="A5896">
        <v>91</v>
      </c>
      <c r="B5896" s="4">
        <v>12000000</v>
      </c>
    </row>
    <row r="5897" spans="1:2" x14ac:dyDescent="0.35">
      <c r="A5897">
        <v>91</v>
      </c>
      <c r="B5897" t="s">
        <v>42</v>
      </c>
    </row>
    <row r="5898" spans="1:2" x14ac:dyDescent="0.35">
      <c r="A5898">
        <v>91</v>
      </c>
      <c r="B5898" t="s">
        <v>46</v>
      </c>
    </row>
    <row r="5899" spans="1:2" x14ac:dyDescent="0.35">
      <c r="A5899">
        <v>81</v>
      </c>
      <c r="B5899" t="s">
        <v>27</v>
      </c>
    </row>
    <row r="5900" spans="1:2" x14ac:dyDescent="0.35">
      <c r="A5900">
        <v>81</v>
      </c>
      <c r="B5900" s="2">
        <v>0.47092000000000001</v>
      </c>
    </row>
    <row r="5901" spans="1:2" x14ac:dyDescent="0.35">
      <c r="A5901">
        <v>81</v>
      </c>
      <c r="B5901" t="s">
        <v>1</v>
      </c>
    </row>
    <row r="5902" spans="1:2" x14ac:dyDescent="0.35">
      <c r="A5902">
        <v>81</v>
      </c>
      <c r="B5902">
        <v>1.4159999999999999</v>
      </c>
    </row>
    <row r="5903" spans="1:2" x14ac:dyDescent="0.35">
      <c r="A5903">
        <v>81</v>
      </c>
      <c r="B5903" t="s">
        <v>28</v>
      </c>
    </row>
    <row r="5904" spans="1:2" x14ac:dyDescent="0.35">
      <c r="A5904">
        <v>81</v>
      </c>
      <c r="B5904">
        <v>283</v>
      </c>
    </row>
    <row r="5905" spans="1:2" x14ac:dyDescent="0.35">
      <c r="A5905">
        <v>81</v>
      </c>
      <c r="B5905" t="s">
        <v>25</v>
      </c>
    </row>
    <row r="5906" spans="1:2" x14ac:dyDescent="0.35">
      <c r="A5906">
        <v>81</v>
      </c>
      <c r="B5906" s="2">
        <v>0.1166</v>
      </c>
    </row>
    <row r="5907" spans="1:2" x14ac:dyDescent="0.35">
      <c r="A5907">
        <v>81</v>
      </c>
      <c r="B5907" t="s">
        <v>29</v>
      </c>
    </row>
    <row r="5908" spans="1:2" x14ac:dyDescent="0.35">
      <c r="A5908">
        <v>81</v>
      </c>
      <c r="B5908" s="2">
        <v>-7.51E-2</v>
      </c>
    </row>
    <row r="5909" spans="1:2" x14ac:dyDescent="0.35">
      <c r="A5909">
        <v>81</v>
      </c>
      <c r="B5909" t="s">
        <v>30</v>
      </c>
    </row>
    <row r="5910" spans="1:2" x14ac:dyDescent="0.35">
      <c r="A5910">
        <v>81</v>
      </c>
      <c r="B5910" s="2">
        <v>0.86343000000000003</v>
      </c>
    </row>
    <row r="5911" spans="1:2" x14ac:dyDescent="0.35">
      <c r="A5911">
        <v>81</v>
      </c>
      <c r="B5911" t="s">
        <v>8</v>
      </c>
    </row>
    <row r="5912" spans="1:2" x14ac:dyDescent="0.35">
      <c r="A5912">
        <v>81</v>
      </c>
      <c r="B5912" s="2">
        <v>0.49099999999999999</v>
      </c>
    </row>
    <row r="5913" spans="1:2" x14ac:dyDescent="0.35">
      <c r="A5913">
        <v>81</v>
      </c>
      <c r="B5913" t="s">
        <v>31</v>
      </c>
    </row>
    <row r="5914" spans="1:2" x14ac:dyDescent="0.35">
      <c r="A5914">
        <v>81</v>
      </c>
      <c r="B5914">
        <v>0.70099999999999996</v>
      </c>
    </row>
    <row r="5915" spans="1:2" x14ac:dyDescent="0.35">
      <c r="A5915">
        <v>81</v>
      </c>
      <c r="B5915" t="s">
        <v>32</v>
      </c>
    </row>
    <row r="5916" spans="1:2" x14ac:dyDescent="0.35">
      <c r="A5916">
        <v>81</v>
      </c>
      <c r="B5916" s="2">
        <v>0.49281000000000003</v>
      </c>
    </row>
    <row r="5917" spans="1:2" x14ac:dyDescent="0.35">
      <c r="A5917">
        <v>81</v>
      </c>
      <c r="B5917" t="s">
        <v>33</v>
      </c>
    </row>
    <row r="5918" spans="1:2" x14ac:dyDescent="0.35">
      <c r="A5918">
        <v>81</v>
      </c>
      <c r="B5918" s="3">
        <v>0.33</v>
      </c>
    </row>
    <row r="5919" spans="1:2" x14ac:dyDescent="0.35">
      <c r="A5919">
        <v>81</v>
      </c>
      <c r="B5919" t="s">
        <v>34</v>
      </c>
    </row>
    <row r="5920" spans="1:2" x14ac:dyDescent="0.35">
      <c r="A5920">
        <v>81</v>
      </c>
      <c r="B5920" s="3">
        <v>0.67</v>
      </c>
    </row>
    <row r="5921" spans="1:2" x14ac:dyDescent="0.35">
      <c r="A5921">
        <v>81</v>
      </c>
      <c r="B5921" t="s">
        <v>26</v>
      </c>
    </row>
    <row r="5922" spans="1:2" x14ac:dyDescent="0.35">
      <c r="A5922">
        <v>81</v>
      </c>
      <c r="B5922">
        <v>1.55</v>
      </c>
    </row>
    <row r="5923" spans="1:2" x14ac:dyDescent="0.35">
      <c r="A5923">
        <v>81</v>
      </c>
      <c r="B5923" t="s">
        <v>23</v>
      </c>
    </row>
    <row r="5924" spans="1:2" x14ac:dyDescent="0.35">
      <c r="A5924">
        <v>81</v>
      </c>
      <c r="B5924">
        <v>0.92400000000000004</v>
      </c>
    </row>
    <row r="5925" spans="1:2" x14ac:dyDescent="0.35">
      <c r="A5925">
        <v>81</v>
      </c>
      <c r="B5925" t="s">
        <v>24</v>
      </c>
    </row>
    <row r="5926" spans="1:2" x14ac:dyDescent="0.35">
      <c r="A5926">
        <v>81</v>
      </c>
      <c r="B5926">
        <v>4.7430000000000003</v>
      </c>
    </row>
    <row r="5927" spans="1:2" x14ac:dyDescent="0.35">
      <c r="A5927">
        <v>81</v>
      </c>
      <c r="B5927" t="s">
        <v>35</v>
      </c>
    </row>
    <row r="5928" spans="1:2" x14ac:dyDescent="0.35">
      <c r="A5928">
        <v>81</v>
      </c>
      <c r="B5928">
        <v>0.86699999999999999</v>
      </c>
    </row>
    <row r="5929" spans="1:2" x14ac:dyDescent="0.35">
      <c r="A5929">
        <v>81</v>
      </c>
      <c r="B5929" t="s">
        <v>36</v>
      </c>
    </row>
    <row r="5930" spans="1:2" x14ac:dyDescent="0.35">
      <c r="A5930">
        <v>81</v>
      </c>
      <c r="B5930">
        <v>0.751</v>
      </c>
    </row>
    <row r="5931" spans="1:2" x14ac:dyDescent="0.35">
      <c r="A5931">
        <v>81</v>
      </c>
      <c r="B5931" t="s">
        <v>37</v>
      </c>
    </row>
    <row r="5932" spans="1:2" x14ac:dyDescent="0.35">
      <c r="A5932">
        <v>81</v>
      </c>
      <c r="B5932">
        <v>1.3779999999999999</v>
      </c>
    </row>
    <row r="5933" spans="1:2" x14ac:dyDescent="0.35">
      <c r="A5933">
        <v>81</v>
      </c>
      <c r="B5933" t="s">
        <v>38</v>
      </c>
    </row>
    <row r="5934" spans="1:2" x14ac:dyDescent="0.35">
      <c r="A5934">
        <v>81</v>
      </c>
      <c r="B5934">
        <v>0.84499999999999997</v>
      </c>
    </row>
    <row r="5935" spans="1:2" x14ac:dyDescent="0.35">
      <c r="A5935">
        <v>81</v>
      </c>
      <c r="B5935" t="s">
        <v>39</v>
      </c>
    </row>
    <row r="5936" spans="1:2" x14ac:dyDescent="0.35">
      <c r="A5936">
        <v>81</v>
      </c>
      <c r="B5936">
        <v>0.25900000000000001</v>
      </c>
    </row>
    <row r="5937" spans="1:2" x14ac:dyDescent="0.35">
      <c r="A5937">
        <v>81</v>
      </c>
      <c r="B5937" t="s">
        <v>40</v>
      </c>
    </row>
    <row r="5938" spans="1:2" x14ac:dyDescent="0.35">
      <c r="A5938">
        <v>81</v>
      </c>
      <c r="B5938" s="4">
        <v>0</v>
      </c>
    </row>
    <row r="5939" spans="1:2" x14ac:dyDescent="0.35">
      <c r="A5939">
        <v>81</v>
      </c>
      <c r="B5939" t="s">
        <v>41</v>
      </c>
    </row>
    <row r="5940" spans="1:2" x14ac:dyDescent="0.35">
      <c r="A5940">
        <v>81</v>
      </c>
      <c r="B5940" s="4">
        <v>12000000</v>
      </c>
    </row>
    <row r="5941" spans="1:2" x14ac:dyDescent="0.35">
      <c r="A5941">
        <v>81</v>
      </c>
      <c r="B5941" t="s">
        <v>42</v>
      </c>
    </row>
    <row r="5942" spans="1:2" x14ac:dyDescent="0.35">
      <c r="A5942">
        <v>81</v>
      </c>
      <c r="B5942" t="s">
        <v>46</v>
      </c>
    </row>
    <row r="5943" spans="1:2" x14ac:dyDescent="0.35">
      <c r="A5943">
        <v>80</v>
      </c>
      <c r="B5943" s="2" t="s">
        <v>27</v>
      </c>
    </row>
    <row r="5944" spans="1:2" x14ac:dyDescent="0.35">
      <c r="A5944">
        <v>80</v>
      </c>
      <c r="B5944" s="2">
        <v>0.47092000000000001</v>
      </c>
    </row>
    <row r="5945" spans="1:2" x14ac:dyDescent="0.35">
      <c r="A5945">
        <v>80</v>
      </c>
      <c r="B5945" t="s">
        <v>1</v>
      </c>
    </row>
    <row r="5946" spans="1:2" x14ac:dyDescent="0.35">
      <c r="A5946">
        <v>80</v>
      </c>
      <c r="B5946">
        <v>1.4159999999999999</v>
      </c>
    </row>
    <row r="5947" spans="1:2" x14ac:dyDescent="0.35">
      <c r="A5947">
        <v>80</v>
      </c>
      <c r="B5947" t="s">
        <v>28</v>
      </c>
    </row>
    <row r="5948" spans="1:2" x14ac:dyDescent="0.35">
      <c r="A5948">
        <v>80</v>
      </c>
      <c r="B5948">
        <v>283</v>
      </c>
    </row>
    <row r="5949" spans="1:2" x14ac:dyDescent="0.35">
      <c r="A5949">
        <v>80</v>
      </c>
      <c r="B5949" s="2" t="s">
        <v>25</v>
      </c>
    </row>
    <row r="5950" spans="1:2" x14ac:dyDescent="0.35">
      <c r="A5950">
        <v>80</v>
      </c>
      <c r="B5950" s="2">
        <v>0.1166</v>
      </c>
    </row>
    <row r="5951" spans="1:2" x14ac:dyDescent="0.35">
      <c r="A5951">
        <v>80</v>
      </c>
      <c r="B5951" s="2" t="s">
        <v>29</v>
      </c>
    </row>
    <row r="5952" spans="1:2" x14ac:dyDescent="0.35">
      <c r="A5952">
        <v>80</v>
      </c>
      <c r="B5952" s="2">
        <v>-7.51E-2</v>
      </c>
    </row>
    <row r="5953" spans="1:2" x14ac:dyDescent="0.35">
      <c r="A5953">
        <v>80</v>
      </c>
      <c r="B5953" s="2" t="s">
        <v>30</v>
      </c>
    </row>
    <row r="5954" spans="1:2" x14ac:dyDescent="0.35">
      <c r="A5954">
        <v>80</v>
      </c>
      <c r="B5954" s="2">
        <v>0.86343000000000003</v>
      </c>
    </row>
    <row r="5955" spans="1:2" x14ac:dyDescent="0.35">
      <c r="A5955">
        <v>80</v>
      </c>
      <c r="B5955" s="2" t="s">
        <v>8</v>
      </c>
    </row>
    <row r="5956" spans="1:2" x14ac:dyDescent="0.35">
      <c r="A5956">
        <v>80</v>
      </c>
      <c r="B5956" s="2">
        <v>0.49099999999999999</v>
      </c>
    </row>
    <row r="5957" spans="1:2" x14ac:dyDescent="0.35">
      <c r="A5957">
        <v>80</v>
      </c>
      <c r="B5957" t="s">
        <v>31</v>
      </c>
    </row>
    <row r="5958" spans="1:2" x14ac:dyDescent="0.35">
      <c r="A5958">
        <v>80</v>
      </c>
      <c r="B5958">
        <v>0.70099999999999996</v>
      </c>
    </row>
    <row r="5959" spans="1:2" x14ac:dyDescent="0.35">
      <c r="A5959">
        <v>80</v>
      </c>
      <c r="B5959" s="2" t="s">
        <v>32</v>
      </c>
    </row>
    <row r="5960" spans="1:2" x14ac:dyDescent="0.35">
      <c r="A5960">
        <v>80</v>
      </c>
      <c r="B5960" s="2">
        <v>0.49281000000000003</v>
      </c>
    </row>
    <row r="5961" spans="1:2" x14ac:dyDescent="0.35">
      <c r="A5961">
        <v>80</v>
      </c>
      <c r="B5961" s="3" t="s">
        <v>33</v>
      </c>
    </row>
    <row r="5962" spans="1:2" x14ac:dyDescent="0.35">
      <c r="A5962">
        <v>80</v>
      </c>
      <c r="B5962" s="3">
        <v>0.33</v>
      </c>
    </row>
    <row r="5963" spans="1:2" x14ac:dyDescent="0.35">
      <c r="A5963">
        <v>80</v>
      </c>
      <c r="B5963" s="3" t="s">
        <v>34</v>
      </c>
    </row>
    <row r="5964" spans="1:2" x14ac:dyDescent="0.35">
      <c r="A5964">
        <v>80</v>
      </c>
      <c r="B5964" s="3">
        <v>0.67</v>
      </c>
    </row>
    <row r="5965" spans="1:2" x14ac:dyDescent="0.35">
      <c r="A5965">
        <v>80</v>
      </c>
      <c r="B5965" t="s">
        <v>26</v>
      </c>
    </row>
    <row r="5966" spans="1:2" x14ac:dyDescent="0.35">
      <c r="A5966">
        <v>80</v>
      </c>
      <c r="B5966">
        <v>1.55</v>
      </c>
    </row>
    <row r="5967" spans="1:2" x14ac:dyDescent="0.35">
      <c r="A5967">
        <v>80</v>
      </c>
      <c r="B5967" t="s">
        <v>23</v>
      </c>
    </row>
    <row r="5968" spans="1:2" x14ac:dyDescent="0.35">
      <c r="A5968">
        <v>80</v>
      </c>
      <c r="B5968">
        <v>0.92400000000000004</v>
      </c>
    </row>
    <row r="5969" spans="1:2" x14ac:dyDescent="0.35">
      <c r="A5969">
        <v>80</v>
      </c>
      <c r="B5969" t="s">
        <v>24</v>
      </c>
    </row>
    <row r="5970" spans="1:2" x14ac:dyDescent="0.35">
      <c r="A5970">
        <v>80</v>
      </c>
      <c r="B5970">
        <v>4.7430000000000003</v>
      </c>
    </row>
    <row r="5971" spans="1:2" x14ac:dyDescent="0.35">
      <c r="A5971">
        <v>80</v>
      </c>
      <c r="B5971" t="s">
        <v>35</v>
      </c>
    </row>
    <row r="5972" spans="1:2" x14ac:dyDescent="0.35">
      <c r="A5972">
        <v>80</v>
      </c>
      <c r="B5972">
        <v>0.86699999999999999</v>
      </c>
    </row>
    <row r="5973" spans="1:2" x14ac:dyDescent="0.35">
      <c r="A5973">
        <v>80</v>
      </c>
      <c r="B5973" t="s">
        <v>36</v>
      </c>
    </row>
    <row r="5974" spans="1:2" x14ac:dyDescent="0.35">
      <c r="A5974">
        <v>80</v>
      </c>
      <c r="B5974">
        <v>0.751</v>
      </c>
    </row>
    <row r="5975" spans="1:2" x14ac:dyDescent="0.35">
      <c r="A5975">
        <v>80</v>
      </c>
      <c r="B5975" t="s">
        <v>37</v>
      </c>
    </row>
    <row r="5976" spans="1:2" x14ac:dyDescent="0.35">
      <c r="A5976">
        <v>80</v>
      </c>
      <c r="B5976">
        <v>1.3779999999999999</v>
      </c>
    </row>
    <row r="5977" spans="1:2" x14ac:dyDescent="0.35">
      <c r="A5977">
        <v>80</v>
      </c>
      <c r="B5977" t="s">
        <v>38</v>
      </c>
    </row>
    <row r="5978" spans="1:2" x14ac:dyDescent="0.35">
      <c r="A5978">
        <v>80</v>
      </c>
      <c r="B5978">
        <v>0.84499999999999997</v>
      </c>
    </row>
    <row r="5979" spans="1:2" x14ac:dyDescent="0.35">
      <c r="A5979">
        <v>80</v>
      </c>
      <c r="B5979" t="s">
        <v>39</v>
      </c>
    </row>
    <row r="5980" spans="1:2" x14ac:dyDescent="0.35">
      <c r="A5980">
        <v>80</v>
      </c>
      <c r="B5980">
        <v>0.25900000000000001</v>
      </c>
    </row>
    <row r="5981" spans="1:2" x14ac:dyDescent="0.35">
      <c r="A5981">
        <v>80</v>
      </c>
      <c r="B5981" s="4" t="s">
        <v>40</v>
      </c>
    </row>
    <row r="5982" spans="1:2" x14ac:dyDescent="0.35">
      <c r="A5982">
        <v>80</v>
      </c>
      <c r="B5982" s="4">
        <v>0</v>
      </c>
    </row>
    <row r="5983" spans="1:2" x14ac:dyDescent="0.35">
      <c r="A5983">
        <v>80</v>
      </c>
      <c r="B5983" s="4" t="s">
        <v>41</v>
      </c>
    </row>
    <row r="5984" spans="1:2" x14ac:dyDescent="0.35">
      <c r="A5984">
        <v>80</v>
      </c>
      <c r="B5984" s="4">
        <v>12000000</v>
      </c>
    </row>
    <row r="5985" spans="1:2" x14ac:dyDescent="0.35">
      <c r="A5985">
        <v>80</v>
      </c>
      <c r="B5985" t="s">
        <v>42</v>
      </c>
    </row>
    <row r="5986" spans="1:2" x14ac:dyDescent="0.35">
      <c r="A5986">
        <v>80</v>
      </c>
      <c r="B5986" t="s">
        <v>46</v>
      </c>
    </row>
    <row r="5987" spans="1:2" x14ac:dyDescent="0.35">
      <c r="A5987">
        <v>79</v>
      </c>
      <c r="B5987" t="s">
        <v>27</v>
      </c>
    </row>
    <row r="5988" spans="1:2" x14ac:dyDescent="0.35">
      <c r="A5988">
        <v>79</v>
      </c>
      <c r="B5988" s="2">
        <v>0.47092000000000001</v>
      </c>
    </row>
    <row r="5989" spans="1:2" x14ac:dyDescent="0.35">
      <c r="A5989">
        <v>79</v>
      </c>
      <c r="B5989" t="s">
        <v>1</v>
      </c>
    </row>
    <row r="5990" spans="1:2" x14ac:dyDescent="0.35">
      <c r="A5990">
        <v>79</v>
      </c>
      <c r="B5990">
        <v>1.4159999999999999</v>
      </c>
    </row>
    <row r="5991" spans="1:2" x14ac:dyDescent="0.35">
      <c r="A5991">
        <v>79</v>
      </c>
      <c r="B5991" t="s">
        <v>28</v>
      </c>
    </row>
    <row r="5992" spans="1:2" x14ac:dyDescent="0.35">
      <c r="A5992">
        <v>79</v>
      </c>
      <c r="B5992">
        <v>283</v>
      </c>
    </row>
    <row r="5993" spans="1:2" x14ac:dyDescent="0.35">
      <c r="A5993">
        <v>79</v>
      </c>
      <c r="B5993" t="s">
        <v>25</v>
      </c>
    </row>
    <row r="5994" spans="1:2" x14ac:dyDescent="0.35">
      <c r="A5994">
        <v>79</v>
      </c>
      <c r="B5994" s="2">
        <v>0.1166</v>
      </c>
    </row>
    <row r="5995" spans="1:2" x14ac:dyDescent="0.35">
      <c r="A5995">
        <v>79</v>
      </c>
      <c r="B5995" t="s">
        <v>29</v>
      </c>
    </row>
    <row r="5996" spans="1:2" x14ac:dyDescent="0.35">
      <c r="A5996">
        <v>79</v>
      </c>
      <c r="B5996" s="2">
        <v>-7.51E-2</v>
      </c>
    </row>
    <row r="5997" spans="1:2" x14ac:dyDescent="0.35">
      <c r="A5997">
        <v>79</v>
      </c>
      <c r="B5997" t="s">
        <v>30</v>
      </c>
    </row>
    <row r="5998" spans="1:2" x14ac:dyDescent="0.35">
      <c r="A5998">
        <v>79</v>
      </c>
      <c r="B5998" s="2">
        <v>0.86343000000000003</v>
      </c>
    </row>
    <row r="5999" spans="1:2" x14ac:dyDescent="0.35">
      <c r="A5999">
        <v>79</v>
      </c>
      <c r="B5999" t="s">
        <v>8</v>
      </c>
    </row>
    <row r="6000" spans="1:2" x14ac:dyDescent="0.35">
      <c r="A6000">
        <v>79</v>
      </c>
      <c r="B6000" s="2">
        <v>0.49099999999999999</v>
      </c>
    </row>
    <row r="6001" spans="1:2" x14ac:dyDescent="0.35">
      <c r="A6001">
        <v>79</v>
      </c>
      <c r="B6001" t="s">
        <v>31</v>
      </c>
    </row>
    <row r="6002" spans="1:2" x14ac:dyDescent="0.35">
      <c r="A6002">
        <v>79</v>
      </c>
      <c r="B6002">
        <v>0.70099999999999996</v>
      </c>
    </row>
    <row r="6003" spans="1:2" x14ac:dyDescent="0.35">
      <c r="A6003">
        <v>79</v>
      </c>
      <c r="B6003" t="s">
        <v>32</v>
      </c>
    </row>
    <row r="6004" spans="1:2" x14ac:dyDescent="0.35">
      <c r="A6004">
        <v>79</v>
      </c>
      <c r="B6004" s="2">
        <v>0.49281000000000003</v>
      </c>
    </row>
    <row r="6005" spans="1:2" x14ac:dyDescent="0.35">
      <c r="A6005">
        <v>79</v>
      </c>
      <c r="B6005" t="s">
        <v>33</v>
      </c>
    </row>
    <row r="6006" spans="1:2" x14ac:dyDescent="0.35">
      <c r="A6006">
        <v>79</v>
      </c>
      <c r="B6006" s="3">
        <v>0.33</v>
      </c>
    </row>
    <row r="6007" spans="1:2" x14ac:dyDescent="0.35">
      <c r="A6007">
        <v>79</v>
      </c>
      <c r="B6007" t="s">
        <v>34</v>
      </c>
    </row>
    <row r="6008" spans="1:2" x14ac:dyDescent="0.35">
      <c r="A6008">
        <v>79</v>
      </c>
      <c r="B6008" s="3">
        <v>0.67</v>
      </c>
    </row>
    <row r="6009" spans="1:2" x14ac:dyDescent="0.35">
      <c r="A6009">
        <v>79</v>
      </c>
      <c r="B6009" t="s">
        <v>26</v>
      </c>
    </row>
    <row r="6010" spans="1:2" x14ac:dyDescent="0.35">
      <c r="A6010">
        <v>79</v>
      </c>
      <c r="B6010">
        <v>1.55</v>
      </c>
    </row>
    <row r="6011" spans="1:2" x14ac:dyDescent="0.35">
      <c r="A6011">
        <v>79</v>
      </c>
      <c r="B6011" t="s">
        <v>23</v>
      </c>
    </row>
    <row r="6012" spans="1:2" x14ac:dyDescent="0.35">
      <c r="A6012">
        <v>79</v>
      </c>
      <c r="B6012">
        <v>0.92400000000000004</v>
      </c>
    </row>
    <row r="6013" spans="1:2" x14ac:dyDescent="0.35">
      <c r="A6013">
        <v>79</v>
      </c>
      <c r="B6013" t="s">
        <v>24</v>
      </c>
    </row>
    <row r="6014" spans="1:2" x14ac:dyDescent="0.35">
      <c r="A6014">
        <v>79</v>
      </c>
      <c r="B6014">
        <v>4.7430000000000003</v>
      </c>
    </row>
    <row r="6015" spans="1:2" x14ac:dyDescent="0.35">
      <c r="A6015">
        <v>79</v>
      </c>
      <c r="B6015" t="s">
        <v>35</v>
      </c>
    </row>
    <row r="6016" spans="1:2" x14ac:dyDescent="0.35">
      <c r="A6016">
        <v>79</v>
      </c>
      <c r="B6016">
        <v>0.86699999999999999</v>
      </c>
    </row>
    <row r="6017" spans="1:2" x14ac:dyDescent="0.35">
      <c r="A6017">
        <v>79</v>
      </c>
      <c r="B6017" t="s">
        <v>36</v>
      </c>
    </row>
    <row r="6018" spans="1:2" x14ac:dyDescent="0.35">
      <c r="A6018">
        <v>79</v>
      </c>
      <c r="B6018">
        <v>0.751</v>
      </c>
    </row>
    <row r="6019" spans="1:2" x14ac:dyDescent="0.35">
      <c r="A6019">
        <v>79</v>
      </c>
      <c r="B6019" t="s">
        <v>37</v>
      </c>
    </row>
    <row r="6020" spans="1:2" x14ac:dyDescent="0.35">
      <c r="A6020">
        <v>79</v>
      </c>
      <c r="B6020">
        <v>1.3779999999999999</v>
      </c>
    </row>
    <row r="6021" spans="1:2" x14ac:dyDescent="0.35">
      <c r="A6021">
        <v>79</v>
      </c>
      <c r="B6021" t="s">
        <v>38</v>
      </c>
    </row>
    <row r="6022" spans="1:2" x14ac:dyDescent="0.35">
      <c r="A6022">
        <v>79</v>
      </c>
      <c r="B6022">
        <v>0.84499999999999997</v>
      </c>
    </row>
    <row r="6023" spans="1:2" x14ac:dyDescent="0.35">
      <c r="A6023">
        <v>79</v>
      </c>
      <c r="B6023" t="s">
        <v>39</v>
      </c>
    </row>
    <row r="6024" spans="1:2" x14ac:dyDescent="0.35">
      <c r="A6024">
        <v>79</v>
      </c>
      <c r="B6024">
        <v>0.25900000000000001</v>
      </c>
    </row>
    <row r="6025" spans="1:2" x14ac:dyDescent="0.35">
      <c r="A6025">
        <v>79</v>
      </c>
      <c r="B6025" t="s">
        <v>40</v>
      </c>
    </row>
    <row r="6026" spans="1:2" x14ac:dyDescent="0.35">
      <c r="A6026">
        <v>79</v>
      </c>
      <c r="B6026" s="4">
        <v>0</v>
      </c>
    </row>
    <row r="6027" spans="1:2" x14ac:dyDescent="0.35">
      <c r="A6027">
        <v>79</v>
      </c>
      <c r="B6027" t="s">
        <v>41</v>
      </c>
    </row>
    <row r="6028" spans="1:2" x14ac:dyDescent="0.35">
      <c r="A6028">
        <v>79</v>
      </c>
      <c r="B6028" s="4">
        <v>12000000</v>
      </c>
    </row>
    <row r="6029" spans="1:2" x14ac:dyDescent="0.35">
      <c r="A6029">
        <v>79</v>
      </c>
      <c r="B6029" t="s">
        <v>42</v>
      </c>
    </row>
    <row r="6030" spans="1:2" x14ac:dyDescent="0.35">
      <c r="A6030">
        <v>79</v>
      </c>
      <c r="B6030" t="s">
        <v>46</v>
      </c>
    </row>
    <row r="6031" spans="1:2" x14ac:dyDescent="0.35">
      <c r="A6031">
        <v>78</v>
      </c>
      <c r="B6031" t="s">
        <v>27</v>
      </c>
    </row>
    <row r="6032" spans="1:2" x14ac:dyDescent="0.35">
      <c r="A6032">
        <v>78</v>
      </c>
      <c r="B6032" s="2">
        <v>0.42574000000000001</v>
      </c>
    </row>
    <row r="6033" spans="1:2" x14ac:dyDescent="0.35">
      <c r="A6033">
        <v>78</v>
      </c>
      <c r="B6033" t="s">
        <v>1</v>
      </c>
    </row>
    <row r="6034" spans="1:2" x14ac:dyDescent="0.35">
      <c r="A6034">
        <v>78</v>
      </c>
      <c r="B6034">
        <v>1.212</v>
      </c>
    </row>
    <row r="6035" spans="1:2" x14ac:dyDescent="0.35">
      <c r="A6035">
        <v>78</v>
      </c>
      <c r="B6035" t="s">
        <v>28</v>
      </c>
    </row>
    <row r="6036" spans="1:2" x14ac:dyDescent="0.35">
      <c r="A6036">
        <v>78</v>
      </c>
      <c r="B6036">
        <v>383</v>
      </c>
    </row>
    <row r="6037" spans="1:2" x14ac:dyDescent="0.35">
      <c r="A6037">
        <v>78</v>
      </c>
      <c r="B6037" t="s">
        <v>25</v>
      </c>
    </row>
    <row r="6038" spans="1:2" x14ac:dyDescent="0.35">
      <c r="A6038">
        <v>78</v>
      </c>
      <c r="B6038" s="2">
        <v>0.21609999999999999</v>
      </c>
    </row>
    <row r="6039" spans="1:2" x14ac:dyDescent="0.35">
      <c r="A6039">
        <v>78</v>
      </c>
      <c r="B6039" t="s">
        <v>29</v>
      </c>
    </row>
    <row r="6040" spans="1:2" x14ac:dyDescent="0.35">
      <c r="A6040">
        <v>78</v>
      </c>
      <c r="B6040" s="2">
        <v>-0.1457</v>
      </c>
    </row>
    <row r="6041" spans="1:2" x14ac:dyDescent="0.35">
      <c r="A6041">
        <v>78</v>
      </c>
      <c r="B6041" t="s">
        <v>30</v>
      </c>
    </row>
    <row r="6042" spans="1:2" x14ac:dyDescent="0.35">
      <c r="A6042">
        <v>78</v>
      </c>
      <c r="B6042" s="2">
        <v>0.60529999999999995</v>
      </c>
    </row>
    <row r="6043" spans="1:2" x14ac:dyDescent="0.35">
      <c r="A6043">
        <v>78</v>
      </c>
      <c r="B6043" t="s">
        <v>8</v>
      </c>
    </row>
    <row r="6044" spans="1:2" x14ac:dyDescent="0.35">
      <c r="A6044">
        <v>78</v>
      </c>
      <c r="B6044" s="2">
        <v>0.72299999999999998</v>
      </c>
    </row>
    <row r="6045" spans="1:2" x14ac:dyDescent="0.35">
      <c r="A6045">
        <v>78</v>
      </c>
      <c r="B6045" t="s">
        <v>31</v>
      </c>
    </row>
    <row r="6046" spans="1:2" x14ac:dyDescent="0.35">
      <c r="A6046">
        <v>78</v>
      </c>
      <c r="B6046">
        <v>0.32400000000000001</v>
      </c>
    </row>
    <row r="6047" spans="1:2" x14ac:dyDescent="0.35">
      <c r="A6047">
        <v>78</v>
      </c>
      <c r="B6047" t="s">
        <v>32</v>
      </c>
    </row>
    <row r="6048" spans="1:2" x14ac:dyDescent="0.35">
      <c r="A6048">
        <v>78</v>
      </c>
      <c r="B6048" s="2">
        <v>0.35619000000000001</v>
      </c>
    </row>
    <row r="6049" spans="1:2" x14ac:dyDescent="0.35">
      <c r="A6049">
        <v>78</v>
      </c>
      <c r="B6049" t="s">
        <v>33</v>
      </c>
    </row>
    <row r="6050" spans="1:2" x14ac:dyDescent="0.35">
      <c r="A6050">
        <v>78</v>
      </c>
      <c r="B6050" s="3">
        <v>0.47</v>
      </c>
    </row>
    <row r="6051" spans="1:2" x14ac:dyDescent="0.35">
      <c r="A6051">
        <v>78</v>
      </c>
      <c r="B6051" t="s">
        <v>34</v>
      </c>
    </row>
    <row r="6052" spans="1:2" x14ac:dyDescent="0.35">
      <c r="A6052">
        <v>78</v>
      </c>
      <c r="B6052" s="3">
        <v>0.53</v>
      </c>
    </row>
    <row r="6053" spans="1:2" x14ac:dyDescent="0.35">
      <c r="A6053">
        <v>78</v>
      </c>
      <c r="B6053" t="s">
        <v>26</v>
      </c>
    </row>
    <row r="6054" spans="1:2" x14ac:dyDescent="0.35">
      <c r="A6054">
        <v>78</v>
      </c>
      <c r="B6054">
        <v>1.48</v>
      </c>
    </row>
    <row r="6055" spans="1:2" x14ac:dyDescent="0.35">
      <c r="A6055">
        <v>78</v>
      </c>
      <c r="B6055" t="s">
        <v>23</v>
      </c>
    </row>
    <row r="6056" spans="1:2" x14ac:dyDescent="0.35">
      <c r="A6056">
        <v>78</v>
      </c>
      <c r="B6056">
        <v>1.139</v>
      </c>
    </row>
    <row r="6057" spans="1:2" x14ac:dyDescent="0.35">
      <c r="A6057">
        <v>78</v>
      </c>
      <c r="B6057" t="s">
        <v>24</v>
      </c>
    </row>
    <row r="6058" spans="1:2" x14ac:dyDescent="0.35">
      <c r="A6058">
        <v>78</v>
      </c>
      <c r="B6058">
        <v>-8.9999999999999993E-3</v>
      </c>
    </row>
    <row r="6059" spans="1:2" x14ac:dyDescent="0.35">
      <c r="A6059">
        <v>78</v>
      </c>
      <c r="B6059" t="s">
        <v>35</v>
      </c>
    </row>
    <row r="6060" spans="1:2" x14ac:dyDescent="0.35">
      <c r="A6060">
        <v>78</v>
      </c>
      <c r="B6060">
        <v>0.93799999999999994</v>
      </c>
    </row>
    <row r="6061" spans="1:2" x14ac:dyDescent="0.35">
      <c r="A6061">
        <v>78</v>
      </c>
      <c r="B6061" t="s">
        <v>36</v>
      </c>
    </row>
    <row r="6062" spans="1:2" x14ac:dyDescent="0.35">
      <c r="A6062">
        <v>78</v>
      </c>
      <c r="B6062">
        <v>0.88100000000000001</v>
      </c>
    </row>
    <row r="6063" spans="1:2" x14ac:dyDescent="0.35">
      <c r="A6063">
        <v>78</v>
      </c>
      <c r="B6063" t="s">
        <v>37</v>
      </c>
    </row>
    <row r="6064" spans="1:2" x14ac:dyDescent="0.35">
      <c r="A6064">
        <v>78</v>
      </c>
      <c r="B6064">
        <v>1.141</v>
      </c>
    </row>
    <row r="6065" spans="1:2" x14ac:dyDescent="0.35">
      <c r="A6065">
        <v>78</v>
      </c>
      <c r="B6065" t="s">
        <v>38</v>
      </c>
    </row>
    <row r="6066" spans="1:2" x14ac:dyDescent="0.35">
      <c r="A6066">
        <v>78</v>
      </c>
      <c r="B6066">
        <v>0.94099999999999995</v>
      </c>
    </row>
    <row r="6067" spans="1:2" x14ac:dyDescent="0.35">
      <c r="A6067">
        <v>78</v>
      </c>
      <c r="B6067" t="s">
        <v>39</v>
      </c>
    </row>
    <row r="6068" spans="1:2" x14ac:dyDescent="0.35">
      <c r="A6068">
        <v>78</v>
      </c>
      <c r="B6068">
        <v>-121.6</v>
      </c>
    </row>
    <row r="6069" spans="1:2" x14ac:dyDescent="0.35">
      <c r="A6069">
        <v>78</v>
      </c>
      <c r="B6069" t="s">
        <v>40</v>
      </c>
    </row>
    <row r="6070" spans="1:2" x14ac:dyDescent="0.35">
      <c r="A6070">
        <v>78</v>
      </c>
      <c r="B6070" s="4">
        <v>0</v>
      </c>
    </row>
    <row r="6071" spans="1:2" x14ac:dyDescent="0.35">
      <c r="A6071">
        <v>78</v>
      </c>
      <c r="B6071" t="s">
        <v>41</v>
      </c>
    </row>
    <row r="6072" spans="1:2" x14ac:dyDescent="0.35">
      <c r="A6072">
        <v>78</v>
      </c>
      <c r="B6072" s="4">
        <v>320000000</v>
      </c>
    </row>
    <row r="6073" spans="1:2" x14ac:dyDescent="0.35">
      <c r="A6073">
        <v>78</v>
      </c>
      <c r="B6073" t="s">
        <v>42</v>
      </c>
    </row>
    <row r="6074" spans="1:2" x14ac:dyDescent="0.35">
      <c r="A6074">
        <v>78</v>
      </c>
      <c r="B6074" t="s">
        <v>47</v>
      </c>
    </row>
    <row r="6075" spans="1:2" x14ac:dyDescent="0.35">
      <c r="A6075">
        <v>77</v>
      </c>
      <c r="B6075" t="s">
        <v>27</v>
      </c>
    </row>
    <row r="6076" spans="1:2" x14ac:dyDescent="0.35">
      <c r="A6076">
        <v>77</v>
      </c>
      <c r="B6076" s="2">
        <v>0.42574000000000001</v>
      </c>
    </row>
    <row r="6077" spans="1:2" x14ac:dyDescent="0.35">
      <c r="A6077">
        <v>77</v>
      </c>
      <c r="B6077" t="s">
        <v>1</v>
      </c>
    </row>
    <row r="6078" spans="1:2" x14ac:dyDescent="0.35">
      <c r="A6078">
        <v>77</v>
      </c>
      <c r="B6078">
        <v>1.212</v>
      </c>
    </row>
    <row r="6079" spans="1:2" x14ac:dyDescent="0.35">
      <c r="A6079">
        <v>77</v>
      </c>
      <c r="B6079" t="s">
        <v>28</v>
      </c>
    </row>
    <row r="6080" spans="1:2" x14ac:dyDescent="0.35">
      <c r="A6080">
        <v>77</v>
      </c>
      <c r="B6080">
        <v>383</v>
      </c>
    </row>
    <row r="6081" spans="1:2" x14ac:dyDescent="0.35">
      <c r="A6081">
        <v>77</v>
      </c>
      <c r="B6081" t="s">
        <v>25</v>
      </c>
    </row>
    <row r="6082" spans="1:2" x14ac:dyDescent="0.35">
      <c r="A6082">
        <v>77</v>
      </c>
      <c r="B6082" s="2">
        <v>0.21609999999999999</v>
      </c>
    </row>
    <row r="6083" spans="1:2" x14ac:dyDescent="0.35">
      <c r="A6083">
        <v>77</v>
      </c>
      <c r="B6083" t="s">
        <v>29</v>
      </c>
    </row>
    <row r="6084" spans="1:2" x14ac:dyDescent="0.35">
      <c r="A6084">
        <v>77</v>
      </c>
      <c r="B6084" s="2">
        <v>-0.1457</v>
      </c>
    </row>
    <row r="6085" spans="1:2" x14ac:dyDescent="0.35">
      <c r="A6085">
        <v>77</v>
      </c>
      <c r="B6085" t="s">
        <v>30</v>
      </c>
    </row>
    <row r="6086" spans="1:2" x14ac:dyDescent="0.35">
      <c r="A6086">
        <v>77</v>
      </c>
      <c r="B6086" s="2">
        <v>0.60529999999999995</v>
      </c>
    </row>
    <row r="6087" spans="1:2" x14ac:dyDescent="0.35">
      <c r="A6087">
        <v>77</v>
      </c>
      <c r="B6087" t="s">
        <v>8</v>
      </c>
    </row>
    <row r="6088" spans="1:2" x14ac:dyDescent="0.35">
      <c r="A6088">
        <v>77</v>
      </c>
      <c r="B6088" s="2">
        <v>0.72299999999999998</v>
      </c>
    </row>
    <row r="6089" spans="1:2" x14ac:dyDescent="0.35">
      <c r="A6089">
        <v>77</v>
      </c>
      <c r="B6089" t="s">
        <v>31</v>
      </c>
    </row>
    <row r="6090" spans="1:2" x14ac:dyDescent="0.35">
      <c r="A6090">
        <v>77</v>
      </c>
      <c r="B6090">
        <v>0.32400000000000001</v>
      </c>
    </row>
    <row r="6091" spans="1:2" x14ac:dyDescent="0.35">
      <c r="A6091">
        <v>77</v>
      </c>
      <c r="B6091" t="s">
        <v>32</v>
      </c>
    </row>
    <row r="6092" spans="1:2" x14ac:dyDescent="0.35">
      <c r="A6092">
        <v>77</v>
      </c>
      <c r="B6092" s="2">
        <v>0.35619000000000001</v>
      </c>
    </row>
    <row r="6093" spans="1:2" x14ac:dyDescent="0.35">
      <c r="A6093">
        <v>77</v>
      </c>
      <c r="B6093" t="s">
        <v>33</v>
      </c>
    </row>
    <row r="6094" spans="1:2" x14ac:dyDescent="0.35">
      <c r="A6094">
        <v>77</v>
      </c>
      <c r="B6094" s="3">
        <v>0.47</v>
      </c>
    </row>
    <row r="6095" spans="1:2" x14ac:dyDescent="0.35">
      <c r="A6095">
        <v>77</v>
      </c>
      <c r="B6095" t="s">
        <v>34</v>
      </c>
    </row>
    <row r="6096" spans="1:2" x14ac:dyDescent="0.35">
      <c r="A6096">
        <v>77</v>
      </c>
      <c r="B6096" s="3">
        <v>0.53</v>
      </c>
    </row>
    <row r="6097" spans="1:2" x14ac:dyDescent="0.35">
      <c r="A6097">
        <v>77</v>
      </c>
      <c r="B6097" t="s">
        <v>26</v>
      </c>
    </row>
    <row r="6098" spans="1:2" x14ac:dyDescent="0.35">
      <c r="A6098">
        <v>77</v>
      </c>
      <c r="B6098">
        <v>1.48</v>
      </c>
    </row>
    <row r="6099" spans="1:2" x14ac:dyDescent="0.35">
      <c r="A6099">
        <v>77</v>
      </c>
      <c r="B6099" t="s">
        <v>23</v>
      </c>
    </row>
    <row r="6100" spans="1:2" x14ac:dyDescent="0.35">
      <c r="A6100">
        <v>77</v>
      </c>
      <c r="B6100">
        <v>1.139</v>
      </c>
    </row>
    <row r="6101" spans="1:2" x14ac:dyDescent="0.35">
      <c r="A6101">
        <v>77</v>
      </c>
      <c r="B6101" t="s">
        <v>24</v>
      </c>
    </row>
    <row r="6102" spans="1:2" x14ac:dyDescent="0.35">
      <c r="A6102">
        <v>77</v>
      </c>
      <c r="B6102">
        <v>-8.9999999999999993E-3</v>
      </c>
    </row>
    <row r="6103" spans="1:2" x14ac:dyDescent="0.35">
      <c r="A6103">
        <v>77</v>
      </c>
      <c r="B6103" t="s">
        <v>35</v>
      </c>
    </row>
    <row r="6104" spans="1:2" x14ac:dyDescent="0.35">
      <c r="A6104">
        <v>77</v>
      </c>
      <c r="B6104">
        <v>0.93799999999999994</v>
      </c>
    </row>
    <row r="6105" spans="1:2" x14ac:dyDescent="0.35">
      <c r="A6105">
        <v>77</v>
      </c>
      <c r="B6105" t="s">
        <v>36</v>
      </c>
    </row>
    <row r="6106" spans="1:2" x14ac:dyDescent="0.35">
      <c r="A6106">
        <v>77</v>
      </c>
      <c r="B6106">
        <v>0.88100000000000001</v>
      </c>
    </row>
    <row r="6107" spans="1:2" x14ac:dyDescent="0.35">
      <c r="A6107">
        <v>77</v>
      </c>
      <c r="B6107" t="s">
        <v>37</v>
      </c>
    </row>
    <row r="6108" spans="1:2" x14ac:dyDescent="0.35">
      <c r="A6108">
        <v>77</v>
      </c>
      <c r="B6108">
        <v>1.141</v>
      </c>
    </row>
    <row r="6109" spans="1:2" x14ac:dyDescent="0.35">
      <c r="A6109">
        <v>77</v>
      </c>
      <c r="B6109" t="s">
        <v>38</v>
      </c>
    </row>
    <row r="6110" spans="1:2" x14ac:dyDescent="0.35">
      <c r="A6110">
        <v>77</v>
      </c>
      <c r="B6110">
        <v>0.94099999999999995</v>
      </c>
    </row>
    <row r="6111" spans="1:2" x14ac:dyDescent="0.35">
      <c r="A6111">
        <v>77</v>
      </c>
      <c r="B6111" t="s">
        <v>39</v>
      </c>
    </row>
    <row r="6112" spans="1:2" x14ac:dyDescent="0.35">
      <c r="A6112">
        <v>77</v>
      </c>
      <c r="B6112">
        <v>-121.6</v>
      </c>
    </row>
    <row r="6113" spans="1:2" x14ac:dyDescent="0.35">
      <c r="A6113">
        <v>77</v>
      </c>
      <c r="B6113" t="s">
        <v>40</v>
      </c>
    </row>
    <row r="6114" spans="1:2" x14ac:dyDescent="0.35">
      <c r="A6114">
        <v>77</v>
      </c>
      <c r="B6114" s="4">
        <v>0</v>
      </c>
    </row>
    <row r="6115" spans="1:2" x14ac:dyDescent="0.35">
      <c r="A6115">
        <v>77</v>
      </c>
      <c r="B6115" t="s">
        <v>41</v>
      </c>
    </row>
    <row r="6116" spans="1:2" x14ac:dyDescent="0.35">
      <c r="A6116">
        <v>77</v>
      </c>
      <c r="B6116" s="4">
        <v>320000000</v>
      </c>
    </row>
    <row r="6117" spans="1:2" x14ac:dyDescent="0.35">
      <c r="A6117">
        <v>77</v>
      </c>
      <c r="B6117" t="s">
        <v>42</v>
      </c>
    </row>
    <row r="6118" spans="1:2" x14ac:dyDescent="0.35">
      <c r="A6118">
        <v>77</v>
      </c>
      <c r="B6118" t="s">
        <v>47</v>
      </c>
    </row>
    <row r="6119" spans="1:2" x14ac:dyDescent="0.35">
      <c r="A6119">
        <v>76</v>
      </c>
      <c r="B6119" t="s">
        <v>27</v>
      </c>
    </row>
    <row r="6120" spans="1:2" x14ac:dyDescent="0.35">
      <c r="A6120">
        <v>76</v>
      </c>
      <c r="B6120" s="2">
        <v>0.42574000000000001</v>
      </c>
    </row>
    <row r="6121" spans="1:2" x14ac:dyDescent="0.35">
      <c r="A6121">
        <v>76</v>
      </c>
      <c r="B6121" t="s">
        <v>1</v>
      </c>
    </row>
    <row r="6122" spans="1:2" x14ac:dyDescent="0.35">
      <c r="A6122">
        <v>76</v>
      </c>
      <c r="B6122">
        <v>1.212</v>
      </c>
    </row>
    <row r="6123" spans="1:2" x14ac:dyDescent="0.35">
      <c r="A6123">
        <v>76</v>
      </c>
      <c r="B6123" t="s">
        <v>28</v>
      </c>
    </row>
    <row r="6124" spans="1:2" x14ac:dyDescent="0.35">
      <c r="A6124">
        <v>76</v>
      </c>
      <c r="B6124">
        <v>383</v>
      </c>
    </row>
    <row r="6125" spans="1:2" x14ac:dyDescent="0.35">
      <c r="A6125">
        <v>76</v>
      </c>
      <c r="B6125" t="s">
        <v>25</v>
      </c>
    </row>
    <row r="6126" spans="1:2" x14ac:dyDescent="0.35">
      <c r="A6126">
        <v>76</v>
      </c>
      <c r="B6126" s="2">
        <v>0.21609999999999999</v>
      </c>
    </row>
    <row r="6127" spans="1:2" x14ac:dyDescent="0.35">
      <c r="A6127">
        <v>76</v>
      </c>
      <c r="B6127" t="s">
        <v>29</v>
      </c>
    </row>
    <row r="6128" spans="1:2" x14ac:dyDescent="0.35">
      <c r="A6128">
        <v>76</v>
      </c>
      <c r="B6128" s="2">
        <v>-0.1457</v>
      </c>
    </row>
    <row r="6129" spans="1:2" x14ac:dyDescent="0.35">
      <c r="A6129">
        <v>76</v>
      </c>
      <c r="B6129" t="s">
        <v>30</v>
      </c>
    </row>
    <row r="6130" spans="1:2" x14ac:dyDescent="0.35">
      <c r="A6130">
        <v>76</v>
      </c>
      <c r="B6130" s="2">
        <v>0.60529999999999995</v>
      </c>
    </row>
    <row r="6131" spans="1:2" x14ac:dyDescent="0.35">
      <c r="A6131">
        <v>76</v>
      </c>
      <c r="B6131" t="s">
        <v>8</v>
      </c>
    </row>
    <row r="6132" spans="1:2" x14ac:dyDescent="0.35">
      <c r="A6132">
        <v>76</v>
      </c>
      <c r="B6132" s="2">
        <v>0.72299999999999998</v>
      </c>
    </row>
    <row r="6133" spans="1:2" x14ac:dyDescent="0.35">
      <c r="A6133">
        <v>76</v>
      </c>
      <c r="B6133" t="s">
        <v>31</v>
      </c>
    </row>
    <row r="6134" spans="1:2" x14ac:dyDescent="0.35">
      <c r="A6134">
        <v>76</v>
      </c>
      <c r="B6134">
        <v>0.32400000000000001</v>
      </c>
    </row>
    <row r="6135" spans="1:2" x14ac:dyDescent="0.35">
      <c r="A6135">
        <v>76</v>
      </c>
      <c r="B6135" t="s">
        <v>32</v>
      </c>
    </row>
    <row r="6136" spans="1:2" x14ac:dyDescent="0.35">
      <c r="A6136">
        <v>76</v>
      </c>
      <c r="B6136" s="2">
        <v>0.35619000000000001</v>
      </c>
    </row>
    <row r="6137" spans="1:2" x14ac:dyDescent="0.35">
      <c r="A6137">
        <v>76</v>
      </c>
      <c r="B6137" t="s">
        <v>33</v>
      </c>
    </row>
    <row r="6138" spans="1:2" x14ac:dyDescent="0.35">
      <c r="A6138">
        <v>76</v>
      </c>
      <c r="B6138" s="3">
        <v>0.47</v>
      </c>
    </row>
    <row r="6139" spans="1:2" x14ac:dyDescent="0.35">
      <c r="A6139">
        <v>76</v>
      </c>
      <c r="B6139" t="s">
        <v>34</v>
      </c>
    </row>
    <row r="6140" spans="1:2" x14ac:dyDescent="0.35">
      <c r="A6140">
        <v>76</v>
      </c>
      <c r="B6140" s="3">
        <v>0.53</v>
      </c>
    </row>
    <row r="6141" spans="1:2" x14ac:dyDescent="0.35">
      <c r="A6141">
        <v>76</v>
      </c>
      <c r="B6141" t="s">
        <v>26</v>
      </c>
    </row>
    <row r="6142" spans="1:2" x14ac:dyDescent="0.35">
      <c r="A6142">
        <v>76</v>
      </c>
      <c r="B6142">
        <v>1.48</v>
      </c>
    </row>
    <row r="6143" spans="1:2" x14ac:dyDescent="0.35">
      <c r="A6143">
        <v>76</v>
      </c>
      <c r="B6143" t="s">
        <v>23</v>
      </c>
    </row>
    <row r="6144" spans="1:2" x14ac:dyDescent="0.35">
      <c r="A6144">
        <v>76</v>
      </c>
      <c r="B6144">
        <v>1.139</v>
      </c>
    </row>
    <row r="6145" spans="1:2" x14ac:dyDescent="0.35">
      <c r="A6145">
        <v>76</v>
      </c>
      <c r="B6145" t="s">
        <v>24</v>
      </c>
    </row>
    <row r="6146" spans="1:2" x14ac:dyDescent="0.35">
      <c r="A6146">
        <v>76</v>
      </c>
      <c r="B6146">
        <v>-8.9999999999999993E-3</v>
      </c>
    </row>
    <row r="6147" spans="1:2" x14ac:dyDescent="0.35">
      <c r="A6147">
        <v>76</v>
      </c>
      <c r="B6147" t="s">
        <v>35</v>
      </c>
    </row>
    <row r="6148" spans="1:2" x14ac:dyDescent="0.35">
      <c r="A6148">
        <v>76</v>
      </c>
      <c r="B6148">
        <v>0.93799999999999994</v>
      </c>
    </row>
    <row r="6149" spans="1:2" x14ac:dyDescent="0.35">
      <c r="A6149">
        <v>76</v>
      </c>
      <c r="B6149" t="s">
        <v>36</v>
      </c>
    </row>
    <row r="6150" spans="1:2" x14ac:dyDescent="0.35">
      <c r="A6150">
        <v>76</v>
      </c>
      <c r="B6150">
        <v>0.88100000000000001</v>
      </c>
    </row>
    <row r="6151" spans="1:2" x14ac:dyDescent="0.35">
      <c r="A6151">
        <v>76</v>
      </c>
      <c r="B6151" t="s">
        <v>37</v>
      </c>
    </row>
    <row r="6152" spans="1:2" x14ac:dyDescent="0.35">
      <c r="A6152">
        <v>76</v>
      </c>
      <c r="B6152">
        <v>1.141</v>
      </c>
    </row>
    <row r="6153" spans="1:2" x14ac:dyDescent="0.35">
      <c r="A6153">
        <v>76</v>
      </c>
      <c r="B6153" t="s">
        <v>38</v>
      </c>
    </row>
    <row r="6154" spans="1:2" x14ac:dyDescent="0.35">
      <c r="A6154">
        <v>76</v>
      </c>
      <c r="B6154">
        <v>0.94099999999999995</v>
      </c>
    </row>
    <row r="6155" spans="1:2" x14ac:dyDescent="0.35">
      <c r="A6155">
        <v>76</v>
      </c>
      <c r="B6155" t="s">
        <v>39</v>
      </c>
    </row>
    <row r="6156" spans="1:2" x14ac:dyDescent="0.35">
      <c r="A6156">
        <v>76</v>
      </c>
      <c r="B6156">
        <v>-121.6</v>
      </c>
    </row>
    <row r="6157" spans="1:2" x14ac:dyDescent="0.35">
      <c r="A6157">
        <v>76</v>
      </c>
      <c r="B6157" t="s">
        <v>40</v>
      </c>
    </row>
    <row r="6158" spans="1:2" x14ac:dyDescent="0.35">
      <c r="A6158">
        <v>76</v>
      </c>
      <c r="B6158" s="4">
        <v>0</v>
      </c>
    </row>
    <row r="6159" spans="1:2" x14ac:dyDescent="0.35">
      <c r="A6159">
        <v>76</v>
      </c>
      <c r="B6159" t="s">
        <v>41</v>
      </c>
    </row>
    <row r="6160" spans="1:2" x14ac:dyDescent="0.35">
      <c r="A6160">
        <v>76</v>
      </c>
      <c r="B6160" s="4">
        <v>320000000</v>
      </c>
    </row>
    <row r="6161" spans="1:2" x14ac:dyDescent="0.35">
      <c r="A6161">
        <v>76</v>
      </c>
      <c r="B6161" t="s">
        <v>42</v>
      </c>
    </row>
    <row r="6162" spans="1:2" x14ac:dyDescent="0.35">
      <c r="A6162">
        <v>76</v>
      </c>
      <c r="B6162" t="s">
        <v>47</v>
      </c>
    </row>
    <row r="6163" spans="1:2" x14ac:dyDescent="0.35">
      <c r="A6163">
        <v>75</v>
      </c>
      <c r="B6163" t="s">
        <v>27</v>
      </c>
    </row>
    <row r="6164" spans="1:2" x14ac:dyDescent="0.35">
      <c r="A6164">
        <v>75</v>
      </c>
      <c r="B6164" s="2">
        <v>0.42574000000000001</v>
      </c>
    </row>
    <row r="6165" spans="1:2" x14ac:dyDescent="0.35">
      <c r="A6165">
        <v>75</v>
      </c>
      <c r="B6165" t="s">
        <v>1</v>
      </c>
    </row>
    <row r="6166" spans="1:2" x14ac:dyDescent="0.35">
      <c r="A6166">
        <v>75</v>
      </c>
      <c r="B6166">
        <v>1.212</v>
      </c>
    </row>
    <row r="6167" spans="1:2" x14ac:dyDescent="0.35">
      <c r="A6167">
        <v>75</v>
      </c>
      <c r="B6167" t="s">
        <v>28</v>
      </c>
    </row>
    <row r="6168" spans="1:2" x14ac:dyDescent="0.35">
      <c r="A6168">
        <v>75</v>
      </c>
      <c r="B6168">
        <v>383</v>
      </c>
    </row>
    <row r="6169" spans="1:2" x14ac:dyDescent="0.35">
      <c r="A6169">
        <v>75</v>
      </c>
      <c r="B6169" t="s">
        <v>25</v>
      </c>
    </row>
    <row r="6170" spans="1:2" x14ac:dyDescent="0.35">
      <c r="A6170">
        <v>75</v>
      </c>
      <c r="B6170" s="2">
        <v>0.21609999999999999</v>
      </c>
    </row>
    <row r="6171" spans="1:2" x14ac:dyDescent="0.35">
      <c r="A6171">
        <v>75</v>
      </c>
      <c r="B6171" t="s">
        <v>29</v>
      </c>
    </row>
    <row r="6172" spans="1:2" x14ac:dyDescent="0.35">
      <c r="A6172">
        <v>75</v>
      </c>
      <c r="B6172" s="2">
        <v>-0.1457</v>
      </c>
    </row>
    <row r="6173" spans="1:2" x14ac:dyDescent="0.35">
      <c r="A6173">
        <v>75</v>
      </c>
      <c r="B6173" t="s">
        <v>30</v>
      </c>
    </row>
    <row r="6174" spans="1:2" x14ac:dyDescent="0.35">
      <c r="A6174">
        <v>75</v>
      </c>
      <c r="B6174" s="2">
        <v>0.60529999999999995</v>
      </c>
    </row>
    <row r="6175" spans="1:2" x14ac:dyDescent="0.35">
      <c r="A6175">
        <v>75</v>
      </c>
      <c r="B6175" t="s">
        <v>8</v>
      </c>
    </row>
    <row r="6176" spans="1:2" x14ac:dyDescent="0.35">
      <c r="A6176">
        <v>75</v>
      </c>
      <c r="B6176" s="2">
        <v>0.72299999999999998</v>
      </c>
    </row>
    <row r="6177" spans="1:2" x14ac:dyDescent="0.35">
      <c r="A6177">
        <v>75</v>
      </c>
      <c r="B6177" t="s">
        <v>31</v>
      </c>
    </row>
    <row r="6178" spans="1:2" x14ac:dyDescent="0.35">
      <c r="A6178">
        <v>75</v>
      </c>
      <c r="B6178">
        <v>0.32400000000000001</v>
      </c>
    </row>
    <row r="6179" spans="1:2" x14ac:dyDescent="0.35">
      <c r="A6179">
        <v>75</v>
      </c>
      <c r="B6179" t="s">
        <v>32</v>
      </c>
    </row>
    <row r="6180" spans="1:2" x14ac:dyDescent="0.35">
      <c r="A6180">
        <v>75</v>
      </c>
      <c r="B6180" s="2">
        <v>0.35619000000000001</v>
      </c>
    </row>
    <row r="6181" spans="1:2" x14ac:dyDescent="0.35">
      <c r="A6181">
        <v>75</v>
      </c>
      <c r="B6181" t="s">
        <v>33</v>
      </c>
    </row>
    <row r="6182" spans="1:2" x14ac:dyDescent="0.35">
      <c r="A6182">
        <v>75</v>
      </c>
      <c r="B6182" s="3">
        <v>0.47</v>
      </c>
    </row>
    <row r="6183" spans="1:2" x14ac:dyDescent="0.35">
      <c r="A6183">
        <v>75</v>
      </c>
      <c r="B6183" t="s">
        <v>34</v>
      </c>
    </row>
    <row r="6184" spans="1:2" x14ac:dyDescent="0.35">
      <c r="A6184">
        <v>75</v>
      </c>
      <c r="B6184" s="3">
        <v>0.53</v>
      </c>
    </row>
    <row r="6185" spans="1:2" x14ac:dyDescent="0.35">
      <c r="A6185">
        <v>75</v>
      </c>
      <c r="B6185" t="s">
        <v>26</v>
      </c>
    </row>
    <row r="6186" spans="1:2" x14ac:dyDescent="0.35">
      <c r="A6186">
        <v>75</v>
      </c>
      <c r="B6186">
        <v>1.48</v>
      </c>
    </row>
    <row r="6187" spans="1:2" x14ac:dyDescent="0.35">
      <c r="A6187">
        <v>75</v>
      </c>
      <c r="B6187" t="s">
        <v>23</v>
      </c>
    </row>
    <row r="6188" spans="1:2" x14ac:dyDescent="0.35">
      <c r="A6188">
        <v>75</v>
      </c>
      <c r="B6188">
        <v>1.139</v>
      </c>
    </row>
    <row r="6189" spans="1:2" x14ac:dyDescent="0.35">
      <c r="A6189">
        <v>75</v>
      </c>
      <c r="B6189" t="s">
        <v>24</v>
      </c>
    </row>
    <row r="6190" spans="1:2" x14ac:dyDescent="0.35">
      <c r="A6190">
        <v>75</v>
      </c>
      <c r="B6190">
        <v>-8.9999999999999993E-3</v>
      </c>
    </row>
    <row r="6191" spans="1:2" x14ac:dyDescent="0.35">
      <c r="A6191">
        <v>75</v>
      </c>
      <c r="B6191" t="s">
        <v>35</v>
      </c>
    </row>
    <row r="6192" spans="1:2" x14ac:dyDescent="0.35">
      <c r="A6192">
        <v>75</v>
      </c>
      <c r="B6192">
        <v>0.93799999999999994</v>
      </c>
    </row>
    <row r="6193" spans="1:2" x14ac:dyDescent="0.35">
      <c r="A6193">
        <v>75</v>
      </c>
      <c r="B6193" t="s">
        <v>36</v>
      </c>
    </row>
    <row r="6194" spans="1:2" x14ac:dyDescent="0.35">
      <c r="A6194">
        <v>75</v>
      </c>
      <c r="B6194">
        <v>0.88100000000000001</v>
      </c>
    </row>
    <row r="6195" spans="1:2" x14ac:dyDescent="0.35">
      <c r="A6195">
        <v>75</v>
      </c>
      <c r="B6195" t="s">
        <v>37</v>
      </c>
    </row>
    <row r="6196" spans="1:2" x14ac:dyDescent="0.35">
      <c r="A6196">
        <v>75</v>
      </c>
      <c r="B6196">
        <v>1.141</v>
      </c>
    </row>
    <row r="6197" spans="1:2" x14ac:dyDescent="0.35">
      <c r="A6197">
        <v>75</v>
      </c>
      <c r="B6197" t="s">
        <v>38</v>
      </c>
    </row>
    <row r="6198" spans="1:2" x14ac:dyDescent="0.35">
      <c r="A6198">
        <v>75</v>
      </c>
      <c r="B6198">
        <v>0.94099999999999995</v>
      </c>
    </row>
    <row r="6199" spans="1:2" x14ac:dyDescent="0.35">
      <c r="A6199">
        <v>75</v>
      </c>
      <c r="B6199" t="s">
        <v>39</v>
      </c>
    </row>
    <row r="6200" spans="1:2" x14ac:dyDescent="0.35">
      <c r="A6200">
        <v>75</v>
      </c>
      <c r="B6200">
        <v>-121.6</v>
      </c>
    </row>
    <row r="6201" spans="1:2" x14ac:dyDescent="0.35">
      <c r="A6201">
        <v>75</v>
      </c>
      <c r="B6201" t="s">
        <v>40</v>
      </c>
    </row>
    <row r="6202" spans="1:2" x14ac:dyDescent="0.35">
      <c r="A6202">
        <v>75</v>
      </c>
      <c r="B6202" s="4">
        <v>0</v>
      </c>
    </row>
    <row r="6203" spans="1:2" x14ac:dyDescent="0.35">
      <c r="A6203">
        <v>75</v>
      </c>
      <c r="B6203" t="s">
        <v>41</v>
      </c>
    </row>
    <row r="6204" spans="1:2" x14ac:dyDescent="0.35">
      <c r="A6204">
        <v>75</v>
      </c>
      <c r="B6204" s="4">
        <v>320000000</v>
      </c>
    </row>
    <row r="6205" spans="1:2" x14ac:dyDescent="0.35">
      <c r="A6205">
        <v>75</v>
      </c>
      <c r="B6205" t="s">
        <v>42</v>
      </c>
    </row>
    <row r="6206" spans="1:2" x14ac:dyDescent="0.35">
      <c r="A6206">
        <v>75</v>
      </c>
      <c r="B6206" t="s">
        <v>47</v>
      </c>
    </row>
    <row r="6207" spans="1:2" x14ac:dyDescent="0.35">
      <c r="A6207">
        <v>74</v>
      </c>
      <c r="B6207" t="s">
        <v>27</v>
      </c>
    </row>
    <row r="6208" spans="1:2" x14ac:dyDescent="0.35">
      <c r="A6208">
        <v>74</v>
      </c>
      <c r="B6208" s="2">
        <v>0.42574000000000001</v>
      </c>
    </row>
    <row r="6209" spans="1:2" x14ac:dyDescent="0.35">
      <c r="A6209">
        <v>74</v>
      </c>
      <c r="B6209" t="s">
        <v>1</v>
      </c>
    </row>
    <row r="6210" spans="1:2" x14ac:dyDescent="0.35">
      <c r="A6210">
        <v>74</v>
      </c>
      <c r="B6210">
        <v>1.212</v>
      </c>
    </row>
    <row r="6211" spans="1:2" x14ac:dyDescent="0.35">
      <c r="A6211">
        <v>74</v>
      </c>
      <c r="B6211" t="s">
        <v>28</v>
      </c>
    </row>
    <row r="6212" spans="1:2" x14ac:dyDescent="0.35">
      <c r="A6212">
        <v>74</v>
      </c>
      <c r="B6212">
        <v>383</v>
      </c>
    </row>
    <row r="6213" spans="1:2" x14ac:dyDescent="0.35">
      <c r="A6213">
        <v>74</v>
      </c>
      <c r="B6213" t="s">
        <v>25</v>
      </c>
    </row>
    <row r="6214" spans="1:2" x14ac:dyDescent="0.35">
      <c r="A6214">
        <v>74</v>
      </c>
      <c r="B6214" s="2">
        <v>0.21609999999999999</v>
      </c>
    </row>
    <row r="6215" spans="1:2" x14ac:dyDescent="0.35">
      <c r="A6215">
        <v>74</v>
      </c>
      <c r="B6215" t="s">
        <v>29</v>
      </c>
    </row>
    <row r="6216" spans="1:2" x14ac:dyDescent="0.35">
      <c r="A6216">
        <v>74</v>
      </c>
      <c r="B6216" s="2">
        <v>-0.1457</v>
      </c>
    </row>
    <row r="6217" spans="1:2" x14ac:dyDescent="0.35">
      <c r="A6217">
        <v>74</v>
      </c>
      <c r="B6217" t="s">
        <v>30</v>
      </c>
    </row>
    <row r="6218" spans="1:2" x14ac:dyDescent="0.35">
      <c r="A6218">
        <v>74</v>
      </c>
      <c r="B6218" s="2">
        <v>0.60529999999999995</v>
      </c>
    </row>
    <row r="6219" spans="1:2" x14ac:dyDescent="0.35">
      <c r="A6219">
        <v>74</v>
      </c>
      <c r="B6219" t="s">
        <v>8</v>
      </c>
    </row>
    <row r="6220" spans="1:2" x14ac:dyDescent="0.35">
      <c r="A6220">
        <v>74</v>
      </c>
      <c r="B6220" s="2">
        <v>0.72299999999999998</v>
      </c>
    </row>
    <row r="6221" spans="1:2" x14ac:dyDescent="0.35">
      <c r="A6221">
        <v>74</v>
      </c>
      <c r="B6221" t="s">
        <v>31</v>
      </c>
    </row>
    <row r="6222" spans="1:2" x14ac:dyDescent="0.35">
      <c r="A6222">
        <v>74</v>
      </c>
      <c r="B6222">
        <v>0.32400000000000001</v>
      </c>
    </row>
    <row r="6223" spans="1:2" x14ac:dyDescent="0.35">
      <c r="A6223">
        <v>74</v>
      </c>
      <c r="B6223" t="s">
        <v>32</v>
      </c>
    </row>
    <row r="6224" spans="1:2" x14ac:dyDescent="0.35">
      <c r="A6224">
        <v>74</v>
      </c>
      <c r="B6224" s="2">
        <v>0.35619000000000001</v>
      </c>
    </row>
    <row r="6225" spans="1:2" x14ac:dyDescent="0.35">
      <c r="A6225">
        <v>74</v>
      </c>
      <c r="B6225" t="s">
        <v>33</v>
      </c>
    </row>
    <row r="6226" spans="1:2" x14ac:dyDescent="0.35">
      <c r="A6226">
        <v>74</v>
      </c>
      <c r="B6226" s="3">
        <v>0.47</v>
      </c>
    </row>
    <row r="6227" spans="1:2" x14ac:dyDescent="0.35">
      <c r="A6227">
        <v>74</v>
      </c>
      <c r="B6227" t="s">
        <v>34</v>
      </c>
    </row>
    <row r="6228" spans="1:2" x14ac:dyDescent="0.35">
      <c r="A6228">
        <v>74</v>
      </c>
      <c r="B6228" s="3">
        <v>0.53</v>
      </c>
    </row>
    <row r="6229" spans="1:2" x14ac:dyDescent="0.35">
      <c r="A6229">
        <v>74</v>
      </c>
      <c r="B6229" t="s">
        <v>26</v>
      </c>
    </row>
    <row r="6230" spans="1:2" x14ac:dyDescent="0.35">
      <c r="A6230">
        <v>74</v>
      </c>
      <c r="B6230">
        <v>1.48</v>
      </c>
    </row>
    <row r="6231" spans="1:2" x14ac:dyDescent="0.35">
      <c r="A6231">
        <v>74</v>
      </c>
      <c r="B6231" t="s">
        <v>23</v>
      </c>
    </row>
    <row r="6232" spans="1:2" x14ac:dyDescent="0.35">
      <c r="A6232">
        <v>74</v>
      </c>
      <c r="B6232">
        <v>1.139</v>
      </c>
    </row>
    <row r="6233" spans="1:2" x14ac:dyDescent="0.35">
      <c r="A6233">
        <v>74</v>
      </c>
      <c r="B6233" t="s">
        <v>24</v>
      </c>
    </row>
    <row r="6234" spans="1:2" x14ac:dyDescent="0.35">
      <c r="A6234">
        <v>74</v>
      </c>
      <c r="B6234">
        <v>-8.9999999999999993E-3</v>
      </c>
    </row>
    <row r="6235" spans="1:2" x14ac:dyDescent="0.35">
      <c r="A6235">
        <v>74</v>
      </c>
      <c r="B6235" t="s">
        <v>35</v>
      </c>
    </row>
    <row r="6236" spans="1:2" x14ac:dyDescent="0.35">
      <c r="A6236">
        <v>74</v>
      </c>
      <c r="B6236">
        <v>0.93799999999999994</v>
      </c>
    </row>
    <row r="6237" spans="1:2" x14ac:dyDescent="0.35">
      <c r="A6237">
        <v>74</v>
      </c>
      <c r="B6237" t="s">
        <v>36</v>
      </c>
    </row>
    <row r="6238" spans="1:2" x14ac:dyDescent="0.35">
      <c r="A6238">
        <v>74</v>
      </c>
      <c r="B6238">
        <v>0.88100000000000001</v>
      </c>
    </row>
    <row r="6239" spans="1:2" x14ac:dyDescent="0.35">
      <c r="A6239">
        <v>74</v>
      </c>
      <c r="B6239" t="s">
        <v>37</v>
      </c>
    </row>
    <row r="6240" spans="1:2" x14ac:dyDescent="0.35">
      <c r="A6240">
        <v>74</v>
      </c>
      <c r="B6240">
        <v>1.141</v>
      </c>
    </row>
    <row r="6241" spans="1:2" x14ac:dyDescent="0.35">
      <c r="A6241">
        <v>74</v>
      </c>
      <c r="B6241" t="s">
        <v>38</v>
      </c>
    </row>
    <row r="6242" spans="1:2" x14ac:dyDescent="0.35">
      <c r="A6242">
        <v>74</v>
      </c>
      <c r="B6242">
        <v>0.94099999999999995</v>
      </c>
    </row>
    <row r="6243" spans="1:2" x14ac:dyDescent="0.35">
      <c r="A6243">
        <v>74</v>
      </c>
      <c r="B6243" t="s">
        <v>39</v>
      </c>
    </row>
    <row r="6244" spans="1:2" x14ac:dyDescent="0.35">
      <c r="A6244">
        <v>74</v>
      </c>
      <c r="B6244">
        <v>-121.6</v>
      </c>
    </row>
    <row r="6245" spans="1:2" x14ac:dyDescent="0.35">
      <c r="A6245">
        <v>74</v>
      </c>
      <c r="B6245" t="s">
        <v>40</v>
      </c>
    </row>
    <row r="6246" spans="1:2" x14ac:dyDescent="0.35">
      <c r="A6246">
        <v>74</v>
      </c>
      <c r="B6246" s="4">
        <v>0</v>
      </c>
    </row>
    <row r="6247" spans="1:2" x14ac:dyDescent="0.35">
      <c r="A6247">
        <v>74</v>
      </c>
      <c r="B6247" t="s">
        <v>41</v>
      </c>
    </row>
    <row r="6248" spans="1:2" x14ac:dyDescent="0.35">
      <c r="A6248">
        <v>74</v>
      </c>
      <c r="B6248" s="4">
        <v>320000000</v>
      </c>
    </row>
    <row r="6249" spans="1:2" x14ac:dyDescent="0.35">
      <c r="A6249">
        <v>74</v>
      </c>
      <c r="B6249" t="s">
        <v>42</v>
      </c>
    </row>
    <row r="6250" spans="1:2" x14ac:dyDescent="0.35">
      <c r="A6250">
        <v>74</v>
      </c>
      <c r="B6250" t="s">
        <v>47</v>
      </c>
    </row>
    <row r="6251" spans="1:2" x14ac:dyDescent="0.35">
      <c r="A6251">
        <v>73</v>
      </c>
      <c r="B6251" t="s">
        <v>27</v>
      </c>
    </row>
    <row r="6252" spans="1:2" x14ac:dyDescent="0.35">
      <c r="A6252">
        <v>73</v>
      </c>
      <c r="B6252" s="2">
        <v>0.42574000000000001</v>
      </c>
    </row>
    <row r="6253" spans="1:2" x14ac:dyDescent="0.35">
      <c r="A6253">
        <v>73</v>
      </c>
      <c r="B6253" t="s">
        <v>1</v>
      </c>
    </row>
    <row r="6254" spans="1:2" x14ac:dyDescent="0.35">
      <c r="A6254">
        <v>73</v>
      </c>
      <c r="B6254">
        <v>1.212</v>
      </c>
    </row>
    <row r="6255" spans="1:2" x14ac:dyDescent="0.35">
      <c r="A6255">
        <v>73</v>
      </c>
      <c r="B6255" t="s">
        <v>28</v>
      </c>
    </row>
    <row r="6256" spans="1:2" x14ac:dyDescent="0.35">
      <c r="A6256">
        <v>73</v>
      </c>
      <c r="B6256">
        <v>383</v>
      </c>
    </row>
    <row r="6257" spans="1:2" x14ac:dyDescent="0.35">
      <c r="A6257">
        <v>73</v>
      </c>
      <c r="B6257" t="s">
        <v>25</v>
      </c>
    </row>
    <row r="6258" spans="1:2" x14ac:dyDescent="0.35">
      <c r="A6258">
        <v>73</v>
      </c>
      <c r="B6258" s="2">
        <v>0.21609999999999999</v>
      </c>
    </row>
    <row r="6259" spans="1:2" x14ac:dyDescent="0.35">
      <c r="A6259">
        <v>73</v>
      </c>
      <c r="B6259" t="s">
        <v>29</v>
      </c>
    </row>
    <row r="6260" spans="1:2" x14ac:dyDescent="0.35">
      <c r="A6260">
        <v>73</v>
      </c>
      <c r="B6260" s="2">
        <v>-0.1457</v>
      </c>
    </row>
    <row r="6261" spans="1:2" x14ac:dyDescent="0.35">
      <c r="A6261">
        <v>73</v>
      </c>
      <c r="B6261" t="s">
        <v>30</v>
      </c>
    </row>
    <row r="6262" spans="1:2" x14ac:dyDescent="0.35">
      <c r="A6262">
        <v>73</v>
      </c>
      <c r="B6262" s="2">
        <v>0.60529999999999995</v>
      </c>
    </row>
    <row r="6263" spans="1:2" x14ac:dyDescent="0.35">
      <c r="A6263">
        <v>73</v>
      </c>
      <c r="B6263" t="s">
        <v>8</v>
      </c>
    </row>
    <row r="6264" spans="1:2" x14ac:dyDescent="0.35">
      <c r="A6264">
        <v>73</v>
      </c>
      <c r="B6264" s="2">
        <v>0.72299999999999998</v>
      </c>
    </row>
    <row r="6265" spans="1:2" x14ac:dyDescent="0.35">
      <c r="A6265">
        <v>73</v>
      </c>
      <c r="B6265" t="s">
        <v>31</v>
      </c>
    </row>
    <row r="6266" spans="1:2" x14ac:dyDescent="0.35">
      <c r="A6266">
        <v>73</v>
      </c>
      <c r="B6266">
        <v>0.32400000000000001</v>
      </c>
    </row>
    <row r="6267" spans="1:2" x14ac:dyDescent="0.35">
      <c r="A6267">
        <v>73</v>
      </c>
      <c r="B6267" t="s">
        <v>32</v>
      </c>
    </row>
    <row r="6268" spans="1:2" x14ac:dyDescent="0.35">
      <c r="A6268">
        <v>73</v>
      </c>
      <c r="B6268" s="2">
        <v>0.35619000000000001</v>
      </c>
    </row>
    <row r="6269" spans="1:2" x14ac:dyDescent="0.35">
      <c r="A6269">
        <v>73</v>
      </c>
      <c r="B6269" t="s">
        <v>33</v>
      </c>
    </row>
    <row r="6270" spans="1:2" x14ac:dyDescent="0.35">
      <c r="A6270">
        <v>73</v>
      </c>
      <c r="B6270" s="3">
        <v>0.47</v>
      </c>
    </row>
    <row r="6271" spans="1:2" x14ac:dyDescent="0.35">
      <c r="A6271">
        <v>73</v>
      </c>
      <c r="B6271" t="s">
        <v>34</v>
      </c>
    </row>
    <row r="6272" spans="1:2" x14ac:dyDescent="0.35">
      <c r="A6272">
        <v>73</v>
      </c>
      <c r="B6272" s="3">
        <v>0.53</v>
      </c>
    </row>
    <row r="6273" spans="1:2" x14ac:dyDescent="0.35">
      <c r="A6273">
        <v>73</v>
      </c>
      <c r="B6273" t="s">
        <v>26</v>
      </c>
    </row>
    <row r="6274" spans="1:2" x14ac:dyDescent="0.35">
      <c r="A6274">
        <v>73</v>
      </c>
      <c r="B6274">
        <v>1.48</v>
      </c>
    </row>
    <row r="6275" spans="1:2" x14ac:dyDescent="0.35">
      <c r="A6275">
        <v>73</v>
      </c>
      <c r="B6275" t="s">
        <v>23</v>
      </c>
    </row>
    <row r="6276" spans="1:2" x14ac:dyDescent="0.35">
      <c r="A6276">
        <v>73</v>
      </c>
      <c r="B6276">
        <v>1.139</v>
      </c>
    </row>
    <row r="6277" spans="1:2" x14ac:dyDescent="0.35">
      <c r="A6277">
        <v>73</v>
      </c>
      <c r="B6277" t="s">
        <v>24</v>
      </c>
    </row>
    <row r="6278" spans="1:2" x14ac:dyDescent="0.35">
      <c r="A6278">
        <v>73</v>
      </c>
      <c r="B6278">
        <v>-8.9999999999999993E-3</v>
      </c>
    </row>
    <row r="6279" spans="1:2" x14ac:dyDescent="0.35">
      <c r="A6279">
        <v>73</v>
      </c>
      <c r="B6279" t="s">
        <v>35</v>
      </c>
    </row>
    <row r="6280" spans="1:2" x14ac:dyDescent="0.35">
      <c r="A6280">
        <v>73</v>
      </c>
      <c r="B6280">
        <v>0.93799999999999994</v>
      </c>
    </row>
    <row r="6281" spans="1:2" x14ac:dyDescent="0.35">
      <c r="A6281">
        <v>73</v>
      </c>
      <c r="B6281" t="s">
        <v>36</v>
      </c>
    </row>
    <row r="6282" spans="1:2" x14ac:dyDescent="0.35">
      <c r="A6282">
        <v>73</v>
      </c>
      <c r="B6282">
        <v>0.88100000000000001</v>
      </c>
    </row>
    <row r="6283" spans="1:2" x14ac:dyDescent="0.35">
      <c r="A6283">
        <v>73</v>
      </c>
      <c r="B6283" t="s">
        <v>37</v>
      </c>
    </row>
    <row r="6284" spans="1:2" x14ac:dyDescent="0.35">
      <c r="A6284">
        <v>73</v>
      </c>
      <c r="B6284">
        <v>1.141</v>
      </c>
    </row>
    <row r="6285" spans="1:2" x14ac:dyDescent="0.35">
      <c r="A6285">
        <v>73</v>
      </c>
      <c r="B6285" t="s">
        <v>38</v>
      </c>
    </row>
    <row r="6286" spans="1:2" x14ac:dyDescent="0.35">
      <c r="A6286">
        <v>73</v>
      </c>
      <c r="B6286">
        <v>0.94099999999999995</v>
      </c>
    </row>
    <row r="6287" spans="1:2" x14ac:dyDescent="0.35">
      <c r="A6287">
        <v>73</v>
      </c>
      <c r="B6287" t="s">
        <v>39</v>
      </c>
    </row>
    <row r="6288" spans="1:2" x14ac:dyDescent="0.35">
      <c r="A6288">
        <v>73</v>
      </c>
      <c r="B6288">
        <v>-121.6</v>
      </c>
    </row>
    <row r="6289" spans="1:2" x14ac:dyDescent="0.35">
      <c r="A6289">
        <v>73</v>
      </c>
      <c r="B6289" t="s">
        <v>40</v>
      </c>
    </row>
    <row r="6290" spans="1:2" x14ac:dyDescent="0.35">
      <c r="A6290">
        <v>73</v>
      </c>
      <c r="B6290" s="4">
        <v>0</v>
      </c>
    </row>
    <row r="6291" spans="1:2" x14ac:dyDescent="0.35">
      <c r="A6291">
        <v>73</v>
      </c>
      <c r="B6291" t="s">
        <v>41</v>
      </c>
    </row>
    <row r="6292" spans="1:2" x14ac:dyDescent="0.35">
      <c r="A6292">
        <v>73</v>
      </c>
      <c r="B6292" s="4">
        <v>320000000</v>
      </c>
    </row>
    <row r="6293" spans="1:2" x14ac:dyDescent="0.35">
      <c r="A6293">
        <v>73</v>
      </c>
      <c r="B6293" t="s">
        <v>42</v>
      </c>
    </row>
    <row r="6294" spans="1:2" x14ac:dyDescent="0.35">
      <c r="A6294">
        <v>73</v>
      </c>
      <c r="B6294" t="s">
        <v>47</v>
      </c>
    </row>
    <row r="6295" spans="1:2" x14ac:dyDescent="0.35">
      <c r="A6295">
        <v>72</v>
      </c>
      <c r="B6295" t="s">
        <v>27</v>
      </c>
    </row>
    <row r="6296" spans="1:2" x14ac:dyDescent="0.35">
      <c r="A6296">
        <v>72</v>
      </c>
      <c r="B6296" s="2">
        <v>0.42574000000000001</v>
      </c>
    </row>
    <row r="6297" spans="1:2" x14ac:dyDescent="0.35">
      <c r="A6297">
        <v>72</v>
      </c>
      <c r="B6297" t="s">
        <v>1</v>
      </c>
    </row>
    <row r="6298" spans="1:2" x14ac:dyDescent="0.35">
      <c r="A6298">
        <v>72</v>
      </c>
      <c r="B6298">
        <v>1.212</v>
      </c>
    </row>
    <row r="6299" spans="1:2" x14ac:dyDescent="0.35">
      <c r="A6299">
        <v>72</v>
      </c>
      <c r="B6299" t="s">
        <v>28</v>
      </c>
    </row>
    <row r="6300" spans="1:2" x14ac:dyDescent="0.35">
      <c r="A6300">
        <v>72</v>
      </c>
      <c r="B6300">
        <v>383</v>
      </c>
    </row>
    <row r="6301" spans="1:2" x14ac:dyDescent="0.35">
      <c r="A6301">
        <v>72</v>
      </c>
      <c r="B6301" t="s">
        <v>25</v>
      </c>
    </row>
    <row r="6302" spans="1:2" x14ac:dyDescent="0.35">
      <c r="A6302">
        <v>72</v>
      </c>
      <c r="B6302" s="2">
        <v>0.21609999999999999</v>
      </c>
    </row>
    <row r="6303" spans="1:2" x14ac:dyDescent="0.35">
      <c r="A6303">
        <v>72</v>
      </c>
      <c r="B6303" t="s">
        <v>29</v>
      </c>
    </row>
    <row r="6304" spans="1:2" x14ac:dyDescent="0.35">
      <c r="A6304">
        <v>72</v>
      </c>
      <c r="B6304" s="2">
        <v>-0.1457</v>
      </c>
    </row>
    <row r="6305" spans="1:2" x14ac:dyDescent="0.35">
      <c r="A6305">
        <v>72</v>
      </c>
      <c r="B6305" t="s">
        <v>30</v>
      </c>
    </row>
    <row r="6306" spans="1:2" x14ac:dyDescent="0.35">
      <c r="A6306">
        <v>72</v>
      </c>
      <c r="B6306" s="2">
        <v>0.60529999999999995</v>
      </c>
    </row>
    <row r="6307" spans="1:2" x14ac:dyDescent="0.35">
      <c r="A6307">
        <v>72</v>
      </c>
      <c r="B6307" t="s">
        <v>8</v>
      </c>
    </row>
    <row r="6308" spans="1:2" x14ac:dyDescent="0.35">
      <c r="A6308">
        <v>72</v>
      </c>
      <c r="B6308" s="2">
        <v>0.72299999999999998</v>
      </c>
    </row>
    <row r="6309" spans="1:2" x14ac:dyDescent="0.35">
      <c r="A6309">
        <v>72</v>
      </c>
      <c r="B6309" t="s">
        <v>31</v>
      </c>
    </row>
    <row r="6310" spans="1:2" x14ac:dyDescent="0.35">
      <c r="A6310">
        <v>72</v>
      </c>
      <c r="B6310">
        <v>0.32400000000000001</v>
      </c>
    </row>
    <row r="6311" spans="1:2" x14ac:dyDescent="0.35">
      <c r="A6311">
        <v>72</v>
      </c>
      <c r="B6311" t="s">
        <v>32</v>
      </c>
    </row>
    <row r="6312" spans="1:2" x14ac:dyDescent="0.35">
      <c r="A6312">
        <v>72</v>
      </c>
      <c r="B6312" s="2">
        <v>0.35619000000000001</v>
      </c>
    </row>
    <row r="6313" spans="1:2" x14ac:dyDescent="0.35">
      <c r="A6313">
        <v>72</v>
      </c>
      <c r="B6313" t="s">
        <v>33</v>
      </c>
    </row>
    <row r="6314" spans="1:2" x14ac:dyDescent="0.35">
      <c r="A6314">
        <v>72</v>
      </c>
      <c r="B6314" s="3">
        <v>0.47</v>
      </c>
    </row>
    <row r="6315" spans="1:2" x14ac:dyDescent="0.35">
      <c r="A6315">
        <v>72</v>
      </c>
      <c r="B6315" t="s">
        <v>34</v>
      </c>
    </row>
    <row r="6316" spans="1:2" x14ac:dyDescent="0.35">
      <c r="A6316">
        <v>72</v>
      </c>
      <c r="B6316" s="3">
        <v>0.53</v>
      </c>
    </row>
    <row r="6317" spans="1:2" x14ac:dyDescent="0.35">
      <c r="A6317">
        <v>72</v>
      </c>
      <c r="B6317" t="s">
        <v>26</v>
      </c>
    </row>
    <row r="6318" spans="1:2" x14ac:dyDescent="0.35">
      <c r="A6318">
        <v>72</v>
      </c>
      <c r="B6318">
        <v>1.48</v>
      </c>
    </row>
    <row r="6319" spans="1:2" x14ac:dyDescent="0.35">
      <c r="A6319">
        <v>72</v>
      </c>
      <c r="B6319" t="s">
        <v>23</v>
      </c>
    </row>
    <row r="6320" spans="1:2" x14ac:dyDescent="0.35">
      <c r="A6320">
        <v>72</v>
      </c>
      <c r="B6320">
        <v>1.139</v>
      </c>
    </row>
    <row r="6321" spans="1:2" x14ac:dyDescent="0.35">
      <c r="A6321">
        <v>72</v>
      </c>
      <c r="B6321" t="s">
        <v>24</v>
      </c>
    </row>
    <row r="6322" spans="1:2" x14ac:dyDescent="0.35">
      <c r="A6322">
        <v>72</v>
      </c>
      <c r="B6322">
        <v>-8.9999999999999993E-3</v>
      </c>
    </row>
    <row r="6323" spans="1:2" x14ac:dyDescent="0.35">
      <c r="A6323">
        <v>72</v>
      </c>
      <c r="B6323" t="s">
        <v>35</v>
      </c>
    </row>
    <row r="6324" spans="1:2" x14ac:dyDescent="0.35">
      <c r="A6324">
        <v>72</v>
      </c>
      <c r="B6324">
        <v>0.93799999999999994</v>
      </c>
    </row>
    <row r="6325" spans="1:2" x14ac:dyDescent="0.35">
      <c r="A6325">
        <v>72</v>
      </c>
      <c r="B6325" t="s">
        <v>36</v>
      </c>
    </row>
    <row r="6326" spans="1:2" x14ac:dyDescent="0.35">
      <c r="A6326">
        <v>72</v>
      </c>
      <c r="B6326">
        <v>0.88100000000000001</v>
      </c>
    </row>
    <row r="6327" spans="1:2" x14ac:dyDescent="0.35">
      <c r="A6327">
        <v>72</v>
      </c>
      <c r="B6327" t="s">
        <v>37</v>
      </c>
    </row>
    <row r="6328" spans="1:2" x14ac:dyDescent="0.35">
      <c r="A6328">
        <v>72</v>
      </c>
      <c r="B6328">
        <v>1.141</v>
      </c>
    </row>
    <row r="6329" spans="1:2" x14ac:dyDescent="0.35">
      <c r="A6329">
        <v>72</v>
      </c>
      <c r="B6329" t="s">
        <v>38</v>
      </c>
    </row>
    <row r="6330" spans="1:2" x14ac:dyDescent="0.35">
      <c r="A6330">
        <v>72</v>
      </c>
      <c r="B6330">
        <v>0.94099999999999995</v>
      </c>
    </row>
    <row r="6331" spans="1:2" x14ac:dyDescent="0.35">
      <c r="A6331">
        <v>72</v>
      </c>
      <c r="B6331" t="s">
        <v>39</v>
      </c>
    </row>
    <row r="6332" spans="1:2" x14ac:dyDescent="0.35">
      <c r="A6332">
        <v>72</v>
      </c>
      <c r="B6332">
        <v>-121.6</v>
      </c>
    </row>
    <row r="6333" spans="1:2" x14ac:dyDescent="0.35">
      <c r="A6333">
        <v>72</v>
      </c>
      <c r="B6333" t="s">
        <v>40</v>
      </c>
    </row>
    <row r="6334" spans="1:2" x14ac:dyDescent="0.35">
      <c r="A6334">
        <v>72</v>
      </c>
      <c r="B6334" s="4">
        <v>0</v>
      </c>
    </row>
    <row r="6335" spans="1:2" x14ac:dyDescent="0.35">
      <c r="A6335">
        <v>72</v>
      </c>
      <c r="B6335" t="s">
        <v>41</v>
      </c>
    </row>
    <row r="6336" spans="1:2" x14ac:dyDescent="0.35">
      <c r="A6336">
        <v>72</v>
      </c>
      <c r="B6336" s="4">
        <v>320000000</v>
      </c>
    </row>
    <row r="6337" spans="1:2" x14ac:dyDescent="0.35">
      <c r="A6337">
        <v>72</v>
      </c>
      <c r="B6337" t="s">
        <v>42</v>
      </c>
    </row>
    <row r="6338" spans="1:2" x14ac:dyDescent="0.35">
      <c r="A6338">
        <v>72</v>
      </c>
      <c r="B6338" t="s">
        <v>47</v>
      </c>
    </row>
    <row r="6339" spans="1:2" x14ac:dyDescent="0.35">
      <c r="A6339">
        <v>71</v>
      </c>
      <c r="B6339" t="s">
        <v>27</v>
      </c>
    </row>
    <row r="6340" spans="1:2" x14ac:dyDescent="0.35">
      <c r="A6340">
        <v>71</v>
      </c>
      <c r="B6340" s="2">
        <v>0.42574000000000001</v>
      </c>
    </row>
    <row r="6341" spans="1:2" x14ac:dyDescent="0.35">
      <c r="A6341">
        <v>71</v>
      </c>
      <c r="B6341" t="s">
        <v>1</v>
      </c>
    </row>
    <row r="6342" spans="1:2" x14ac:dyDescent="0.35">
      <c r="A6342">
        <v>71</v>
      </c>
      <c r="B6342">
        <v>1.212</v>
      </c>
    </row>
    <row r="6343" spans="1:2" x14ac:dyDescent="0.35">
      <c r="A6343">
        <v>71</v>
      </c>
      <c r="B6343" t="s">
        <v>28</v>
      </c>
    </row>
    <row r="6344" spans="1:2" x14ac:dyDescent="0.35">
      <c r="A6344">
        <v>71</v>
      </c>
      <c r="B6344">
        <v>383</v>
      </c>
    </row>
    <row r="6345" spans="1:2" x14ac:dyDescent="0.35">
      <c r="A6345">
        <v>71</v>
      </c>
      <c r="B6345" t="s">
        <v>25</v>
      </c>
    </row>
    <row r="6346" spans="1:2" x14ac:dyDescent="0.35">
      <c r="A6346">
        <v>71</v>
      </c>
      <c r="B6346" s="2">
        <v>0.21609999999999999</v>
      </c>
    </row>
    <row r="6347" spans="1:2" x14ac:dyDescent="0.35">
      <c r="A6347">
        <v>71</v>
      </c>
      <c r="B6347" t="s">
        <v>29</v>
      </c>
    </row>
    <row r="6348" spans="1:2" x14ac:dyDescent="0.35">
      <c r="A6348">
        <v>71</v>
      </c>
      <c r="B6348" s="2">
        <v>-0.1457</v>
      </c>
    </row>
    <row r="6349" spans="1:2" x14ac:dyDescent="0.35">
      <c r="A6349">
        <v>71</v>
      </c>
      <c r="B6349" t="s">
        <v>30</v>
      </c>
    </row>
    <row r="6350" spans="1:2" x14ac:dyDescent="0.35">
      <c r="A6350">
        <v>71</v>
      </c>
      <c r="B6350" s="2">
        <v>0.60529999999999995</v>
      </c>
    </row>
    <row r="6351" spans="1:2" x14ac:dyDescent="0.35">
      <c r="A6351">
        <v>71</v>
      </c>
      <c r="B6351" t="s">
        <v>8</v>
      </c>
    </row>
    <row r="6352" spans="1:2" x14ac:dyDescent="0.35">
      <c r="A6352">
        <v>71</v>
      </c>
      <c r="B6352" s="2">
        <v>0.72299999999999998</v>
      </c>
    </row>
    <row r="6353" spans="1:2" x14ac:dyDescent="0.35">
      <c r="A6353">
        <v>71</v>
      </c>
      <c r="B6353" t="s">
        <v>31</v>
      </c>
    </row>
    <row r="6354" spans="1:2" x14ac:dyDescent="0.35">
      <c r="A6354">
        <v>71</v>
      </c>
      <c r="B6354">
        <v>0.32400000000000001</v>
      </c>
    </row>
    <row r="6355" spans="1:2" x14ac:dyDescent="0.35">
      <c r="A6355">
        <v>71</v>
      </c>
      <c r="B6355" t="s">
        <v>32</v>
      </c>
    </row>
    <row r="6356" spans="1:2" x14ac:dyDescent="0.35">
      <c r="A6356">
        <v>71</v>
      </c>
      <c r="B6356" s="2">
        <v>0.35619000000000001</v>
      </c>
    </row>
    <row r="6357" spans="1:2" x14ac:dyDescent="0.35">
      <c r="A6357">
        <v>71</v>
      </c>
      <c r="B6357" t="s">
        <v>33</v>
      </c>
    </row>
    <row r="6358" spans="1:2" x14ac:dyDescent="0.35">
      <c r="A6358">
        <v>71</v>
      </c>
      <c r="B6358" s="3">
        <v>0.47</v>
      </c>
    </row>
    <row r="6359" spans="1:2" x14ac:dyDescent="0.35">
      <c r="A6359">
        <v>71</v>
      </c>
      <c r="B6359" t="s">
        <v>34</v>
      </c>
    </row>
    <row r="6360" spans="1:2" x14ac:dyDescent="0.35">
      <c r="A6360">
        <v>71</v>
      </c>
      <c r="B6360" s="3">
        <v>0.53</v>
      </c>
    </row>
    <row r="6361" spans="1:2" x14ac:dyDescent="0.35">
      <c r="A6361">
        <v>71</v>
      </c>
      <c r="B6361" t="s">
        <v>26</v>
      </c>
    </row>
    <row r="6362" spans="1:2" x14ac:dyDescent="0.35">
      <c r="A6362">
        <v>71</v>
      </c>
      <c r="B6362">
        <v>1.48</v>
      </c>
    </row>
    <row r="6363" spans="1:2" x14ac:dyDescent="0.35">
      <c r="A6363">
        <v>71</v>
      </c>
      <c r="B6363" t="s">
        <v>23</v>
      </c>
    </row>
    <row r="6364" spans="1:2" x14ac:dyDescent="0.35">
      <c r="A6364">
        <v>71</v>
      </c>
      <c r="B6364">
        <v>1.139</v>
      </c>
    </row>
    <row r="6365" spans="1:2" x14ac:dyDescent="0.35">
      <c r="A6365">
        <v>71</v>
      </c>
      <c r="B6365" t="s">
        <v>24</v>
      </c>
    </row>
    <row r="6366" spans="1:2" x14ac:dyDescent="0.35">
      <c r="A6366">
        <v>71</v>
      </c>
      <c r="B6366">
        <v>-8.9999999999999993E-3</v>
      </c>
    </row>
    <row r="6367" spans="1:2" x14ac:dyDescent="0.35">
      <c r="A6367">
        <v>71</v>
      </c>
      <c r="B6367" t="s">
        <v>35</v>
      </c>
    </row>
    <row r="6368" spans="1:2" x14ac:dyDescent="0.35">
      <c r="A6368">
        <v>71</v>
      </c>
      <c r="B6368">
        <v>0.93799999999999994</v>
      </c>
    </row>
    <row r="6369" spans="1:2" x14ac:dyDescent="0.35">
      <c r="A6369">
        <v>71</v>
      </c>
      <c r="B6369" t="s">
        <v>36</v>
      </c>
    </row>
    <row r="6370" spans="1:2" x14ac:dyDescent="0.35">
      <c r="A6370">
        <v>71</v>
      </c>
      <c r="B6370">
        <v>0.88100000000000001</v>
      </c>
    </row>
    <row r="6371" spans="1:2" x14ac:dyDescent="0.35">
      <c r="A6371">
        <v>71</v>
      </c>
      <c r="B6371" t="s">
        <v>37</v>
      </c>
    </row>
    <row r="6372" spans="1:2" x14ac:dyDescent="0.35">
      <c r="A6372">
        <v>71</v>
      </c>
      <c r="B6372">
        <v>1.141</v>
      </c>
    </row>
    <row r="6373" spans="1:2" x14ac:dyDescent="0.35">
      <c r="A6373">
        <v>71</v>
      </c>
      <c r="B6373" t="s">
        <v>38</v>
      </c>
    </row>
    <row r="6374" spans="1:2" x14ac:dyDescent="0.35">
      <c r="A6374">
        <v>71</v>
      </c>
      <c r="B6374">
        <v>0.94099999999999995</v>
      </c>
    </row>
    <row r="6375" spans="1:2" x14ac:dyDescent="0.35">
      <c r="A6375">
        <v>71</v>
      </c>
      <c r="B6375" t="s">
        <v>39</v>
      </c>
    </row>
    <row r="6376" spans="1:2" x14ac:dyDescent="0.35">
      <c r="A6376">
        <v>71</v>
      </c>
      <c r="B6376">
        <v>-121.6</v>
      </c>
    </row>
    <row r="6377" spans="1:2" x14ac:dyDescent="0.35">
      <c r="A6377">
        <v>71</v>
      </c>
      <c r="B6377" t="s">
        <v>40</v>
      </c>
    </row>
    <row r="6378" spans="1:2" x14ac:dyDescent="0.35">
      <c r="A6378">
        <v>71</v>
      </c>
      <c r="B6378" s="4">
        <v>0</v>
      </c>
    </row>
    <row r="6379" spans="1:2" x14ac:dyDescent="0.35">
      <c r="A6379">
        <v>71</v>
      </c>
      <c r="B6379" t="s">
        <v>41</v>
      </c>
    </row>
    <row r="6380" spans="1:2" x14ac:dyDescent="0.35">
      <c r="A6380">
        <v>71</v>
      </c>
      <c r="B6380" s="4">
        <v>320000000</v>
      </c>
    </row>
    <row r="6381" spans="1:2" x14ac:dyDescent="0.35">
      <c r="A6381">
        <v>71</v>
      </c>
      <c r="B6381" t="s">
        <v>42</v>
      </c>
    </row>
    <row r="6382" spans="1:2" x14ac:dyDescent="0.35">
      <c r="A6382">
        <v>71</v>
      </c>
      <c r="B6382" t="s">
        <v>47</v>
      </c>
    </row>
    <row r="6383" spans="1:2" x14ac:dyDescent="0.35">
      <c r="A6383">
        <v>70</v>
      </c>
      <c r="B6383" t="s">
        <v>27</v>
      </c>
    </row>
    <row r="6384" spans="1:2" x14ac:dyDescent="0.35">
      <c r="A6384">
        <v>70</v>
      </c>
      <c r="B6384" s="2">
        <v>0.42574000000000001</v>
      </c>
    </row>
    <row r="6385" spans="1:2" x14ac:dyDescent="0.35">
      <c r="A6385">
        <v>70</v>
      </c>
      <c r="B6385" t="s">
        <v>1</v>
      </c>
    </row>
    <row r="6386" spans="1:2" x14ac:dyDescent="0.35">
      <c r="A6386">
        <v>70</v>
      </c>
      <c r="B6386">
        <v>1.212</v>
      </c>
    </row>
    <row r="6387" spans="1:2" x14ac:dyDescent="0.35">
      <c r="A6387">
        <v>70</v>
      </c>
      <c r="B6387" t="s">
        <v>28</v>
      </c>
    </row>
    <row r="6388" spans="1:2" x14ac:dyDescent="0.35">
      <c r="A6388">
        <v>70</v>
      </c>
      <c r="B6388">
        <v>383</v>
      </c>
    </row>
    <row r="6389" spans="1:2" x14ac:dyDescent="0.35">
      <c r="A6389">
        <v>70</v>
      </c>
      <c r="B6389" t="s">
        <v>25</v>
      </c>
    </row>
    <row r="6390" spans="1:2" x14ac:dyDescent="0.35">
      <c r="A6390">
        <v>70</v>
      </c>
      <c r="B6390" s="2">
        <v>0.21609999999999999</v>
      </c>
    </row>
    <row r="6391" spans="1:2" x14ac:dyDescent="0.35">
      <c r="A6391">
        <v>70</v>
      </c>
      <c r="B6391" t="s">
        <v>29</v>
      </c>
    </row>
    <row r="6392" spans="1:2" x14ac:dyDescent="0.35">
      <c r="A6392">
        <v>70</v>
      </c>
      <c r="B6392" s="2">
        <v>-0.1457</v>
      </c>
    </row>
    <row r="6393" spans="1:2" x14ac:dyDescent="0.35">
      <c r="A6393">
        <v>70</v>
      </c>
      <c r="B6393" t="s">
        <v>30</v>
      </c>
    </row>
    <row r="6394" spans="1:2" x14ac:dyDescent="0.35">
      <c r="A6394">
        <v>70</v>
      </c>
      <c r="B6394" s="2">
        <v>0.60529999999999995</v>
      </c>
    </row>
    <row r="6395" spans="1:2" x14ac:dyDescent="0.35">
      <c r="A6395">
        <v>70</v>
      </c>
      <c r="B6395" t="s">
        <v>8</v>
      </c>
    </row>
    <row r="6396" spans="1:2" x14ac:dyDescent="0.35">
      <c r="A6396">
        <v>70</v>
      </c>
      <c r="B6396" s="2">
        <v>0.72299999999999998</v>
      </c>
    </row>
    <row r="6397" spans="1:2" x14ac:dyDescent="0.35">
      <c r="A6397">
        <v>70</v>
      </c>
      <c r="B6397" t="s">
        <v>31</v>
      </c>
    </row>
    <row r="6398" spans="1:2" x14ac:dyDescent="0.35">
      <c r="A6398">
        <v>70</v>
      </c>
      <c r="B6398">
        <v>0.32400000000000001</v>
      </c>
    </row>
    <row r="6399" spans="1:2" x14ac:dyDescent="0.35">
      <c r="A6399">
        <v>70</v>
      </c>
      <c r="B6399" t="s">
        <v>32</v>
      </c>
    </row>
    <row r="6400" spans="1:2" x14ac:dyDescent="0.35">
      <c r="A6400">
        <v>70</v>
      </c>
      <c r="B6400" s="2">
        <v>0.35619000000000001</v>
      </c>
    </row>
    <row r="6401" spans="1:2" x14ac:dyDescent="0.35">
      <c r="A6401">
        <v>70</v>
      </c>
      <c r="B6401" t="s">
        <v>33</v>
      </c>
    </row>
    <row r="6402" spans="1:2" x14ac:dyDescent="0.35">
      <c r="A6402">
        <v>70</v>
      </c>
      <c r="B6402" s="3">
        <v>0.47</v>
      </c>
    </row>
    <row r="6403" spans="1:2" x14ac:dyDescent="0.35">
      <c r="A6403">
        <v>70</v>
      </c>
      <c r="B6403" t="s">
        <v>34</v>
      </c>
    </row>
    <row r="6404" spans="1:2" x14ac:dyDescent="0.35">
      <c r="A6404">
        <v>70</v>
      </c>
      <c r="B6404" s="3">
        <v>0.53</v>
      </c>
    </row>
    <row r="6405" spans="1:2" x14ac:dyDescent="0.35">
      <c r="A6405">
        <v>70</v>
      </c>
      <c r="B6405" t="s">
        <v>26</v>
      </c>
    </row>
    <row r="6406" spans="1:2" x14ac:dyDescent="0.35">
      <c r="A6406">
        <v>70</v>
      </c>
      <c r="B6406">
        <v>1.48</v>
      </c>
    </row>
    <row r="6407" spans="1:2" x14ac:dyDescent="0.35">
      <c r="A6407">
        <v>70</v>
      </c>
      <c r="B6407" t="s">
        <v>23</v>
      </c>
    </row>
    <row r="6408" spans="1:2" x14ac:dyDescent="0.35">
      <c r="A6408">
        <v>70</v>
      </c>
      <c r="B6408">
        <v>1.139</v>
      </c>
    </row>
    <row r="6409" spans="1:2" x14ac:dyDescent="0.35">
      <c r="A6409">
        <v>70</v>
      </c>
      <c r="B6409" t="s">
        <v>24</v>
      </c>
    </row>
    <row r="6410" spans="1:2" x14ac:dyDescent="0.35">
      <c r="A6410">
        <v>70</v>
      </c>
      <c r="B6410">
        <v>-8.9999999999999993E-3</v>
      </c>
    </row>
    <row r="6411" spans="1:2" x14ac:dyDescent="0.35">
      <c r="A6411">
        <v>70</v>
      </c>
      <c r="B6411" t="s">
        <v>35</v>
      </c>
    </row>
    <row r="6412" spans="1:2" x14ac:dyDescent="0.35">
      <c r="A6412">
        <v>70</v>
      </c>
      <c r="B6412">
        <v>0.93799999999999994</v>
      </c>
    </row>
    <row r="6413" spans="1:2" x14ac:dyDescent="0.35">
      <c r="A6413">
        <v>70</v>
      </c>
      <c r="B6413" t="s">
        <v>36</v>
      </c>
    </row>
    <row r="6414" spans="1:2" x14ac:dyDescent="0.35">
      <c r="A6414">
        <v>70</v>
      </c>
      <c r="B6414">
        <v>0.88100000000000001</v>
      </c>
    </row>
    <row r="6415" spans="1:2" x14ac:dyDescent="0.35">
      <c r="A6415">
        <v>70</v>
      </c>
      <c r="B6415" t="s">
        <v>37</v>
      </c>
    </row>
    <row r="6416" spans="1:2" x14ac:dyDescent="0.35">
      <c r="A6416">
        <v>70</v>
      </c>
      <c r="B6416">
        <v>1.141</v>
      </c>
    </row>
    <row r="6417" spans="1:2" x14ac:dyDescent="0.35">
      <c r="A6417">
        <v>70</v>
      </c>
      <c r="B6417" t="s">
        <v>38</v>
      </c>
    </row>
    <row r="6418" spans="1:2" x14ac:dyDescent="0.35">
      <c r="A6418">
        <v>70</v>
      </c>
      <c r="B6418">
        <v>0.94099999999999995</v>
      </c>
    </row>
    <row r="6419" spans="1:2" x14ac:dyDescent="0.35">
      <c r="A6419">
        <v>70</v>
      </c>
      <c r="B6419" t="s">
        <v>39</v>
      </c>
    </row>
    <row r="6420" spans="1:2" x14ac:dyDescent="0.35">
      <c r="A6420">
        <v>70</v>
      </c>
      <c r="B6420">
        <v>-121.6</v>
      </c>
    </row>
    <row r="6421" spans="1:2" x14ac:dyDescent="0.35">
      <c r="A6421">
        <v>70</v>
      </c>
      <c r="B6421" t="s">
        <v>40</v>
      </c>
    </row>
    <row r="6422" spans="1:2" x14ac:dyDescent="0.35">
      <c r="A6422">
        <v>70</v>
      </c>
      <c r="B6422" s="4">
        <v>0</v>
      </c>
    </row>
    <row r="6423" spans="1:2" x14ac:dyDescent="0.35">
      <c r="A6423">
        <v>70</v>
      </c>
      <c r="B6423" t="s">
        <v>41</v>
      </c>
    </row>
    <row r="6424" spans="1:2" x14ac:dyDescent="0.35">
      <c r="A6424">
        <v>70</v>
      </c>
      <c r="B6424" s="4">
        <v>320000000</v>
      </c>
    </row>
    <row r="6425" spans="1:2" x14ac:dyDescent="0.35">
      <c r="A6425">
        <v>70</v>
      </c>
      <c r="B6425" t="s">
        <v>42</v>
      </c>
    </row>
    <row r="6426" spans="1:2" x14ac:dyDescent="0.35">
      <c r="A6426">
        <v>70</v>
      </c>
      <c r="B6426" t="s">
        <v>47</v>
      </c>
    </row>
    <row r="6427" spans="1:2" x14ac:dyDescent="0.35">
      <c r="A6427">
        <v>69</v>
      </c>
      <c r="B6427" t="s">
        <v>27</v>
      </c>
    </row>
    <row r="6428" spans="1:2" x14ac:dyDescent="0.35">
      <c r="A6428">
        <v>69</v>
      </c>
      <c r="B6428" s="2">
        <v>0.42574000000000001</v>
      </c>
    </row>
    <row r="6429" spans="1:2" x14ac:dyDescent="0.35">
      <c r="A6429">
        <v>69</v>
      </c>
      <c r="B6429" t="s">
        <v>1</v>
      </c>
    </row>
    <row r="6430" spans="1:2" x14ac:dyDescent="0.35">
      <c r="A6430">
        <v>69</v>
      </c>
      <c r="B6430">
        <v>1.212</v>
      </c>
    </row>
    <row r="6431" spans="1:2" x14ac:dyDescent="0.35">
      <c r="A6431">
        <v>69</v>
      </c>
      <c r="B6431" t="s">
        <v>28</v>
      </c>
    </row>
    <row r="6432" spans="1:2" x14ac:dyDescent="0.35">
      <c r="A6432">
        <v>69</v>
      </c>
      <c r="B6432">
        <v>383</v>
      </c>
    </row>
    <row r="6433" spans="1:2" x14ac:dyDescent="0.35">
      <c r="A6433">
        <v>69</v>
      </c>
      <c r="B6433" t="s">
        <v>25</v>
      </c>
    </row>
    <row r="6434" spans="1:2" x14ac:dyDescent="0.35">
      <c r="A6434">
        <v>69</v>
      </c>
      <c r="B6434" s="2">
        <v>0.21609999999999999</v>
      </c>
    </row>
    <row r="6435" spans="1:2" x14ac:dyDescent="0.35">
      <c r="A6435">
        <v>69</v>
      </c>
      <c r="B6435" t="s">
        <v>29</v>
      </c>
    </row>
    <row r="6436" spans="1:2" x14ac:dyDescent="0.35">
      <c r="A6436">
        <v>69</v>
      </c>
      <c r="B6436" s="2">
        <v>-0.1457</v>
      </c>
    </row>
    <row r="6437" spans="1:2" x14ac:dyDescent="0.35">
      <c r="A6437">
        <v>69</v>
      </c>
      <c r="B6437" t="s">
        <v>30</v>
      </c>
    </row>
    <row r="6438" spans="1:2" x14ac:dyDescent="0.35">
      <c r="A6438">
        <v>69</v>
      </c>
      <c r="B6438" s="2">
        <v>0.60529999999999995</v>
      </c>
    </row>
    <row r="6439" spans="1:2" x14ac:dyDescent="0.35">
      <c r="A6439">
        <v>69</v>
      </c>
      <c r="B6439" t="s">
        <v>8</v>
      </c>
    </row>
    <row r="6440" spans="1:2" x14ac:dyDescent="0.35">
      <c r="A6440">
        <v>69</v>
      </c>
      <c r="B6440" s="2">
        <v>0.72299999999999998</v>
      </c>
    </row>
    <row r="6441" spans="1:2" x14ac:dyDescent="0.35">
      <c r="A6441">
        <v>69</v>
      </c>
      <c r="B6441" t="s">
        <v>31</v>
      </c>
    </row>
    <row r="6442" spans="1:2" x14ac:dyDescent="0.35">
      <c r="A6442">
        <v>69</v>
      </c>
      <c r="B6442">
        <v>0.32400000000000001</v>
      </c>
    </row>
    <row r="6443" spans="1:2" x14ac:dyDescent="0.35">
      <c r="A6443">
        <v>69</v>
      </c>
      <c r="B6443" t="s">
        <v>32</v>
      </c>
    </row>
    <row r="6444" spans="1:2" x14ac:dyDescent="0.35">
      <c r="A6444">
        <v>69</v>
      </c>
      <c r="B6444" s="2">
        <v>0.35619000000000001</v>
      </c>
    </row>
    <row r="6445" spans="1:2" x14ac:dyDescent="0.35">
      <c r="A6445">
        <v>69</v>
      </c>
      <c r="B6445" t="s">
        <v>33</v>
      </c>
    </row>
    <row r="6446" spans="1:2" x14ac:dyDescent="0.35">
      <c r="A6446">
        <v>69</v>
      </c>
      <c r="B6446" s="3">
        <v>0.47</v>
      </c>
    </row>
    <row r="6447" spans="1:2" x14ac:dyDescent="0.35">
      <c r="A6447">
        <v>69</v>
      </c>
      <c r="B6447" t="s">
        <v>34</v>
      </c>
    </row>
    <row r="6448" spans="1:2" x14ac:dyDescent="0.35">
      <c r="A6448">
        <v>69</v>
      </c>
      <c r="B6448" s="3">
        <v>0.53</v>
      </c>
    </row>
    <row r="6449" spans="1:2" x14ac:dyDescent="0.35">
      <c r="A6449">
        <v>69</v>
      </c>
      <c r="B6449" t="s">
        <v>26</v>
      </c>
    </row>
    <row r="6450" spans="1:2" x14ac:dyDescent="0.35">
      <c r="A6450">
        <v>69</v>
      </c>
      <c r="B6450">
        <v>1.48</v>
      </c>
    </row>
    <row r="6451" spans="1:2" x14ac:dyDescent="0.35">
      <c r="A6451">
        <v>69</v>
      </c>
      <c r="B6451" t="s">
        <v>23</v>
      </c>
    </row>
    <row r="6452" spans="1:2" x14ac:dyDescent="0.35">
      <c r="A6452">
        <v>69</v>
      </c>
      <c r="B6452">
        <v>1.139</v>
      </c>
    </row>
    <row r="6453" spans="1:2" x14ac:dyDescent="0.35">
      <c r="A6453">
        <v>69</v>
      </c>
      <c r="B6453" t="s">
        <v>24</v>
      </c>
    </row>
    <row r="6454" spans="1:2" x14ac:dyDescent="0.35">
      <c r="A6454">
        <v>69</v>
      </c>
      <c r="B6454">
        <v>-8.9999999999999993E-3</v>
      </c>
    </row>
    <row r="6455" spans="1:2" x14ac:dyDescent="0.35">
      <c r="A6455">
        <v>69</v>
      </c>
      <c r="B6455" t="s">
        <v>35</v>
      </c>
    </row>
    <row r="6456" spans="1:2" x14ac:dyDescent="0.35">
      <c r="A6456">
        <v>69</v>
      </c>
      <c r="B6456">
        <v>0.93799999999999994</v>
      </c>
    </row>
    <row r="6457" spans="1:2" x14ac:dyDescent="0.35">
      <c r="A6457">
        <v>69</v>
      </c>
      <c r="B6457" t="s">
        <v>36</v>
      </c>
    </row>
    <row r="6458" spans="1:2" x14ac:dyDescent="0.35">
      <c r="A6458">
        <v>69</v>
      </c>
      <c r="B6458">
        <v>0.88100000000000001</v>
      </c>
    </row>
    <row r="6459" spans="1:2" x14ac:dyDescent="0.35">
      <c r="A6459">
        <v>69</v>
      </c>
      <c r="B6459" t="s">
        <v>37</v>
      </c>
    </row>
    <row r="6460" spans="1:2" x14ac:dyDescent="0.35">
      <c r="A6460">
        <v>69</v>
      </c>
      <c r="B6460">
        <v>1.141</v>
      </c>
    </row>
    <row r="6461" spans="1:2" x14ac:dyDescent="0.35">
      <c r="A6461">
        <v>69</v>
      </c>
      <c r="B6461" t="s">
        <v>38</v>
      </c>
    </row>
    <row r="6462" spans="1:2" x14ac:dyDescent="0.35">
      <c r="A6462">
        <v>69</v>
      </c>
      <c r="B6462">
        <v>0.94099999999999995</v>
      </c>
    </row>
    <row r="6463" spans="1:2" x14ac:dyDescent="0.35">
      <c r="A6463">
        <v>69</v>
      </c>
      <c r="B6463" t="s">
        <v>39</v>
      </c>
    </row>
    <row r="6464" spans="1:2" x14ac:dyDescent="0.35">
      <c r="A6464">
        <v>69</v>
      </c>
      <c r="B6464">
        <v>-121.6</v>
      </c>
    </row>
    <row r="6465" spans="1:2" x14ac:dyDescent="0.35">
      <c r="A6465">
        <v>69</v>
      </c>
      <c r="B6465" t="s">
        <v>40</v>
      </c>
    </row>
    <row r="6466" spans="1:2" x14ac:dyDescent="0.35">
      <c r="A6466">
        <v>69</v>
      </c>
      <c r="B6466" s="4">
        <v>0</v>
      </c>
    </row>
    <row r="6467" spans="1:2" x14ac:dyDescent="0.35">
      <c r="A6467">
        <v>69</v>
      </c>
      <c r="B6467" t="s">
        <v>41</v>
      </c>
    </row>
    <row r="6468" spans="1:2" x14ac:dyDescent="0.35">
      <c r="A6468">
        <v>69</v>
      </c>
      <c r="B6468" s="4">
        <v>320000000</v>
      </c>
    </row>
    <row r="6469" spans="1:2" x14ac:dyDescent="0.35">
      <c r="A6469">
        <v>69</v>
      </c>
      <c r="B6469" t="s">
        <v>42</v>
      </c>
    </row>
    <row r="6470" spans="1:2" x14ac:dyDescent="0.35">
      <c r="A6470">
        <v>69</v>
      </c>
      <c r="B6470" t="s">
        <v>47</v>
      </c>
    </row>
    <row r="6471" spans="1:2" x14ac:dyDescent="0.35">
      <c r="A6471">
        <v>68</v>
      </c>
      <c r="B6471" t="s">
        <v>27</v>
      </c>
    </row>
    <row r="6472" spans="1:2" x14ac:dyDescent="0.35">
      <c r="A6472">
        <v>68</v>
      </c>
      <c r="B6472" s="2">
        <v>0.29354999999999998</v>
      </c>
    </row>
    <row r="6473" spans="1:2" x14ac:dyDescent="0.35">
      <c r="A6473">
        <v>68</v>
      </c>
      <c r="B6473" t="s">
        <v>1</v>
      </c>
    </row>
    <row r="6474" spans="1:2" x14ac:dyDescent="0.35">
      <c r="A6474">
        <v>68</v>
      </c>
      <c r="B6474">
        <v>0.442</v>
      </c>
    </row>
    <row r="6475" spans="1:2" x14ac:dyDescent="0.35">
      <c r="A6475">
        <v>68</v>
      </c>
      <c r="B6475" t="s">
        <v>28</v>
      </c>
    </row>
    <row r="6476" spans="1:2" x14ac:dyDescent="0.35">
      <c r="A6476">
        <v>68</v>
      </c>
      <c r="B6476">
        <v>393</v>
      </c>
    </row>
    <row r="6477" spans="1:2" x14ac:dyDescent="0.35">
      <c r="A6477">
        <v>68</v>
      </c>
      <c r="B6477" t="s">
        <v>25</v>
      </c>
    </row>
    <row r="6478" spans="1:2" x14ac:dyDescent="0.35">
      <c r="A6478">
        <v>68</v>
      </c>
      <c r="B6478" s="2">
        <v>3.7199999999999997E-2</v>
      </c>
    </row>
    <row r="6479" spans="1:2" x14ac:dyDescent="0.35">
      <c r="A6479">
        <v>68</v>
      </c>
      <c r="B6479" t="s">
        <v>29</v>
      </c>
    </row>
    <row r="6480" spans="1:2" x14ac:dyDescent="0.35">
      <c r="A6480">
        <v>68</v>
      </c>
      <c r="B6480" s="2">
        <v>-3.39E-2</v>
      </c>
    </row>
    <row r="6481" spans="1:2" x14ac:dyDescent="0.35">
      <c r="A6481">
        <v>68</v>
      </c>
      <c r="B6481" t="s">
        <v>30</v>
      </c>
    </row>
    <row r="6482" spans="1:2" x14ac:dyDescent="0.35">
      <c r="A6482">
        <v>68</v>
      </c>
      <c r="B6482" s="2">
        <v>8.3169999999999994E-2</v>
      </c>
    </row>
    <row r="6483" spans="1:2" x14ac:dyDescent="0.35">
      <c r="A6483">
        <v>68</v>
      </c>
      <c r="B6483" t="s">
        <v>8</v>
      </c>
    </row>
    <row r="6484" spans="1:2" x14ac:dyDescent="0.35">
      <c r="A6484">
        <v>68</v>
      </c>
      <c r="B6484" s="2">
        <v>0.191</v>
      </c>
    </row>
    <row r="6485" spans="1:2" x14ac:dyDescent="0.35">
      <c r="A6485">
        <v>68</v>
      </c>
      <c r="B6485" t="s">
        <v>31</v>
      </c>
    </row>
    <row r="6486" spans="1:2" x14ac:dyDescent="0.35">
      <c r="A6486">
        <v>68</v>
      </c>
      <c r="B6486">
        <v>0.128</v>
      </c>
    </row>
    <row r="6487" spans="1:2" x14ac:dyDescent="0.35">
      <c r="A6487">
        <v>68</v>
      </c>
      <c r="B6487" t="s">
        <v>32</v>
      </c>
    </row>
    <row r="6488" spans="1:2" x14ac:dyDescent="0.35">
      <c r="A6488">
        <v>68</v>
      </c>
      <c r="B6488" s="2">
        <v>5.2769999999999997E-2</v>
      </c>
    </row>
    <row r="6489" spans="1:2" x14ac:dyDescent="0.35">
      <c r="A6489">
        <v>68</v>
      </c>
      <c r="B6489" t="s">
        <v>33</v>
      </c>
    </row>
    <row r="6490" spans="1:2" x14ac:dyDescent="0.35">
      <c r="A6490">
        <v>68</v>
      </c>
      <c r="B6490" s="3">
        <v>0.46</v>
      </c>
    </row>
    <row r="6491" spans="1:2" x14ac:dyDescent="0.35">
      <c r="A6491">
        <v>68</v>
      </c>
      <c r="B6491" t="s">
        <v>34</v>
      </c>
    </row>
    <row r="6492" spans="1:2" x14ac:dyDescent="0.35">
      <c r="A6492">
        <v>68</v>
      </c>
      <c r="B6492" s="3">
        <v>0.54</v>
      </c>
    </row>
    <row r="6493" spans="1:2" x14ac:dyDescent="0.35">
      <c r="A6493">
        <v>68</v>
      </c>
      <c r="B6493" t="s">
        <v>26</v>
      </c>
    </row>
    <row r="6494" spans="1:2" x14ac:dyDescent="0.35">
      <c r="A6494">
        <v>68</v>
      </c>
      <c r="B6494">
        <v>1.0900000000000001</v>
      </c>
    </row>
    <row r="6495" spans="1:2" x14ac:dyDescent="0.35">
      <c r="A6495">
        <v>68</v>
      </c>
      <c r="B6495" t="s">
        <v>23</v>
      </c>
    </row>
    <row r="6496" spans="1:2" x14ac:dyDescent="0.35">
      <c r="A6496">
        <v>68</v>
      </c>
      <c r="B6496">
        <v>7.0999999999999994E-2</v>
      </c>
    </row>
    <row r="6497" spans="1:2" x14ac:dyDescent="0.35">
      <c r="A6497">
        <v>68</v>
      </c>
      <c r="B6497" t="s">
        <v>24</v>
      </c>
    </row>
    <row r="6498" spans="1:2" x14ac:dyDescent="0.35">
      <c r="A6498">
        <v>68</v>
      </c>
      <c r="B6498">
        <v>-8.9999999999999993E-3</v>
      </c>
    </row>
    <row r="6499" spans="1:2" x14ac:dyDescent="0.35">
      <c r="A6499">
        <v>68</v>
      </c>
      <c r="B6499" t="s">
        <v>35</v>
      </c>
    </row>
    <row r="6500" spans="1:2" x14ac:dyDescent="0.35">
      <c r="A6500">
        <v>68</v>
      </c>
      <c r="B6500">
        <v>0.159</v>
      </c>
    </row>
    <row r="6501" spans="1:2" x14ac:dyDescent="0.35">
      <c r="A6501">
        <v>68</v>
      </c>
      <c r="B6501" t="s">
        <v>36</v>
      </c>
    </row>
    <row r="6502" spans="1:2" x14ac:dyDescent="0.35">
      <c r="A6502">
        <v>68</v>
      </c>
      <c r="B6502">
        <v>2.5000000000000001E-2</v>
      </c>
    </row>
    <row r="6503" spans="1:2" x14ac:dyDescent="0.35">
      <c r="A6503">
        <v>68</v>
      </c>
      <c r="B6503" t="s">
        <v>37</v>
      </c>
    </row>
    <row r="6504" spans="1:2" x14ac:dyDescent="0.35">
      <c r="A6504">
        <v>68</v>
      </c>
      <c r="B6504">
        <v>3.7999999999999999E-2</v>
      </c>
    </row>
    <row r="6505" spans="1:2" x14ac:dyDescent="0.35">
      <c r="A6505">
        <v>68</v>
      </c>
      <c r="B6505" t="s">
        <v>38</v>
      </c>
    </row>
    <row r="6506" spans="1:2" x14ac:dyDescent="0.35">
      <c r="A6506">
        <v>68</v>
      </c>
      <c r="B6506">
        <v>0.17299999999999999</v>
      </c>
    </row>
    <row r="6507" spans="1:2" x14ac:dyDescent="0.35">
      <c r="A6507">
        <v>68</v>
      </c>
      <c r="B6507" t="s">
        <v>39</v>
      </c>
    </row>
    <row r="6508" spans="1:2" x14ac:dyDescent="0.35">
      <c r="A6508">
        <v>68</v>
      </c>
      <c r="B6508">
        <v>-7.6760000000000002</v>
      </c>
    </row>
    <row r="6509" spans="1:2" x14ac:dyDescent="0.35">
      <c r="A6509">
        <v>68</v>
      </c>
      <c r="B6509" t="s">
        <v>40</v>
      </c>
    </row>
    <row r="6510" spans="1:2" x14ac:dyDescent="0.35">
      <c r="A6510">
        <v>68</v>
      </c>
      <c r="B6510" s="4">
        <v>0</v>
      </c>
    </row>
    <row r="6511" spans="1:2" x14ac:dyDescent="0.35">
      <c r="A6511">
        <v>68</v>
      </c>
      <c r="B6511" t="s">
        <v>41</v>
      </c>
    </row>
    <row r="6512" spans="1:2" x14ac:dyDescent="0.35">
      <c r="A6512">
        <v>68</v>
      </c>
      <c r="B6512" s="4">
        <v>1200000000</v>
      </c>
    </row>
    <row r="6513" spans="1:2" x14ac:dyDescent="0.35">
      <c r="A6513">
        <v>68</v>
      </c>
      <c r="B6513" t="s">
        <v>42</v>
      </c>
    </row>
    <row r="6514" spans="1:2" x14ac:dyDescent="0.35">
      <c r="A6514">
        <v>68</v>
      </c>
      <c r="B6514" t="s">
        <v>47</v>
      </c>
    </row>
    <row r="6515" spans="1:2" x14ac:dyDescent="0.35">
      <c r="A6515">
        <v>67</v>
      </c>
      <c r="B6515" t="s">
        <v>27</v>
      </c>
    </row>
    <row r="6516" spans="1:2" x14ac:dyDescent="0.35">
      <c r="A6516">
        <v>67</v>
      </c>
      <c r="B6516" s="2">
        <v>0.27898000000000001</v>
      </c>
    </row>
    <row r="6517" spans="1:2" x14ac:dyDescent="0.35">
      <c r="A6517">
        <v>67</v>
      </c>
      <c r="B6517" t="s">
        <v>1</v>
      </c>
    </row>
    <row r="6518" spans="1:2" x14ac:dyDescent="0.35">
      <c r="A6518">
        <v>67</v>
      </c>
      <c r="B6518">
        <v>0.38200000000000001</v>
      </c>
    </row>
    <row r="6519" spans="1:2" x14ac:dyDescent="0.35">
      <c r="A6519">
        <v>67</v>
      </c>
      <c r="B6519" t="s">
        <v>28</v>
      </c>
    </row>
    <row r="6520" spans="1:2" x14ac:dyDescent="0.35">
      <c r="A6520">
        <v>67</v>
      </c>
      <c r="B6520">
        <v>393</v>
      </c>
    </row>
    <row r="6521" spans="1:2" x14ac:dyDescent="0.35">
      <c r="A6521">
        <v>67</v>
      </c>
      <c r="B6521" t="s">
        <v>25</v>
      </c>
    </row>
    <row r="6522" spans="1:2" x14ac:dyDescent="0.35">
      <c r="A6522">
        <v>67</v>
      </c>
      <c r="B6522" s="2">
        <v>3.3999999999999998E-3</v>
      </c>
    </row>
    <row r="6523" spans="1:2" x14ac:dyDescent="0.35">
      <c r="A6523">
        <v>67</v>
      </c>
      <c r="B6523" t="s">
        <v>29</v>
      </c>
    </row>
    <row r="6524" spans="1:2" x14ac:dyDescent="0.35">
      <c r="A6524">
        <v>67</v>
      </c>
      <c r="B6524" s="2">
        <v>-3.3E-3</v>
      </c>
    </row>
    <row r="6525" spans="1:2" x14ac:dyDescent="0.35">
      <c r="A6525">
        <v>67</v>
      </c>
      <c r="B6525" t="s">
        <v>30</v>
      </c>
    </row>
    <row r="6526" spans="1:2" x14ac:dyDescent="0.35">
      <c r="A6526">
        <v>67</v>
      </c>
      <c r="B6526" s="2">
        <v>8.2100000000000003E-3</v>
      </c>
    </row>
    <row r="6527" spans="1:2" x14ac:dyDescent="0.35">
      <c r="A6527">
        <v>67</v>
      </c>
      <c r="B6527" t="s">
        <v>8</v>
      </c>
    </row>
    <row r="6528" spans="1:2" x14ac:dyDescent="0.35">
      <c r="A6528">
        <v>67</v>
      </c>
      <c r="B6528" s="2">
        <v>0.02</v>
      </c>
    </row>
    <row r="6529" spans="1:2" x14ac:dyDescent="0.35">
      <c r="A6529">
        <v>67</v>
      </c>
      <c r="B6529" t="s">
        <v>31</v>
      </c>
    </row>
    <row r="6530" spans="1:2" x14ac:dyDescent="0.35">
      <c r="A6530">
        <v>67</v>
      </c>
      <c r="B6530">
        <v>0.108</v>
      </c>
    </row>
    <row r="6531" spans="1:2" x14ac:dyDescent="0.35">
      <c r="A6531">
        <v>67</v>
      </c>
      <c r="B6531" t="s">
        <v>32</v>
      </c>
    </row>
    <row r="6532" spans="1:2" x14ac:dyDescent="0.35">
      <c r="A6532">
        <v>67</v>
      </c>
      <c r="B6532" s="2">
        <v>5.28E-3</v>
      </c>
    </row>
    <row r="6533" spans="1:2" x14ac:dyDescent="0.35">
      <c r="A6533">
        <v>67</v>
      </c>
      <c r="B6533" t="s">
        <v>33</v>
      </c>
    </row>
    <row r="6534" spans="1:2" x14ac:dyDescent="0.35">
      <c r="A6534">
        <v>67</v>
      </c>
      <c r="B6534" s="3">
        <v>0.46</v>
      </c>
    </row>
    <row r="6535" spans="1:2" x14ac:dyDescent="0.35">
      <c r="A6535">
        <v>67</v>
      </c>
      <c r="B6535" t="s">
        <v>34</v>
      </c>
    </row>
    <row r="6536" spans="1:2" x14ac:dyDescent="0.35">
      <c r="A6536">
        <v>67</v>
      </c>
      <c r="B6536" s="3">
        <v>0.54</v>
      </c>
    </row>
    <row r="6537" spans="1:2" x14ac:dyDescent="0.35">
      <c r="A6537">
        <v>67</v>
      </c>
      <c r="B6537" t="s">
        <v>26</v>
      </c>
    </row>
    <row r="6538" spans="1:2" x14ac:dyDescent="0.35">
      <c r="A6538">
        <v>67</v>
      </c>
      <c r="B6538">
        <v>1.06</v>
      </c>
    </row>
    <row r="6539" spans="1:2" x14ac:dyDescent="0.35">
      <c r="A6539">
        <v>67</v>
      </c>
      <c r="B6539" t="s">
        <v>23</v>
      </c>
    </row>
    <row r="6540" spans="1:2" x14ac:dyDescent="0.35">
      <c r="A6540">
        <v>67</v>
      </c>
      <c r="B6540">
        <v>6.0000000000000001E-3</v>
      </c>
    </row>
    <row r="6541" spans="1:2" x14ac:dyDescent="0.35">
      <c r="A6541">
        <v>67</v>
      </c>
      <c r="B6541" t="s">
        <v>24</v>
      </c>
    </row>
    <row r="6542" spans="1:2" x14ac:dyDescent="0.35">
      <c r="A6542">
        <v>67</v>
      </c>
      <c r="B6542">
        <v>-1E-3</v>
      </c>
    </row>
    <row r="6543" spans="1:2" x14ac:dyDescent="0.35">
      <c r="A6543">
        <v>67</v>
      </c>
      <c r="B6543" t="s">
        <v>35</v>
      </c>
    </row>
    <row r="6544" spans="1:2" x14ac:dyDescent="0.35">
      <c r="A6544">
        <v>67</v>
      </c>
      <c r="B6544">
        <v>1.4999999999999999E-2</v>
      </c>
    </row>
    <row r="6545" spans="1:2" x14ac:dyDescent="0.35">
      <c r="A6545">
        <v>67</v>
      </c>
      <c r="B6545" t="s">
        <v>36</v>
      </c>
    </row>
    <row r="6546" spans="1:2" x14ac:dyDescent="0.35">
      <c r="A6546">
        <v>67</v>
      </c>
      <c r="B6546">
        <v>0</v>
      </c>
    </row>
    <row r="6547" spans="1:2" x14ac:dyDescent="0.35">
      <c r="A6547">
        <v>67</v>
      </c>
      <c r="B6547" t="s">
        <v>37</v>
      </c>
    </row>
    <row r="6548" spans="1:2" x14ac:dyDescent="0.35">
      <c r="A6548">
        <v>67</v>
      </c>
      <c r="B6548">
        <v>-0.84699999999999998</v>
      </c>
    </row>
    <row r="6549" spans="1:2" x14ac:dyDescent="0.35">
      <c r="A6549">
        <v>67</v>
      </c>
      <c r="B6549" t="s">
        <v>38</v>
      </c>
    </row>
    <row r="6550" spans="1:2" x14ac:dyDescent="0.35">
      <c r="A6550">
        <v>67</v>
      </c>
      <c r="B6550">
        <v>6.9000000000000006E-2</v>
      </c>
    </row>
    <row r="6551" spans="1:2" x14ac:dyDescent="0.35">
      <c r="A6551">
        <v>67</v>
      </c>
      <c r="B6551" t="s">
        <v>39</v>
      </c>
    </row>
    <row r="6552" spans="1:2" x14ac:dyDescent="0.35">
      <c r="A6552">
        <v>67</v>
      </c>
      <c r="B6552">
        <v>-5.5970000000000004</v>
      </c>
    </row>
    <row r="6553" spans="1:2" x14ac:dyDescent="0.35">
      <c r="A6553">
        <v>67</v>
      </c>
      <c r="B6553" t="s">
        <v>40</v>
      </c>
    </row>
    <row r="6554" spans="1:2" x14ac:dyDescent="0.35">
      <c r="A6554">
        <v>67</v>
      </c>
      <c r="B6554" s="4">
        <v>0</v>
      </c>
    </row>
    <row r="6555" spans="1:2" x14ac:dyDescent="0.35">
      <c r="A6555">
        <v>67</v>
      </c>
      <c r="B6555" t="s">
        <v>41</v>
      </c>
    </row>
    <row r="6556" spans="1:2" x14ac:dyDescent="0.35">
      <c r="A6556">
        <v>67</v>
      </c>
      <c r="B6556" s="4">
        <v>12000000000</v>
      </c>
    </row>
    <row r="6557" spans="1:2" x14ac:dyDescent="0.35">
      <c r="A6557">
        <v>67</v>
      </c>
      <c r="B6557" t="s">
        <v>42</v>
      </c>
    </row>
    <row r="6558" spans="1:2" x14ac:dyDescent="0.35">
      <c r="A6558">
        <v>67</v>
      </c>
      <c r="B6558" t="s">
        <v>47</v>
      </c>
    </row>
    <row r="6559" spans="1:2" x14ac:dyDescent="0.35">
      <c r="A6559">
        <v>66</v>
      </c>
      <c r="B6559" t="s">
        <v>27</v>
      </c>
    </row>
    <row r="6560" spans="1:2" x14ac:dyDescent="0.35">
      <c r="A6560">
        <v>66</v>
      </c>
      <c r="B6560" s="2">
        <v>0.47305000000000003</v>
      </c>
    </row>
    <row r="6561" spans="1:2" x14ac:dyDescent="0.35">
      <c r="A6561">
        <v>66</v>
      </c>
      <c r="B6561" t="s">
        <v>1</v>
      </c>
    </row>
    <row r="6562" spans="1:2" x14ac:dyDescent="0.35">
      <c r="A6562">
        <v>66</v>
      </c>
      <c r="B6562">
        <v>1.341</v>
      </c>
    </row>
    <row r="6563" spans="1:2" x14ac:dyDescent="0.35">
      <c r="A6563">
        <v>66</v>
      </c>
      <c r="B6563" t="s">
        <v>28</v>
      </c>
    </row>
    <row r="6564" spans="1:2" x14ac:dyDescent="0.35">
      <c r="A6564">
        <v>66</v>
      </c>
      <c r="B6564">
        <v>680</v>
      </c>
    </row>
    <row r="6565" spans="1:2" x14ac:dyDescent="0.35">
      <c r="A6565">
        <v>66</v>
      </c>
      <c r="B6565" t="s">
        <v>25</v>
      </c>
    </row>
    <row r="6566" spans="1:2" x14ac:dyDescent="0.35">
      <c r="A6566">
        <v>66</v>
      </c>
      <c r="B6566" s="2">
        <v>0.1079</v>
      </c>
    </row>
    <row r="6567" spans="1:2" x14ac:dyDescent="0.35">
      <c r="A6567">
        <v>66</v>
      </c>
      <c r="B6567" t="s">
        <v>29</v>
      </c>
    </row>
    <row r="6568" spans="1:2" x14ac:dyDescent="0.35">
      <c r="A6568">
        <v>66</v>
      </c>
      <c r="B6568" s="2">
        <v>-5.9400000000000001E-2</v>
      </c>
    </row>
    <row r="6569" spans="1:2" x14ac:dyDescent="0.35">
      <c r="A6569">
        <v>66</v>
      </c>
      <c r="B6569" t="s">
        <v>30</v>
      </c>
    </row>
    <row r="6570" spans="1:2" x14ac:dyDescent="0.35">
      <c r="A6570">
        <v>66</v>
      </c>
      <c r="B6570" s="2">
        <v>0.82528999999999997</v>
      </c>
    </row>
    <row r="6571" spans="1:2" x14ac:dyDescent="0.35">
      <c r="A6571">
        <v>66</v>
      </c>
      <c r="B6571" t="s">
        <v>8</v>
      </c>
    </row>
    <row r="6572" spans="1:2" x14ac:dyDescent="0.35">
      <c r="A6572">
        <v>66</v>
      </c>
      <c r="B6572" s="2">
        <v>0.44</v>
      </c>
    </row>
    <row r="6573" spans="1:2" x14ac:dyDescent="0.35">
      <c r="A6573">
        <v>66</v>
      </c>
      <c r="B6573" t="s">
        <v>31</v>
      </c>
    </row>
    <row r="6574" spans="1:2" x14ac:dyDescent="0.35">
      <c r="A6574">
        <v>66</v>
      </c>
      <c r="B6574">
        <v>0.40799999999999997</v>
      </c>
    </row>
    <row r="6575" spans="1:2" x14ac:dyDescent="0.35">
      <c r="A6575">
        <v>66</v>
      </c>
      <c r="B6575" t="s">
        <v>32</v>
      </c>
    </row>
    <row r="6576" spans="1:2" x14ac:dyDescent="0.35">
      <c r="A6576">
        <v>66</v>
      </c>
      <c r="B6576" s="2">
        <v>0.47308</v>
      </c>
    </row>
    <row r="6577" spans="1:2" x14ac:dyDescent="0.35">
      <c r="A6577">
        <v>66</v>
      </c>
      <c r="B6577" t="s">
        <v>33</v>
      </c>
    </row>
    <row r="6578" spans="1:2" x14ac:dyDescent="0.35">
      <c r="A6578">
        <v>66</v>
      </c>
      <c r="B6578" s="3">
        <v>0.5</v>
      </c>
    </row>
    <row r="6579" spans="1:2" x14ac:dyDescent="0.35">
      <c r="A6579">
        <v>66</v>
      </c>
      <c r="B6579" t="s">
        <v>34</v>
      </c>
    </row>
    <row r="6580" spans="1:2" x14ac:dyDescent="0.35">
      <c r="A6580">
        <v>66</v>
      </c>
      <c r="B6580" s="3">
        <v>0.5</v>
      </c>
    </row>
    <row r="6581" spans="1:2" x14ac:dyDescent="0.35">
      <c r="A6581">
        <v>66</v>
      </c>
      <c r="B6581" t="s">
        <v>26</v>
      </c>
    </row>
    <row r="6582" spans="1:2" x14ac:dyDescent="0.35">
      <c r="A6582">
        <v>66</v>
      </c>
      <c r="B6582">
        <v>1.82</v>
      </c>
    </row>
    <row r="6583" spans="1:2" x14ac:dyDescent="0.35">
      <c r="A6583">
        <v>66</v>
      </c>
      <c r="B6583" t="s">
        <v>23</v>
      </c>
    </row>
    <row r="6584" spans="1:2" x14ac:dyDescent="0.35">
      <c r="A6584">
        <v>66</v>
      </c>
      <c r="B6584">
        <v>0.94699999999999995</v>
      </c>
    </row>
    <row r="6585" spans="1:2" x14ac:dyDescent="0.35">
      <c r="A6585">
        <v>66</v>
      </c>
      <c r="B6585" t="s">
        <v>24</v>
      </c>
    </row>
    <row r="6586" spans="1:2" x14ac:dyDescent="0.35">
      <c r="A6586">
        <v>66</v>
      </c>
      <c r="B6586">
        <v>0.86699999999999999</v>
      </c>
    </row>
    <row r="6587" spans="1:2" x14ac:dyDescent="0.35">
      <c r="A6587">
        <v>66</v>
      </c>
      <c r="B6587" t="s">
        <v>35</v>
      </c>
    </row>
    <row r="6588" spans="1:2" x14ac:dyDescent="0.35">
      <c r="A6588">
        <v>66</v>
      </c>
      <c r="B6588">
        <v>0.747</v>
      </c>
    </row>
    <row r="6589" spans="1:2" x14ac:dyDescent="0.35">
      <c r="A6589">
        <v>66</v>
      </c>
      <c r="B6589" t="s">
        <v>36</v>
      </c>
    </row>
    <row r="6590" spans="1:2" x14ac:dyDescent="0.35">
      <c r="A6590">
        <v>66</v>
      </c>
      <c r="B6590">
        <v>0.55800000000000005</v>
      </c>
    </row>
    <row r="6591" spans="1:2" x14ac:dyDescent="0.35">
      <c r="A6591">
        <v>66</v>
      </c>
      <c r="B6591" t="s">
        <v>37</v>
      </c>
    </row>
    <row r="6592" spans="1:2" x14ac:dyDescent="0.35">
      <c r="A6592">
        <v>66</v>
      </c>
      <c r="B6592">
        <v>1.26</v>
      </c>
    </row>
    <row r="6593" spans="1:2" x14ac:dyDescent="0.35">
      <c r="A6593">
        <v>66</v>
      </c>
      <c r="B6593" t="s">
        <v>38</v>
      </c>
    </row>
    <row r="6594" spans="1:2" x14ac:dyDescent="0.35">
      <c r="A6594">
        <v>66</v>
      </c>
      <c r="B6594">
        <v>0.745</v>
      </c>
    </row>
    <row r="6595" spans="1:2" x14ac:dyDescent="0.35">
      <c r="A6595">
        <v>66</v>
      </c>
      <c r="B6595" t="s">
        <v>39</v>
      </c>
    </row>
    <row r="6596" spans="1:2" x14ac:dyDescent="0.35">
      <c r="A6596">
        <v>66</v>
      </c>
      <c r="B6596">
        <v>1.1559999999999999</v>
      </c>
    </row>
    <row r="6597" spans="1:2" x14ac:dyDescent="0.35">
      <c r="A6597">
        <v>66</v>
      </c>
      <c r="B6597" t="s">
        <v>40</v>
      </c>
    </row>
    <row r="6598" spans="1:2" x14ac:dyDescent="0.35">
      <c r="A6598">
        <v>66</v>
      </c>
      <c r="B6598" s="4">
        <v>0</v>
      </c>
    </row>
    <row r="6599" spans="1:2" x14ac:dyDescent="0.35">
      <c r="A6599">
        <v>66</v>
      </c>
      <c r="B6599" t="s">
        <v>41</v>
      </c>
    </row>
    <row r="6600" spans="1:2" x14ac:dyDescent="0.35">
      <c r="A6600">
        <v>66</v>
      </c>
      <c r="B6600" s="4">
        <v>2900000</v>
      </c>
    </row>
    <row r="6601" spans="1:2" x14ac:dyDescent="0.35">
      <c r="A6601">
        <v>66</v>
      </c>
      <c r="B6601" t="s">
        <v>42</v>
      </c>
    </row>
    <row r="6602" spans="1:2" x14ac:dyDescent="0.35">
      <c r="A6602">
        <v>66</v>
      </c>
      <c r="B6602" t="s">
        <v>47</v>
      </c>
    </row>
    <row r="6603" spans="1:2" x14ac:dyDescent="0.35">
      <c r="A6603">
        <v>65</v>
      </c>
      <c r="B6603" t="s">
        <v>27</v>
      </c>
    </row>
    <row r="6604" spans="1:2" x14ac:dyDescent="0.35">
      <c r="A6604">
        <v>65</v>
      </c>
      <c r="B6604" s="2">
        <v>0.38990999999999998</v>
      </c>
    </row>
    <row r="6605" spans="1:2" x14ac:dyDescent="0.35">
      <c r="A6605">
        <v>65</v>
      </c>
      <c r="B6605" t="s">
        <v>1</v>
      </c>
    </row>
    <row r="6606" spans="1:2" x14ac:dyDescent="0.35">
      <c r="A6606">
        <v>65</v>
      </c>
      <c r="B6606">
        <v>0.747</v>
      </c>
    </row>
    <row r="6607" spans="1:2" x14ac:dyDescent="0.35">
      <c r="A6607">
        <v>65</v>
      </c>
      <c r="B6607" t="s">
        <v>28</v>
      </c>
    </row>
    <row r="6608" spans="1:2" x14ac:dyDescent="0.35">
      <c r="A6608">
        <v>65</v>
      </c>
      <c r="B6608">
        <v>680</v>
      </c>
    </row>
    <row r="6609" spans="1:2" x14ac:dyDescent="0.35">
      <c r="A6609">
        <v>65</v>
      </c>
      <c r="B6609" t="s">
        <v>25</v>
      </c>
    </row>
    <row r="6610" spans="1:2" x14ac:dyDescent="0.35">
      <c r="A6610">
        <v>65</v>
      </c>
      <c r="B6610" s="2">
        <v>2.24E-2</v>
      </c>
    </row>
    <row r="6611" spans="1:2" x14ac:dyDescent="0.35">
      <c r="A6611">
        <v>65</v>
      </c>
      <c r="B6611" t="s">
        <v>29</v>
      </c>
    </row>
    <row r="6612" spans="1:2" x14ac:dyDescent="0.35">
      <c r="A6612">
        <v>65</v>
      </c>
      <c r="B6612" s="2">
        <v>-1.3599999999999999E-2</v>
      </c>
    </row>
    <row r="6613" spans="1:2" x14ac:dyDescent="0.35">
      <c r="A6613">
        <v>65</v>
      </c>
      <c r="B6613" t="s">
        <v>30</v>
      </c>
    </row>
    <row r="6614" spans="1:2" x14ac:dyDescent="0.35">
      <c r="A6614">
        <v>65</v>
      </c>
      <c r="B6614" s="2">
        <v>0.15078</v>
      </c>
    </row>
    <row r="6615" spans="1:2" x14ac:dyDescent="0.35">
      <c r="A6615">
        <v>65</v>
      </c>
      <c r="B6615" t="s">
        <v>8</v>
      </c>
    </row>
    <row r="6616" spans="1:2" x14ac:dyDescent="0.35">
      <c r="A6616">
        <v>65</v>
      </c>
      <c r="B6616" s="2">
        <v>0.11600000000000001</v>
      </c>
    </row>
    <row r="6617" spans="1:2" x14ac:dyDescent="0.35">
      <c r="A6617">
        <v>65</v>
      </c>
      <c r="B6617" t="s">
        <v>31</v>
      </c>
    </row>
    <row r="6618" spans="1:2" x14ac:dyDescent="0.35">
      <c r="A6618">
        <v>65</v>
      </c>
      <c r="B6618">
        <v>0.32200000000000001</v>
      </c>
    </row>
    <row r="6619" spans="1:2" x14ac:dyDescent="0.35">
      <c r="A6619">
        <v>65</v>
      </c>
      <c r="B6619" t="s">
        <v>32</v>
      </c>
    </row>
    <row r="6620" spans="1:2" x14ac:dyDescent="0.35">
      <c r="A6620">
        <v>65</v>
      </c>
      <c r="B6620" s="2">
        <v>9.4619999999999996E-2</v>
      </c>
    </row>
    <row r="6621" spans="1:2" x14ac:dyDescent="0.35">
      <c r="A6621">
        <v>65</v>
      </c>
      <c r="B6621" t="s">
        <v>33</v>
      </c>
    </row>
    <row r="6622" spans="1:2" x14ac:dyDescent="0.35">
      <c r="A6622">
        <v>65</v>
      </c>
      <c r="B6622" s="3">
        <v>0.5</v>
      </c>
    </row>
    <row r="6623" spans="1:2" x14ac:dyDescent="0.35">
      <c r="A6623">
        <v>65</v>
      </c>
      <c r="B6623" t="s">
        <v>34</v>
      </c>
    </row>
    <row r="6624" spans="1:2" x14ac:dyDescent="0.35">
      <c r="A6624">
        <v>65</v>
      </c>
      <c r="B6624" s="3">
        <v>0.5</v>
      </c>
    </row>
    <row r="6625" spans="1:2" x14ac:dyDescent="0.35">
      <c r="A6625">
        <v>65</v>
      </c>
      <c r="B6625" t="s">
        <v>26</v>
      </c>
    </row>
    <row r="6626" spans="1:2" x14ac:dyDescent="0.35">
      <c r="A6626">
        <v>65</v>
      </c>
      <c r="B6626">
        <v>1.64</v>
      </c>
    </row>
    <row r="6627" spans="1:2" x14ac:dyDescent="0.35">
      <c r="A6627">
        <v>65</v>
      </c>
      <c r="B6627" t="s">
        <v>23</v>
      </c>
    </row>
    <row r="6628" spans="1:2" x14ac:dyDescent="0.35">
      <c r="A6628">
        <v>65</v>
      </c>
      <c r="B6628">
        <v>0.1</v>
      </c>
    </row>
    <row r="6629" spans="1:2" x14ac:dyDescent="0.35">
      <c r="A6629">
        <v>65</v>
      </c>
      <c r="B6629" t="s">
        <v>24</v>
      </c>
    </row>
    <row r="6630" spans="1:2" x14ac:dyDescent="0.35">
      <c r="A6630">
        <v>65</v>
      </c>
      <c r="B6630">
        <v>0.23599999999999999</v>
      </c>
    </row>
    <row r="6631" spans="1:2" x14ac:dyDescent="0.35">
      <c r="A6631">
        <v>65</v>
      </c>
      <c r="B6631" t="s">
        <v>35</v>
      </c>
    </row>
    <row r="6632" spans="1:2" x14ac:dyDescent="0.35">
      <c r="A6632">
        <v>65</v>
      </c>
      <c r="B6632">
        <v>0.155</v>
      </c>
    </row>
    <row r="6633" spans="1:2" x14ac:dyDescent="0.35">
      <c r="A6633">
        <v>65</v>
      </c>
      <c r="B6633" t="s">
        <v>36</v>
      </c>
    </row>
    <row r="6634" spans="1:2" x14ac:dyDescent="0.35">
      <c r="A6634">
        <v>65</v>
      </c>
      <c r="B6634">
        <v>2.4E-2</v>
      </c>
    </row>
    <row r="6635" spans="1:2" x14ac:dyDescent="0.35">
      <c r="A6635">
        <v>65</v>
      </c>
      <c r="B6635" t="s">
        <v>37</v>
      </c>
    </row>
    <row r="6636" spans="1:2" x14ac:dyDescent="0.35">
      <c r="A6636">
        <v>65</v>
      </c>
      <c r="B6636">
        <v>0.318</v>
      </c>
    </row>
    <row r="6637" spans="1:2" x14ac:dyDescent="0.35">
      <c r="A6637">
        <v>65</v>
      </c>
      <c r="B6637" t="s">
        <v>38</v>
      </c>
    </row>
    <row r="6638" spans="1:2" x14ac:dyDescent="0.35">
      <c r="A6638">
        <v>65</v>
      </c>
      <c r="B6638">
        <v>0.16200000000000001</v>
      </c>
    </row>
    <row r="6639" spans="1:2" x14ac:dyDescent="0.35">
      <c r="A6639">
        <v>65</v>
      </c>
      <c r="B6639" t="s">
        <v>39</v>
      </c>
    </row>
    <row r="6640" spans="1:2" x14ac:dyDescent="0.35">
      <c r="A6640">
        <v>65</v>
      </c>
      <c r="B6640">
        <v>0.48899999999999999</v>
      </c>
    </row>
    <row r="6641" spans="1:2" x14ac:dyDescent="0.35">
      <c r="A6641">
        <v>65</v>
      </c>
      <c r="B6641" t="s">
        <v>40</v>
      </c>
    </row>
    <row r="6642" spans="1:2" x14ac:dyDescent="0.35">
      <c r="A6642">
        <v>65</v>
      </c>
      <c r="B6642" s="4">
        <v>0</v>
      </c>
    </row>
    <row r="6643" spans="1:2" x14ac:dyDescent="0.35">
      <c r="A6643">
        <v>65</v>
      </c>
      <c r="B6643" t="s">
        <v>41</v>
      </c>
    </row>
    <row r="6644" spans="1:2" x14ac:dyDescent="0.35">
      <c r="A6644">
        <v>65</v>
      </c>
      <c r="B6644" s="4">
        <v>6900000</v>
      </c>
    </row>
    <row r="6645" spans="1:2" x14ac:dyDescent="0.35">
      <c r="A6645">
        <v>65</v>
      </c>
      <c r="B6645" t="s">
        <v>42</v>
      </c>
    </row>
    <row r="6646" spans="1:2" x14ac:dyDescent="0.35">
      <c r="A6646">
        <v>65</v>
      </c>
      <c r="B6646" t="s">
        <v>47</v>
      </c>
    </row>
    <row r="6647" spans="1:2" x14ac:dyDescent="0.35">
      <c r="A6647">
        <v>64</v>
      </c>
      <c r="B6647" t="s">
        <v>27</v>
      </c>
    </row>
    <row r="6648" spans="1:2" x14ac:dyDescent="0.35">
      <c r="A6648">
        <v>64</v>
      </c>
      <c r="B6648" s="2">
        <v>0.37</v>
      </c>
    </row>
    <row r="6649" spans="1:2" x14ac:dyDescent="0.35">
      <c r="A6649">
        <v>64</v>
      </c>
      <c r="B6649" t="s">
        <v>1</v>
      </c>
    </row>
    <row r="6650" spans="1:2" x14ac:dyDescent="0.35">
      <c r="A6650">
        <v>64</v>
      </c>
      <c r="B6650">
        <v>0.65500000000000003</v>
      </c>
    </row>
    <row r="6651" spans="1:2" x14ac:dyDescent="0.35">
      <c r="A6651">
        <v>64</v>
      </c>
      <c r="B6651" t="s">
        <v>28</v>
      </c>
    </row>
    <row r="6652" spans="1:2" x14ac:dyDescent="0.35">
      <c r="A6652">
        <v>64</v>
      </c>
      <c r="B6652">
        <v>680</v>
      </c>
    </row>
    <row r="6653" spans="1:2" x14ac:dyDescent="0.35">
      <c r="A6653">
        <v>64</v>
      </c>
      <c r="B6653" t="s">
        <v>25</v>
      </c>
    </row>
    <row r="6654" spans="1:2" x14ac:dyDescent="0.35">
      <c r="A6654">
        <v>64</v>
      </c>
      <c r="B6654" s="2">
        <v>2.3E-3</v>
      </c>
    </row>
    <row r="6655" spans="1:2" x14ac:dyDescent="0.35">
      <c r="A6655">
        <v>64</v>
      </c>
      <c r="B6655" t="s">
        <v>29</v>
      </c>
    </row>
    <row r="6656" spans="1:2" x14ac:dyDescent="0.35">
      <c r="A6656">
        <v>64</v>
      </c>
      <c r="B6656" s="2">
        <v>-1.4E-3</v>
      </c>
    </row>
    <row r="6657" spans="1:2" x14ac:dyDescent="0.35">
      <c r="A6657">
        <v>64</v>
      </c>
      <c r="B6657" t="s">
        <v>30</v>
      </c>
    </row>
    <row r="6658" spans="1:2" x14ac:dyDescent="0.35">
      <c r="A6658">
        <v>64</v>
      </c>
      <c r="B6658" s="2">
        <v>1.474E-2</v>
      </c>
    </row>
    <row r="6659" spans="1:2" x14ac:dyDescent="0.35">
      <c r="A6659">
        <v>64</v>
      </c>
      <c r="B6659" t="s">
        <v>8</v>
      </c>
    </row>
    <row r="6660" spans="1:2" x14ac:dyDescent="0.35">
      <c r="A6660">
        <v>64</v>
      </c>
      <c r="B6660" s="2">
        <v>1.2999999999999999E-2</v>
      </c>
    </row>
    <row r="6661" spans="1:2" x14ac:dyDescent="0.35">
      <c r="A6661">
        <v>64</v>
      </c>
      <c r="B6661" t="s">
        <v>31</v>
      </c>
    </row>
    <row r="6662" spans="1:2" x14ac:dyDescent="0.35">
      <c r="A6662">
        <v>64</v>
      </c>
      <c r="B6662">
        <v>0.30099999999999999</v>
      </c>
    </row>
    <row r="6663" spans="1:2" x14ac:dyDescent="0.35">
      <c r="A6663">
        <v>64</v>
      </c>
      <c r="B6663" t="s">
        <v>32</v>
      </c>
    </row>
    <row r="6664" spans="1:2" x14ac:dyDescent="0.35">
      <c r="A6664">
        <v>64</v>
      </c>
      <c r="B6664" s="2">
        <v>9.4599999999999997E-3</v>
      </c>
    </row>
    <row r="6665" spans="1:2" x14ac:dyDescent="0.35">
      <c r="A6665">
        <v>64</v>
      </c>
      <c r="B6665" t="s">
        <v>33</v>
      </c>
    </row>
    <row r="6666" spans="1:2" x14ac:dyDescent="0.35">
      <c r="A6666">
        <v>64</v>
      </c>
      <c r="B6666" s="3">
        <v>0.5</v>
      </c>
    </row>
    <row r="6667" spans="1:2" x14ac:dyDescent="0.35">
      <c r="A6667">
        <v>64</v>
      </c>
      <c r="B6667" t="s">
        <v>34</v>
      </c>
    </row>
    <row r="6668" spans="1:2" x14ac:dyDescent="0.35">
      <c r="A6668">
        <v>64</v>
      </c>
      <c r="B6668" s="3">
        <v>0.5</v>
      </c>
    </row>
    <row r="6669" spans="1:2" x14ac:dyDescent="0.35">
      <c r="A6669">
        <v>64</v>
      </c>
      <c r="B6669" t="s">
        <v>26</v>
      </c>
    </row>
    <row r="6670" spans="1:2" x14ac:dyDescent="0.35">
      <c r="A6670">
        <v>64</v>
      </c>
      <c r="B6670">
        <v>1.6</v>
      </c>
    </row>
    <row r="6671" spans="1:2" x14ac:dyDescent="0.35">
      <c r="A6671">
        <v>64</v>
      </c>
      <c r="B6671" t="s">
        <v>23</v>
      </c>
    </row>
    <row r="6672" spans="1:2" x14ac:dyDescent="0.35">
      <c r="A6672">
        <v>64</v>
      </c>
      <c r="B6672">
        <v>8.9999999999999993E-3</v>
      </c>
    </row>
    <row r="6673" spans="1:2" x14ac:dyDescent="0.35">
      <c r="A6673">
        <v>64</v>
      </c>
      <c r="B6673" t="s">
        <v>24</v>
      </c>
    </row>
    <row r="6674" spans="1:2" x14ac:dyDescent="0.35">
      <c r="A6674">
        <v>64</v>
      </c>
      <c r="B6674">
        <v>2.5000000000000001E-2</v>
      </c>
    </row>
    <row r="6675" spans="1:2" x14ac:dyDescent="0.35">
      <c r="A6675">
        <v>64</v>
      </c>
      <c r="B6675" t="s">
        <v>35</v>
      </c>
    </row>
    <row r="6676" spans="1:2" x14ac:dyDescent="0.35">
      <c r="A6676">
        <v>64</v>
      </c>
      <c r="B6676">
        <v>1.6E-2</v>
      </c>
    </row>
    <row r="6677" spans="1:2" x14ac:dyDescent="0.35">
      <c r="A6677">
        <v>64</v>
      </c>
      <c r="B6677" t="s">
        <v>36</v>
      </c>
    </row>
    <row r="6678" spans="1:2" x14ac:dyDescent="0.35">
      <c r="A6678">
        <v>64</v>
      </c>
      <c r="B6678">
        <v>0</v>
      </c>
    </row>
    <row r="6679" spans="1:2" x14ac:dyDescent="0.35">
      <c r="A6679">
        <v>64</v>
      </c>
      <c r="B6679" t="s">
        <v>37</v>
      </c>
    </row>
    <row r="6680" spans="1:2" x14ac:dyDescent="0.35">
      <c r="A6680">
        <v>64</v>
      </c>
      <c r="B6680">
        <v>-0.8</v>
      </c>
    </row>
    <row r="6681" spans="1:2" x14ac:dyDescent="0.35">
      <c r="A6681">
        <v>64</v>
      </c>
      <c r="B6681" t="s">
        <v>38</v>
      </c>
    </row>
    <row r="6682" spans="1:2" x14ac:dyDescent="0.35">
      <c r="A6682">
        <v>64</v>
      </c>
      <c r="B6682">
        <v>6.7000000000000004E-2</v>
      </c>
    </row>
    <row r="6683" spans="1:2" x14ac:dyDescent="0.35">
      <c r="A6683">
        <v>64</v>
      </c>
      <c r="B6683" t="s">
        <v>39</v>
      </c>
    </row>
    <row r="6684" spans="1:2" x14ac:dyDescent="0.35">
      <c r="A6684">
        <v>64</v>
      </c>
      <c r="B6684">
        <v>0.41099999999999998</v>
      </c>
    </row>
    <row r="6685" spans="1:2" x14ac:dyDescent="0.35">
      <c r="A6685">
        <v>64</v>
      </c>
      <c r="B6685" t="s">
        <v>40</v>
      </c>
    </row>
    <row r="6686" spans="1:2" x14ac:dyDescent="0.35">
      <c r="A6686">
        <v>64</v>
      </c>
      <c r="B6686" s="4">
        <v>0</v>
      </c>
    </row>
    <row r="6687" spans="1:2" x14ac:dyDescent="0.35">
      <c r="A6687">
        <v>64</v>
      </c>
      <c r="B6687" t="s">
        <v>41</v>
      </c>
    </row>
    <row r="6688" spans="1:2" x14ac:dyDescent="0.35">
      <c r="A6688">
        <v>64</v>
      </c>
      <c r="B6688" s="4">
        <v>47000000</v>
      </c>
    </row>
    <row r="6689" spans="1:2" x14ac:dyDescent="0.35">
      <c r="A6689">
        <v>64</v>
      </c>
      <c r="B6689" t="s">
        <v>42</v>
      </c>
    </row>
    <row r="6690" spans="1:2" x14ac:dyDescent="0.35">
      <c r="A6690">
        <v>64</v>
      </c>
      <c r="B6690" t="s">
        <v>47</v>
      </c>
    </row>
    <row r="6691" spans="1:2" x14ac:dyDescent="0.35">
      <c r="A6691">
        <v>48</v>
      </c>
      <c r="B6691" t="s">
        <v>27</v>
      </c>
    </row>
    <row r="6692" spans="1:2" x14ac:dyDescent="0.35">
      <c r="A6692">
        <v>48</v>
      </c>
      <c r="B6692" s="2">
        <v>7.4310000000000001E-2</v>
      </c>
    </row>
    <row r="6693" spans="1:2" x14ac:dyDescent="0.35">
      <c r="A6693">
        <v>48</v>
      </c>
      <c r="B6693" t="s">
        <v>1</v>
      </c>
    </row>
    <row r="6694" spans="1:2" x14ac:dyDescent="0.35">
      <c r="A6694">
        <v>48</v>
      </c>
      <c r="B6694">
        <v>-0.45100000000000001</v>
      </c>
    </row>
    <row r="6695" spans="1:2" x14ac:dyDescent="0.35">
      <c r="A6695">
        <v>48</v>
      </c>
      <c r="B6695" t="s">
        <v>28</v>
      </c>
    </row>
    <row r="6696" spans="1:2" x14ac:dyDescent="0.35">
      <c r="A6696">
        <v>48</v>
      </c>
      <c r="B6696">
        <v>603</v>
      </c>
    </row>
    <row r="6697" spans="1:2" x14ac:dyDescent="0.35">
      <c r="A6697">
        <v>48</v>
      </c>
      <c r="B6697" t="s">
        <v>25</v>
      </c>
    </row>
    <row r="6698" spans="1:2" x14ac:dyDescent="0.35">
      <c r="A6698">
        <v>48</v>
      </c>
      <c r="B6698" s="2">
        <v>6.9500000000000006E-2</v>
      </c>
    </row>
    <row r="6699" spans="1:2" x14ac:dyDescent="0.35">
      <c r="A6699">
        <v>48</v>
      </c>
      <c r="B6699" t="s">
        <v>29</v>
      </c>
    </row>
    <row r="6700" spans="1:2" x14ac:dyDescent="0.35">
      <c r="A6700">
        <v>48</v>
      </c>
      <c r="B6700" s="2">
        <v>-9.1600000000000001E-2</v>
      </c>
    </row>
    <row r="6701" spans="1:2" x14ac:dyDescent="0.35">
      <c r="A6701">
        <v>48</v>
      </c>
      <c r="B6701" t="s">
        <v>30</v>
      </c>
    </row>
    <row r="6702" spans="1:2" x14ac:dyDescent="0.35">
      <c r="A6702">
        <v>48</v>
      </c>
      <c r="B6702" s="2">
        <v>-0.38225999999999999</v>
      </c>
    </row>
    <row r="6703" spans="1:2" x14ac:dyDescent="0.35">
      <c r="A6703">
        <v>48</v>
      </c>
      <c r="B6703" t="s">
        <v>8</v>
      </c>
    </row>
    <row r="6704" spans="1:2" x14ac:dyDescent="0.35">
      <c r="A6704">
        <v>48</v>
      </c>
      <c r="B6704" s="2">
        <v>0.498</v>
      </c>
    </row>
    <row r="6705" spans="1:2" x14ac:dyDescent="0.35">
      <c r="A6705">
        <v>48</v>
      </c>
      <c r="B6705" t="s">
        <v>31</v>
      </c>
    </row>
    <row r="6706" spans="1:2" x14ac:dyDescent="0.35">
      <c r="A6706">
        <v>48</v>
      </c>
      <c r="B6706">
        <v>-0.121</v>
      </c>
    </row>
    <row r="6707" spans="1:2" x14ac:dyDescent="0.35">
      <c r="A6707">
        <v>48</v>
      </c>
      <c r="B6707" t="s">
        <v>32</v>
      </c>
    </row>
    <row r="6708" spans="1:2" x14ac:dyDescent="0.35">
      <c r="A6708">
        <v>48</v>
      </c>
      <c r="B6708" s="2">
        <v>-0.26661000000000001</v>
      </c>
    </row>
    <row r="6709" spans="1:2" x14ac:dyDescent="0.35">
      <c r="A6709">
        <v>48</v>
      </c>
      <c r="B6709" t="s">
        <v>33</v>
      </c>
    </row>
    <row r="6710" spans="1:2" x14ac:dyDescent="0.35">
      <c r="A6710">
        <v>48</v>
      </c>
      <c r="B6710" s="3">
        <v>0.5</v>
      </c>
    </row>
    <row r="6711" spans="1:2" x14ac:dyDescent="0.35">
      <c r="A6711">
        <v>48</v>
      </c>
      <c r="B6711" t="s">
        <v>34</v>
      </c>
    </row>
    <row r="6712" spans="1:2" x14ac:dyDescent="0.35">
      <c r="A6712">
        <v>48</v>
      </c>
      <c r="B6712" s="3">
        <v>0.5</v>
      </c>
    </row>
    <row r="6713" spans="1:2" x14ac:dyDescent="0.35">
      <c r="A6713">
        <v>48</v>
      </c>
      <c r="B6713" t="s">
        <v>26</v>
      </c>
    </row>
    <row r="6714" spans="1:2" x14ac:dyDescent="0.35">
      <c r="A6714">
        <v>48</v>
      </c>
      <c r="B6714">
        <v>0.76</v>
      </c>
    </row>
    <row r="6715" spans="1:2" x14ac:dyDescent="0.35">
      <c r="A6715">
        <v>48</v>
      </c>
      <c r="B6715" t="s">
        <v>23</v>
      </c>
    </row>
    <row r="6716" spans="1:2" x14ac:dyDescent="0.35">
      <c r="A6716">
        <v>48</v>
      </c>
      <c r="B6716">
        <v>-0.315</v>
      </c>
    </row>
    <row r="6717" spans="1:2" x14ac:dyDescent="0.35">
      <c r="A6717">
        <v>48</v>
      </c>
      <c r="B6717" t="s">
        <v>24</v>
      </c>
    </row>
    <row r="6718" spans="1:2" x14ac:dyDescent="0.35">
      <c r="A6718">
        <v>48</v>
      </c>
      <c r="B6718">
        <v>1.7090000000000001</v>
      </c>
    </row>
    <row r="6719" spans="1:2" x14ac:dyDescent="0.35">
      <c r="A6719">
        <v>48</v>
      </c>
      <c r="B6719" t="s">
        <v>35</v>
      </c>
    </row>
    <row r="6720" spans="1:2" x14ac:dyDescent="0.35">
      <c r="A6720">
        <v>48</v>
      </c>
      <c r="B6720">
        <v>0.45500000000000002</v>
      </c>
    </row>
    <row r="6721" spans="1:2" x14ac:dyDescent="0.35">
      <c r="A6721">
        <v>48</v>
      </c>
      <c r="B6721" t="s">
        <v>36</v>
      </c>
    </row>
    <row r="6722" spans="1:2" x14ac:dyDescent="0.35">
      <c r="A6722">
        <v>48</v>
      </c>
      <c r="B6722">
        <v>0.20699999999999999</v>
      </c>
    </row>
    <row r="6723" spans="1:2" x14ac:dyDescent="0.35">
      <c r="A6723">
        <v>48</v>
      </c>
      <c r="B6723" t="s">
        <v>37</v>
      </c>
    </row>
    <row r="6724" spans="1:2" x14ac:dyDescent="0.35">
      <c r="A6724">
        <v>48</v>
      </c>
      <c r="B6724">
        <v>-0.60799999999999998</v>
      </c>
    </row>
    <row r="6725" spans="1:2" x14ac:dyDescent="0.35">
      <c r="A6725">
        <v>48</v>
      </c>
      <c r="B6725" t="s">
        <v>38</v>
      </c>
    </row>
    <row r="6726" spans="1:2" x14ac:dyDescent="0.35">
      <c r="A6726">
        <v>48</v>
      </c>
      <c r="B6726">
        <v>0.443</v>
      </c>
    </row>
    <row r="6727" spans="1:2" x14ac:dyDescent="0.35">
      <c r="A6727">
        <v>48</v>
      </c>
      <c r="B6727" t="s">
        <v>39</v>
      </c>
    </row>
    <row r="6728" spans="1:2" x14ac:dyDescent="0.35">
      <c r="A6728">
        <v>48</v>
      </c>
      <c r="B6728">
        <v>-0.12</v>
      </c>
    </row>
    <row r="6729" spans="1:2" x14ac:dyDescent="0.35">
      <c r="A6729">
        <v>48</v>
      </c>
      <c r="B6729" t="s">
        <v>40</v>
      </c>
    </row>
    <row r="6730" spans="1:2" x14ac:dyDescent="0.35">
      <c r="A6730">
        <v>48</v>
      </c>
      <c r="B6730" s="4">
        <v>0</v>
      </c>
    </row>
    <row r="6731" spans="1:2" x14ac:dyDescent="0.35">
      <c r="A6731">
        <v>48</v>
      </c>
      <c r="B6731" t="s">
        <v>41</v>
      </c>
    </row>
    <row r="6732" spans="1:2" x14ac:dyDescent="0.35">
      <c r="A6732">
        <v>48</v>
      </c>
      <c r="B6732" s="4">
        <v>110000000</v>
      </c>
    </row>
    <row r="6733" spans="1:2" x14ac:dyDescent="0.35">
      <c r="A6733">
        <v>48</v>
      </c>
      <c r="B6733" t="s">
        <v>42</v>
      </c>
    </row>
    <row r="6734" spans="1:2" x14ac:dyDescent="0.35">
      <c r="A6734">
        <v>48</v>
      </c>
      <c r="B6734" t="s">
        <v>44</v>
      </c>
    </row>
    <row r="6735" spans="1:2" x14ac:dyDescent="0.35">
      <c r="A6735">
        <v>47</v>
      </c>
      <c r="B6735" t="s">
        <v>27</v>
      </c>
    </row>
    <row r="6736" spans="1:2" x14ac:dyDescent="0.35">
      <c r="A6736">
        <v>47</v>
      </c>
      <c r="B6736" s="2">
        <v>4.675E-2</v>
      </c>
    </row>
    <row r="6737" spans="1:2" x14ac:dyDescent="0.35">
      <c r="A6737">
        <v>47</v>
      </c>
      <c r="B6737" t="s">
        <v>1</v>
      </c>
    </row>
    <row r="6738" spans="1:2" x14ac:dyDescent="0.35">
      <c r="A6738">
        <v>47</v>
      </c>
      <c r="B6738">
        <v>-0.71599999999999997</v>
      </c>
    </row>
    <row r="6739" spans="1:2" x14ac:dyDescent="0.35">
      <c r="A6739">
        <v>47</v>
      </c>
      <c r="B6739" t="s">
        <v>28</v>
      </c>
    </row>
    <row r="6740" spans="1:2" x14ac:dyDescent="0.35">
      <c r="A6740">
        <v>47</v>
      </c>
      <c r="B6740">
        <v>603</v>
      </c>
    </row>
    <row r="6741" spans="1:2" x14ac:dyDescent="0.35">
      <c r="A6741">
        <v>47</v>
      </c>
      <c r="B6741" t="s">
        <v>25</v>
      </c>
    </row>
    <row r="6742" spans="1:2" x14ac:dyDescent="0.35">
      <c r="A6742">
        <v>47</v>
      </c>
      <c r="B6742" s="2">
        <v>1.06E-2</v>
      </c>
    </row>
    <row r="6743" spans="1:2" x14ac:dyDescent="0.35">
      <c r="A6743">
        <v>47</v>
      </c>
      <c r="B6743" t="s">
        <v>29</v>
      </c>
    </row>
    <row r="6744" spans="1:2" x14ac:dyDescent="0.35">
      <c r="A6744">
        <v>47</v>
      </c>
      <c r="B6744" s="2">
        <v>-1.5800000000000002E-2</v>
      </c>
    </row>
    <row r="6745" spans="1:2" x14ac:dyDescent="0.35">
      <c r="A6745">
        <v>47</v>
      </c>
      <c r="B6745" t="s">
        <v>30</v>
      </c>
    </row>
    <row r="6746" spans="1:2" x14ac:dyDescent="0.35">
      <c r="A6746">
        <v>47</v>
      </c>
      <c r="B6746" s="2">
        <v>-8.1600000000000006E-2</v>
      </c>
    </row>
    <row r="6747" spans="1:2" x14ac:dyDescent="0.35">
      <c r="A6747">
        <v>47</v>
      </c>
      <c r="B6747" t="s">
        <v>8</v>
      </c>
    </row>
    <row r="6748" spans="1:2" x14ac:dyDescent="0.35">
      <c r="A6748">
        <v>47</v>
      </c>
      <c r="B6748" s="2">
        <v>0.108</v>
      </c>
    </row>
    <row r="6749" spans="1:2" x14ac:dyDescent="0.35">
      <c r="A6749">
        <v>47</v>
      </c>
      <c r="B6749" t="s">
        <v>31</v>
      </c>
    </row>
    <row r="6750" spans="1:2" x14ac:dyDescent="0.35">
      <c r="A6750">
        <v>47</v>
      </c>
      <c r="B6750">
        <v>-0.16500000000000001</v>
      </c>
    </row>
    <row r="6751" spans="1:2" x14ac:dyDescent="0.35">
      <c r="A6751">
        <v>47</v>
      </c>
      <c r="B6751" t="s">
        <v>32</v>
      </c>
    </row>
    <row r="6752" spans="1:2" x14ac:dyDescent="0.35">
      <c r="A6752">
        <v>47</v>
      </c>
      <c r="B6752" s="2">
        <v>-5.3319999999999999E-2</v>
      </c>
    </row>
    <row r="6753" spans="1:2" x14ac:dyDescent="0.35">
      <c r="A6753">
        <v>47</v>
      </c>
      <c r="B6753" t="s">
        <v>33</v>
      </c>
    </row>
    <row r="6754" spans="1:2" x14ac:dyDescent="0.35">
      <c r="A6754">
        <v>47</v>
      </c>
      <c r="B6754" s="3">
        <v>0.5</v>
      </c>
    </row>
    <row r="6755" spans="1:2" x14ac:dyDescent="0.35">
      <c r="A6755">
        <v>47</v>
      </c>
      <c r="B6755" t="s">
        <v>34</v>
      </c>
    </row>
    <row r="6756" spans="1:2" x14ac:dyDescent="0.35">
      <c r="A6756">
        <v>47</v>
      </c>
      <c r="B6756" s="3">
        <v>0.5</v>
      </c>
    </row>
    <row r="6757" spans="1:2" x14ac:dyDescent="0.35">
      <c r="A6757">
        <v>47</v>
      </c>
      <c r="B6757" t="s">
        <v>26</v>
      </c>
    </row>
    <row r="6758" spans="1:2" x14ac:dyDescent="0.35">
      <c r="A6758">
        <v>47</v>
      </c>
      <c r="B6758">
        <v>0.67</v>
      </c>
    </row>
    <row r="6759" spans="1:2" x14ac:dyDescent="0.35">
      <c r="A6759">
        <v>47</v>
      </c>
      <c r="B6759" t="s">
        <v>23</v>
      </c>
    </row>
    <row r="6760" spans="1:2" x14ac:dyDescent="0.35">
      <c r="A6760">
        <v>47</v>
      </c>
      <c r="B6760">
        <v>-7.1999999999999995E-2</v>
      </c>
    </row>
    <row r="6761" spans="1:2" x14ac:dyDescent="0.35">
      <c r="A6761">
        <v>47</v>
      </c>
      <c r="B6761" t="s">
        <v>24</v>
      </c>
    </row>
    <row r="6762" spans="1:2" x14ac:dyDescent="0.35">
      <c r="A6762">
        <v>47</v>
      </c>
      <c r="B6762">
        <v>0.27900000000000003</v>
      </c>
    </row>
    <row r="6763" spans="1:2" x14ac:dyDescent="0.35">
      <c r="A6763">
        <v>47</v>
      </c>
      <c r="B6763" t="s">
        <v>35</v>
      </c>
    </row>
    <row r="6764" spans="1:2" x14ac:dyDescent="0.35">
      <c r="A6764">
        <v>47</v>
      </c>
      <c r="B6764">
        <v>7.5999999999999998E-2</v>
      </c>
    </row>
    <row r="6765" spans="1:2" x14ac:dyDescent="0.35">
      <c r="A6765">
        <v>47</v>
      </c>
      <c r="B6765" t="s">
        <v>36</v>
      </c>
    </row>
    <row r="6766" spans="1:2" x14ac:dyDescent="0.35">
      <c r="A6766">
        <v>47</v>
      </c>
      <c r="B6766">
        <v>6.0000000000000001E-3</v>
      </c>
    </row>
    <row r="6767" spans="1:2" x14ac:dyDescent="0.35">
      <c r="A6767">
        <v>47</v>
      </c>
      <c r="B6767" t="s">
        <v>37</v>
      </c>
    </row>
    <row r="6768" spans="1:2" x14ac:dyDescent="0.35">
      <c r="A6768">
        <v>47</v>
      </c>
      <c r="B6768">
        <v>-1.343</v>
      </c>
    </row>
    <row r="6769" spans="1:2" x14ac:dyDescent="0.35">
      <c r="A6769">
        <v>47</v>
      </c>
      <c r="B6769" t="s">
        <v>38</v>
      </c>
    </row>
    <row r="6770" spans="1:2" x14ac:dyDescent="0.35">
      <c r="A6770">
        <v>47</v>
      </c>
      <c r="B6770">
        <v>8.7999999999999995E-2</v>
      </c>
    </row>
    <row r="6771" spans="1:2" x14ac:dyDescent="0.35">
      <c r="A6771">
        <v>47</v>
      </c>
      <c r="B6771" t="s">
        <v>39</v>
      </c>
    </row>
    <row r="6772" spans="1:2" x14ac:dyDescent="0.35">
      <c r="A6772">
        <v>47</v>
      </c>
      <c r="B6772">
        <v>-0.19600000000000001</v>
      </c>
    </row>
    <row r="6773" spans="1:2" x14ac:dyDescent="0.35">
      <c r="A6773">
        <v>47</v>
      </c>
      <c r="B6773" t="s">
        <v>40</v>
      </c>
    </row>
    <row r="6774" spans="1:2" x14ac:dyDescent="0.35">
      <c r="A6774">
        <v>47</v>
      </c>
      <c r="B6774" s="4">
        <v>0</v>
      </c>
    </row>
    <row r="6775" spans="1:2" x14ac:dyDescent="0.35">
      <c r="A6775">
        <v>47</v>
      </c>
      <c r="B6775" t="s">
        <v>41</v>
      </c>
    </row>
    <row r="6776" spans="1:2" x14ac:dyDescent="0.35">
      <c r="A6776">
        <v>47</v>
      </c>
      <c r="B6776" s="4">
        <v>730000000</v>
      </c>
    </row>
    <row r="6777" spans="1:2" x14ac:dyDescent="0.35">
      <c r="A6777">
        <v>47</v>
      </c>
      <c r="B6777" t="s">
        <v>42</v>
      </c>
    </row>
    <row r="6778" spans="1:2" x14ac:dyDescent="0.35">
      <c r="A6778">
        <v>47</v>
      </c>
      <c r="B6778" t="s">
        <v>44</v>
      </c>
    </row>
    <row r="6779" spans="1:2" x14ac:dyDescent="0.35">
      <c r="A6779">
        <v>46</v>
      </c>
      <c r="B6779" t="s">
        <v>27</v>
      </c>
    </row>
    <row r="6780" spans="1:2" x14ac:dyDescent="0.35">
      <c r="A6780">
        <v>46</v>
      </c>
      <c r="B6780" s="2">
        <v>4.299E-2</v>
      </c>
    </row>
    <row r="6781" spans="1:2" x14ac:dyDescent="0.35">
      <c r="A6781">
        <v>46</v>
      </c>
      <c r="B6781" t="s">
        <v>1</v>
      </c>
    </row>
    <row r="6782" spans="1:2" x14ac:dyDescent="0.35">
      <c r="A6782">
        <v>46</v>
      </c>
      <c r="B6782">
        <v>-0.77200000000000002</v>
      </c>
    </row>
    <row r="6783" spans="1:2" x14ac:dyDescent="0.35">
      <c r="A6783">
        <v>46</v>
      </c>
      <c r="B6783" t="s">
        <v>28</v>
      </c>
    </row>
    <row r="6784" spans="1:2" x14ac:dyDescent="0.35">
      <c r="A6784">
        <v>46</v>
      </c>
      <c r="B6784">
        <v>603</v>
      </c>
    </row>
    <row r="6785" spans="1:2" x14ac:dyDescent="0.35">
      <c r="A6785">
        <v>46</v>
      </c>
      <c r="B6785" t="s">
        <v>25</v>
      </c>
    </row>
    <row r="6786" spans="1:2" x14ac:dyDescent="0.35">
      <c r="A6786">
        <v>46</v>
      </c>
      <c r="B6786" s="2">
        <v>1E-3</v>
      </c>
    </row>
    <row r="6787" spans="1:2" x14ac:dyDescent="0.35">
      <c r="A6787">
        <v>46</v>
      </c>
      <c r="B6787" t="s">
        <v>29</v>
      </c>
    </row>
    <row r="6788" spans="1:2" x14ac:dyDescent="0.35">
      <c r="A6788">
        <v>46</v>
      </c>
      <c r="B6788" s="2">
        <v>-1.5E-3</v>
      </c>
    </row>
    <row r="6789" spans="1:2" x14ac:dyDescent="0.35">
      <c r="A6789">
        <v>46</v>
      </c>
      <c r="B6789" t="s">
        <v>30</v>
      </c>
    </row>
    <row r="6790" spans="1:2" x14ac:dyDescent="0.35">
      <c r="A6790">
        <v>46</v>
      </c>
      <c r="B6790" s="2">
        <v>-8.2699999999999996E-3</v>
      </c>
    </row>
    <row r="6791" spans="1:2" x14ac:dyDescent="0.35">
      <c r="A6791">
        <v>46</v>
      </c>
      <c r="B6791" t="s">
        <v>8</v>
      </c>
    </row>
    <row r="6792" spans="1:2" x14ac:dyDescent="0.35">
      <c r="A6792">
        <v>46</v>
      </c>
      <c r="B6792" s="2">
        <v>1.0999999999999999E-2</v>
      </c>
    </row>
    <row r="6793" spans="1:2" x14ac:dyDescent="0.35">
      <c r="A6793">
        <v>46</v>
      </c>
      <c r="B6793" t="s">
        <v>31</v>
      </c>
    </row>
    <row r="6794" spans="1:2" x14ac:dyDescent="0.35">
      <c r="A6794">
        <v>46</v>
      </c>
      <c r="B6794">
        <v>-0.17199999999999999</v>
      </c>
    </row>
    <row r="6795" spans="1:2" x14ac:dyDescent="0.35">
      <c r="A6795">
        <v>46</v>
      </c>
      <c r="B6795" t="s">
        <v>32</v>
      </c>
    </row>
    <row r="6796" spans="1:2" x14ac:dyDescent="0.35">
      <c r="A6796">
        <v>46</v>
      </c>
      <c r="B6796" s="2">
        <v>-5.3299999999999997E-3</v>
      </c>
    </row>
    <row r="6797" spans="1:2" x14ac:dyDescent="0.35">
      <c r="A6797">
        <v>46</v>
      </c>
      <c r="B6797" t="s">
        <v>33</v>
      </c>
    </row>
    <row r="6798" spans="1:2" x14ac:dyDescent="0.35">
      <c r="A6798">
        <v>46</v>
      </c>
      <c r="B6798" s="3">
        <v>0.5</v>
      </c>
    </row>
    <row r="6799" spans="1:2" x14ac:dyDescent="0.35">
      <c r="A6799">
        <v>46</v>
      </c>
      <c r="B6799" t="s">
        <v>34</v>
      </c>
    </row>
    <row r="6800" spans="1:2" x14ac:dyDescent="0.35">
      <c r="A6800">
        <v>46</v>
      </c>
      <c r="B6800" s="3">
        <v>0.5</v>
      </c>
    </row>
    <row r="6801" spans="1:2" x14ac:dyDescent="0.35">
      <c r="A6801">
        <v>46</v>
      </c>
      <c r="B6801" t="s">
        <v>26</v>
      </c>
    </row>
    <row r="6802" spans="1:2" x14ac:dyDescent="0.35">
      <c r="A6802">
        <v>46</v>
      </c>
      <c r="B6802">
        <v>0.66</v>
      </c>
    </row>
    <row r="6803" spans="1:2" x14ac:dyDescent="0.35">
      <c r="A6803">
        <v>46</v>
      </c>
      <c r="B6803" t="s">
        <v>23</v>
      </c>
    </row>
    <row r="6804" spans="1:2" x14ac:dyDescent="0.35">
      <c r="A6804">
        <v>46</v>
      </c>
      <c r="B6804">
        <v>-7.0000000000000001E-3</v>
      </c>
    </row>
    <row r="6805" spans="1:2" x14ac:dyDescent="0.35">
      <c r="A6805">
        <v>46</v>
      </c>
      <c r="B6805" t="s">
        <v>24</v>
      </c>
    </row>
    <row r="6806" spans="1:2" x14ac:dyDescent="0.35">
      <c r="A6806">
        <v>46</v>
      </c>
      <c r="B6806">
        <v>2.7E-2</v>
      </c>
    </row>
    <row r="6807" spans="1:2" x14ac:dyDescent="0.35">
      <c r="A6807">
        <v>46</v>
      </c>
      <c r="B6807" t="s">
        <v>35</v>
      </c>
    </row>
    <row r="6808" spans="1:2" x14ac:dyDescent="0.35">
      <c r="A6808">
        <v>46</v>
      </c>
      <c r="B6808">
        <v>7.0000000000000001E-3</v>
      </c>
    </row>
    <row r="6809" spans="1:2" x14ac:dyDescent="0.35">
      <c r="A6809">
        <v>46</v>
      </c>
      <c r="B6809" t="s">
        <v>36</v>
      </c>
    </row>
    <row r="6810" spans="1:2" x14ac:dyDescent="0.35">
      <c r="A6810">
        <v>46</v>
      </c>
      <c r="B6810">
        <v>0</v>
      </c>
    </row>
    <row r="6811" spans="1:2" x14ac:dyDescent="0.35">
      <c r="A6811">
        <v>46</v>
      </c>
      <c r="B6811" t="s">
        <v>37</v>
      </c>
    </row>
    <row r="6812" spans="1:2" x14ac:dyDescent="0.35">
      <c r="A6812">
        <v>46</v>
      </c>
      <c r="B6812">
        <v>-1.0660000000000001</v>
      </c>
    </row>
    <row r="6813" spans="1:2" x14ac:dyDescent="0.35">
      <c r="A6813">
        <v>46</v>
      </c>
      <c r="B6813" t="s">
        <v>38</v>
      </c>
    </row>
    <row r="6814" spans="1:2" x14ac:dyDescent="0.35">
      <c r="A6814">
        <v>46</v>
      </c>
      <c r="B6814">
        <v>6.5000000000000002E-2</v>
      </c>
    </row>
    <row r="6815" spans="1:2" x14ac:dyDescent="0.35">
      <c r="A6815">
        <v>46</v>
      </c>
      <c r="B6815" t="s">
        <v>39</v>
      </c>
    </row>
    <row r="6816" spans="1:2" x14ac:dyDescent="0.35">
      <c r="A6816">
        <v>46</v>
      </c>
      <c r="B6816">
        <v>-0.21299999999999999</v>
      </c>
    </row>
    <row r="6817" spans="1:2" x14ac:dyDescent="0.35">
      <c r="A6817">
        <v>46</v>
      </c>
      <c r="B6817" t="s">
        <v>40</v>
      </c>
    </row>
    <row r="6818" spans="1:2" x14ac:dyDescent="0.35">
      <c r="A6818">
        <v>46</v>
      </c>
      <c r="B6818" s="4">
        <v>0</v>
      </c>
    </row>
    <row r="6819" spans="1:2" x14ac:dyDescent="0.35">
      <c r="A6819">
        <v>46</v>
      </c>
      <c r="B6819" t="s">
        <v>41</v>
      </c>
    </row>
    <row r="6820" spans="1:2" x14ac:dyDescent="0.35">
      <c r="A6820">
        <v>46</v>
      </c>
      <c r="B6820" s="4">
        <v>7700000000</v>
      </c>
    </row>
    <row r="6821" spans="1:2" x14ac:dyDescent="0.35">
      <c r="A6821">
        <v>46</v>
      </c>
      <c r="B6821" t="s">
        <v>42</v>
      </c>
    </row>
    <row r="6822" spans="1:2" x14ac:dyDescent="0.35">
      <c r="A6822">
        <v>46</v>
      </c>
      <c r="B6822" t="s">
        <v>44</v>
      </c>
    </row>
    <row r="6823" spans="1:2" x14ac:dyDescent="0.35">
      <c r="A6823">
        <v>54</v>
      </c>
      <c r="B6823" t="s">
        <v>27</v>
      </c>
    </row>
    <row r="6824" spans="1:2" x14ac:dyDescent="0.35">
      <c r="A6824">
        <v>54</v>
      </c>
      <c r="B6824" s="2">
        <v>6.2670000000000003E-2</v>
      </c>
    </row>
    <row r="6825" spans="1:2" x14ac:dyDescent="0.35">
      <c r="A6825">
        <v>54</v>
      </c>
      <c r="B6825" t="s">
        <v>1</v>
      </c>
    </row>
    <row r="6826" spans="1:2" x14ac:dyDescent="0.35">
      <c r="A6826">
        <v>54</v>
      </c>
      <c r="B6826">
        <v>-0.434</v>
      </c>
    </row>
    <row r="6827" spans="1:2" x14ac:dyDescent="0.35">
      <c r="A6827">
        <v>54</v>
      </c>
      <c r="B6827" t="s">
        <v>28</v>
      </c>
    </row>
    <row r="6828" spans="1:2" x14ac:dyDescent="0.35">
      <c r="A6828">
        <v>54</v>
      </c>
      <c r="B6828">
        <v>238</v>
      </c>
    </row>
    <row r="6829" spans="1:2" x14ac:dyDescent="0.35">
      <c r="A6829">
        <v>54</v>
      </c>
      <c r="B6829" t="s">
        <v>25</v>
      </c>
    </row>
    <row r="6830" spans="1:2" x14ac:dyDescent="0.35">
      <c r="A6830">
        <v>54</v>
      </c>
      <c r="B6830" s="2">
        <v>0.29680000000000001</v>
      </c>
    </row>
    <row r="6831" spans="1:2" x14ac:dyDescent="0.35">
      <c r="A6831">
        <v>54</v>
      </c>
      <c r="B6831" t="s">
        <v>29</v>
      </c>
    </row>
    <row r="6832" spans="1:2" x14ac:dyDescent="0.35">
      <c r="A6832">
        <v>54</v>
      </c>
      <c r="B6832" s="2">
        <v>-0.1416</v>
      </c>
    </row>
    <row r="6833" spans="1:2" x14ac:dyDescent="0.35">
      <c r="A6833">
        <v>54</v>
      </c>
      <c r="B6833" t="s">
        <v>30</v>
      </c>
    </row>
    <row r="6834" spans="1:2" x14ac:dyDescent="0.35">
      <c r="A6834">
        <v>54</v>
      </c>
      <c r="B6834" s="2">
        <v>-0.84989000000000003</v>
      </c>
    </row>
    <row r="6835" spans="1:2" x14ac:dyDescent="0.35">
      <c r="A6835">
        <v>54</v>
      </c>
      <c r="B6835" t="s">
        <v>8</v>
      </c>
    </row>
    <row r="6836" spans="1:2" x14ac:dyDescent="0.35">
      <c r="A6836">
        <v>54</v>
      </c>
      <c r="B6836" s="2">
        <v>0.75</v>
      </c>
    </row>
    <row r="6837" spans="1:2" x14ac:dyDescent="0.35">
      <c r="A6837">
        <v>54</v>
      </c>
      <c r="B6837" t="s">
        <v>31</v>
      </c>
    </row>
    <row r="6838" spans="1:2" x14ac:dyDescent="0.35">
      <c r="A6838">
        <v>54</v>
      </c>
      <c r="B6838">
        <v>-0.69</v>
      </c>
    </row>
    <row r="6839" spans="1:2" x14ac:dyDescent="0.35">
      <c r="A6839">
        <v>54</v>
      </c>
      <c r="B6839" t="s">
        <v>32</v>
      </c>
    </row>
    <row r="6840" spans="1:2" x14ac:dyDescent="0.35">
      <c r="A6840">
        <v>54</v>
      </c>
      <c r="B6840" s="2">
        <v>-0.70499999999999996</v>
      </c>
    </row>
    <row r="6841" spans="1:2" x14ac:dyDescent="0.35">
      <c r="A6841">
        <v>54</v>
      </c>
      <c r="B6841" t="s">
        <v>33</v>
      </c>
    </row>
    <row r="6842" spans="1:2" x14ac:dyDescent="0.35">
      <c r="A6842">
        <v>54</v>
      </c>
      <c r="B6842" s="3">
        <v>0.9</v>
      </c>
    </row>
    <row r="6843" spans="1:2" x14ac:dyDescent="0.35">
      <c r="A6843">
        <v>54</v>
      </c>
      <c r="B6843" t="s">
        <v>34</v>
      </c>
    </row>
    <row r="6844" spans="1:2" x14ac:dyDescent="0.35">
      <c r="A6844">
        <v>54</v>
      </c>
      <c r="B6844" s="3">
        <v>0.1</v>
      </c>
    </row>
    <row r="6845" spans="1:2" x14ac:dyDescent="0.35">
      <c r="A6845">
        <v>54</v>
      </c>
      <c r="B6845" t="s">
        <v>26</v>
      </c>
    </row>
    <row r="6846" spans="1:2" x14ac:dyDescent="0.35">
      <c r="A6846">
        <v>54</v>
      </c>
      <c r="B6846">
        <v>2.1</v>
      </c>
    </row>
    <row r="6847" spans="1:2" x14ac:dyDescent="0.35">
      <c r="A6847">
        <v>54</v>
      </c>
      <c r="B6847" t="s">
        <v>23</v>
      </c>
    </row>
    <row r="6848" spans="1:2" x14ac:dyDescent="0.35">
      <c r="A6848">
        <v>54</v>
      </c>
      <c r="B6848">
        <v>-0.94799999999999995</v>
      </c>
    </row>
    <row r="6849" spans="1:2" x14ac:dyDescent="0.35">
      <c r="A6849">
        <v>54</v>
      </c>
      <c r="B6849" t="s">
        <v>24</v>
      </c>
    </row>
    <row r="6850" spans="1:2" x14ac:dyDescent="0.35">
      <c r="A6850">
        <v>54</v>
      </c>
      <c r="B6850">
        <v>7.2220000000000004</v>
      </c>
    </row>
    <row r="6851" spans="1:2" x14ac:dyDescent="0.35">
      <c r="A6851">
        <v>54</v>
      </c>
      <c r="B6851" t="s">
        <v>35</v>
      </c>
    </row>
    <row r="6852" spans="1:2" x14ac:dyDescent="0.35">
      <c r="A6852">
        <v>54</v>
      </c>
      <c r="B6852">
        <v>1.117</v>
      </c>
    </row>
    <row r="6853" spans="1:2" x14ac:dyDescent="0.35">
      <c r="A6853">
        <v>54</v>
      </c>
      <c r="B6853" t="s">
        <v>36</v>
      </c>
    </row>
    <row r="6854" spans="1:2" x14ac:dyDescent="0.35">
      <c r="A6854">
        <v>54</v>
      </c>
      <c r="B6854">
        <v>1.2490000000000001</v>
      </c>
    </row>
    <row r="6855" spans="1:2" x14ac:dyDescent="0.35">
      <c r="A6855">
        <v>54</v>
      </c>
      <c r="B6855" t="s">
        <v>37</v>
      </c>
    </row>
    <row r="6856" spans="1:2" x14ac:dyDescent="0.35">
      <c r="A6856">
        <v>54</v>
      </c>
      <c r="B6856">
        <v>-0.504</v>
      </c>
    </row>
    <row r="6857" spans="1:2" x14ac:dyDescent="0.35">
      <c r="A6857">
        <v>54</v>
      </c>
      <c r="B6857" t="s">
        <v>38</v>
      </c>
    </row>
    <row r="6858" spans="1:2" x14ac:dyDescent="0.35">
      <c r="A6858">
        <v>54</v>
      </c>
      <c r="B6858">
        <v>1.0900000000000001</v>
      </c>
    </row>
    <row r="6859" spans="1:2" x14ac:dyDescent="0.35">
      <c r="A6859">
        <v>54</v>
      </c>
      <c r="B6859" t="s">
        <v>39</v>
      </c>
    </row>
    <row r="6860" spans="1:2" x14ac:dyDescent="0.35">
      <c r="A6860">
        <v>54</v>
      </c>
      <c r="B6860">
        <v>-6.7000000000000004E-2</v>
      </c>
    </row>
    <row r="6861" spans="1:2" x14ac:dyDescent="0.35">
      <c r="A6861">
        <v>54</v>
      </c>
      <c r="B6861" t="s">
        <v>40</v>
      </c>
    </row>
    <row r="6862" spans="1:2" x14ac:dyDescent="0.35">
      <c r="A6862">
        <v>54</v>
      </c>
      <c r="B6862" s="4">
        <v>0</v>
      </c>
    </row>
    <row r="6863" spans="1:2" x14ac:dyDescent="0.35">
      <c r="A6863">
        <v>54</v>
      </c>
      <c r="B6863" t="s">
        <v>41</v>
      </c>
    </row>
    <row r="6864" spans="1:2" x14ac:dyDescent="0.35">
      <c r="A6864">
        <v>54</v>
      </c>
      <c r="B6864" s="4">
        <v>250000000</v>
      </c>
    </row>
    <row r="6865" spans="1:2" x14ac:dyDescent="0.35">
      <c r="A6865">
        <v>54</v>
      </c>
      <c r="B6865" t="s">
        <v>42</v>
      </c>
    </row>
    <row r="6866" spans="1:2" x14ac:dyDescent="0.35">
      <c r="A6866">
        <v>54</v>
      </c>
      <c r="B6866" t="s">
        <v>44</v>
      </c>
    </row>
    <row r="6867" spans="1:2" x14ac:dyDescent="0.35">
      <c r="A6867">
        <v>53</v>
      </c>
      <c r="B6867" t="s">
        <v>27</v>
      </c>
    </row>
    <row r="6868" spans="1:2" x14ac:dyDescent="0.35">
      <c r="A6868">
        <v>53</v>
      </c>
      <c r="B6868" s="2">
        <v>9.8899999999999995E-3</v>
      </c>
    </row>
    <row r="6869" spans="1:2" x14ac:dyDescent="0.35">
      <c r="A6869">
        <v>53</v>
      </c>
      <c r="B6869" t="s">
        <v>1</v>
      </c>
    </row>
    <row r="6870" spans="1:2" x14ac:dyDescent="0.35">
      <c r="A6870">
        <v>53</v>
      </c>
      <c r="B6870">
        <v>-1.157</v>
      </c>
    </row>
    <row r="6871" spans="1:2" x14ac:dyDescent="0.35">
      <c r="A6871">
        <v>53</v>
      </c>
      <c r="B6871" t="s">
        <v>28</v>
      </c>
    </row>
    <row r="6872" spans="1:2" x14ac:dyDescent="0.35">
      <c r="A6872">
        <v>53</v>
      </c>
      <c r="B6872">
        <v>241</v>
      </c>
    </row>
    <row r="6873" spans="1:2" x14ac:dyDescent="0.35">
      <c r="A6873">
        <v>53</v>
      </c>
      <c r="B6873" t="s">
        <v>25</v>
      </c>
    </row>
    <row r="6874" spans="1:2" x14ac:dyDescent="0.35">
      <c r="A6874">
        <v>53</v>
      </c>
      <c r="B6874" s="2">
        <v>2.5700000000000001E-2</v>
      </c>
    </row>
    <row r="6875" spans="1:2" x14ac:dyDescent="0.35">
      <c r="A6875">
        <v>53</v>
      </c>
      <c r="B6875" t="s">
        <v>29</v>
      </c>
    </row>
    <row r="6876" spans="1:2" x14ac:dyDescent="0.35">
      <c r="A6876">
        <v>53</v>
      </c>
      <c r="B6876" s="2">
        <v>-2.7099999999999999E-2</v>
      </c>
    </row>
    <row r="6877" spans="1:2" x14ac:dyDescent="0.35">
      <c r="A6877">
        <v>53</v>
      </c>
      <c r="B6877" t="s">
        <v>30</v>
      </c>
    </row>
    <row r="6878" spans="1:2" x14ac:dyDescent="0.35">
      <c r="A6878">
        <v>53</v>
      </c>
      <c r="B6878" s="2">
        <v>-0.23042000000000001</v>
      </c>
    </row>
    <row r="6879" spans="1:2" x14ac:dyDescent="0.35">
      <c r="A6879">
        <v>53</v>
      </c>
      <c r="B6879" t="s">
        <v>8</v>
      </c>
    </row>
    <row r="6880" spans="1:2" x14ac:dyDescent="0.35">
      <c r="A6880">
        <v>53</v>
      </c>
      <c r="B6880" s="2">
        <v>0.18099999999999999</v>
      </c>
    </row>
    <row r="6881" spans="1:2" x14ac:dyDescent="0.35">
      <c r="A6881">
        <v>53</v>
      </c>
      <c r="B6881" t="s">
        <v>31</v>
      </c>
    </row>
    <row r="6882" spans="1:2" x14ac:dyDescent="0.35">
      <c r="A6882">
        <v>53</v>
      </c>
      <c r="B6882">
        <v>-0.75700000000000001</v>
      </c>
    </row>
    <row r="6883" spans="1:2" x14ac:dyDescent="0.35">
      <c r="A6883">
        <v>53</v>
      </c>
      <c r="B6883" t="s">
        <v>32</v>
      </c>
    </row>
    <row r="6884" spans="1:2" x14ac:dyDescent="0.35">
      <c r="A6884">
        <v>53</v>
      </c>
      <c r="B6884" s="2">
        <v>-0.15515000000000001</v>
      </c>
    </row>
    <row r="6885" spans="1:2" x14ac:dyDescent="0.35">
      <c r="A6885">
        <v>53</v>
      </c>
      <c r="B6885" t="s">
        <v>33</v>
      </c>
    </row>
    <row r="6886" spans="1:2" x14ac:dyDescent="0.35">
      <c r="A6886">
        <v>53</v>
      </c>
      <c r="B6886" s="3">
        <v>0.88</v>
      </c>
    </row>
    <row r="6887" spans="1:2" x14ac:dyDescent="0.35">
      <c r="A6887">
        <v>53</v>
      </c>
      <c r="B6887" t="s">
        <v>34</v>
      </c>
    </row>
    <row r="6888" spans="1:2" x14ac:dyDescent="0.35">
      <c r="A6888">
        <v>53</v>
      </c>
      <c r="B6888" s="3">
        <v>0.12</v>
      </c>
    </row>
    <row r="6889" spans="1:2" x14ac:dyDescent="0.35">
      <c r="A6889">
        <v>53</v>
      </c>
      <c r="B6889" t="s">
        <v>26</v>
      </c>
    </row>
    <row r="6890" spans="1:2" x14ac:dyDescent="0.35">
      <c r="A6890">
        <v>53</v>
      </c>
      <c r="B6890">
        <v>0.95</v>
      </c>
    </row>
    <row r="6891" spans="1:2" x14ac:dyDescent="0.35">
      <c r="A6891">
        <v>53</v>
      </c>
      <c r="B6891" t="s">
        <v>23</v>
      </c>
    </row>
    <row r="6892" spans="1:2" x14ac:dyDescent="0.35">
      <c r="A6892">
        <v>53</v>
      </c>
      <c r="B6892">
        <v>-0.215</v>
      </c>
    </row>
    <row r="6893" spans="1:2" x14ac:dyDescent="0.35">
      <c r="A6893">
        <v>53</v>
      </c>
      <c r="B6893" t="s">
        <v>24</v>
      </c>
    </row>
    <row r="6894" spans="1:2" x14ac:dyDescent="0.35">
      <c r="A6894">
        <v>53</v>
      </c>
      <c r="B6894">
        <v>0.88500000000000001</v>
      </c>
    </row>
    <row r="6895" spans="1:2" x14ac:dyDescent="0.35">
      <c r="A6895">
        <v>53</v>
      </c>
      <c r="B6895" t="s">
        <v>35</v>
      </c>
    </row>
    <row r="6896" spans="1:2" x14ac:dyDescent="0.35">
      <c r="A6896">
        <v>53</v>
      </c>
      <c r="B6896">
        <v>0.13700000000000001</v>
      </c>
    </row>
    <row r="6897" spans="1:2" x14ac:dyDescent="0.35">
      <c r="A6897">
        <v>53</v>
      </c>
      <c r="B6897" t="s">
        <v>36</v>
      </c>
    </row>
    <row r="6898" spans="1:2" x14ac:dyDescent="0.35">
      <c r="A6898">
        <v>53</v>
      </c>
      <c r="B6898">
        <v>1.9E-2</v>
      </c>
    </row>
    <row r="6899" spans="1:2" x14ac:dyDescent="0.35">
      <c r="A6899">
        <v>53</v>
      </c>
      <c r="B6899" t="s">
        <v>37</v>
      </c>
    </row>
    <row r="6900" spans="1:2" x14ac:dyDescent="0.35">
      <c r="A6900">
        <v>53</v>
      </c>
      <c r="B6900">
        <v>-1.8</v>
      </c>
    </row>
    <row r="6901" spans="1:2" x14ac:dyDescent="0.35">
      <c r="A6901">
        <v>53</v>
      </c>
      <c r="B6901" t="s">
        <v>38</v>
      </c>
    </row>
    <row r="6902" spans="1:2" x14ac:dyDescent="0.35">
      <c r="A6902">
        <v>53</v>
      </c>
      <c r="B6902">
        <v>0.123</v>
      </c>
    </row>
    <row r="6903" spans="1:2" x14ac:dyDescent="0.35">
      <c r="A6903">
        <v>53</v>
      </c>
      <c r="B6903" t="s">
        <v>39</v>
      </c>
    </row>
    <row r="6904" spans="1:2" x14ac:dyDescent="0.35">
      <c r="A6904">
        <v>53</v>
      </c>
      <c r="B6904">
        <v>-0.17899999999999999</v>
      </c>
    </row>
    <row r="6905" spans="1:2" x14ac:dyDescent="0.35">
      <c r="A6905">
        <v>53</v>
      </c>
      <c r="B6905" t="s">
        <v>40</v>
      </c>
    </row>
    <row r="6906" spans="1:2" x14ac:dyDescent="0.35">
      <c r="A6906">
        <v>53</v>
      </c>
      <c r="B6906" s="4">
        <v>0</v>
      </c>
    </row>
    <row r="6907" spans="1:2" x14ac:dyDescent="0.35">
      <c r="A6907">
        <v>53</v>
      </c>
      <c r="B6907" t="s">
        <v>41</v>
      </c>
    </row>
    <row r="6908" spans="1:2" x14ac:dyDescent="0.35">
      <c r="A6908">
        <v>53</v>
      </c>
      <c r="B6908" s="4">
        <v>3800000000</v>
      </c>
    </row>
    <row r="6909" spans="1:2" x14ac:dyDescent="0.35">
      <c r="A6909">
        <v>53</v>
      </c>
      <c r="B6909" t="s">
        <v>42</v>
      </c>
    </row>
    <row r="6910" spans="1:2" x14ac:dyDescent="0.35">
      <c r="A6910">
        <v>53</v>
      </c>
      <c r="B6910" t="s">
        <v>44</v>
      </c>
    </row>
    <row r="6911" spans="1:2" x14ac:dyDescent="0.35">
      <c r="A6911">
        <v>52</v>
      </c>
      <c r="B6911" t="s">
        <v>27</v>
      </c>
    </row>
    <row r="6912" spans="1:2" x14ac:dyDescent="0.35">
      <c r="A6912">
        <v>52</v>
      </c>
      <c r="B6912" s="2">
        <v>7.9399999999999991E-3</v>
      </c>
    </row>
    <row r="6913" spans="1:2" x14ac:dyDescent="0.35">
      <c r="A6913">
        <v>52</v>
      </c>
      <c r="B6913" t="s">
        <v>1</v>
      </c>
    </row>
    <row r="6914" spans="1:2" x14ac:dyDescent="0.35">
      <c r="A6914">
        <v>52</v>
      </c>
      <c r="B6914">
        <v>-1.3</v>
      </c>
    </row>
    <row r="6915" spans="1:2" x14ac:dyDescent="0.35">
      <c r="A6915">
        <v>52</v>
      </c>
      <c r="B6915" t="s">
        <v>28</v>
      </c>
    </row>
    <row r="6916" spans="1:2" x14ac:dyDescent="0.35">
      <c r="A6916">
        <v>52</v>
      </c>
      <c r="B6916">
        <v>241</v>
      </c>
    </row>
    <row r="6917" spans="1:2" x14ac:dyDescent="0.35">
      <c r="A6917">
        <v>52</v>
      </c>
      <c r="B6917" t="s">
        <v>25</v>
      </c>
    </row>
    <row r="6918" spans="1:2" x14ac:dyDescent="0.35">
      <c r="A6918">
        <v>52</v>
      </c>
      <c r="B6918" s="2">
        <v>2.2000000000000001E-3</v>
      </c>
    </row>
    <row r="6919" spans="1:2" x14ac:dyDescent="0.35">
      <c r="A6919">
        <v>52</v>
      </c>
      <c r="B6919" t="s">
        <v>29</v>
      </c>
    </row>
    <row r="6920" spans="1:2" x14ac:dyDescent="0.35">
      <c r="A6920">
        <v>52</v>
      </c>
      <c r="B6920" s="2">
        <v>-2.5000000000000001E-3</v>
      </c>
    </row>
    <row r="6921" spans="1:2" x14ac:dyDescent="0.35">
      <c r="A6921">
        <v>52</v>
      </c>
      <c r="B6921" t="s">
        <v>30</v>
      </c>
    </row>
    <row r="6922" spans="1:2" x14ac:dyDescent="0.35">
      <c r="A6922">
        <v>52</v>
      </c>
      <c r="B6922" s="2">
        <v>-2.4E-2</v>
      </c>
    </row>
    <row r="6923" spans="1:2" x14ac:dyDescent="0.35">
      <c r="A6923">
        <v>52</v>
      </c>
      <c r="B6923" t="s">
        <v>8</v>
      </c>
    </row>
    <row r="6924" spans="1:2" x14ac:dyDescent="0.35">
      <c r="A6924">
        <v>52</v>
      </c>
      <c r="B6924" s="2">
        <v>1.9E-2</v>
      </c>
    </row>
    <row r="6925" spans="1:2" x14ac:dyDescent="0.35">
      <c r="A6925">
        <v>52</v>
      </c>
      <c r="B6925" t="s">
        <v>31</v>
      </c>
    </row>
    <row r="6926" spans="1:2" x14ac:dyDescent="0.35">
      <c r="A6926">
        <v>52</v>
      </c>
      <c r="B6926">
        <v>-0.76500000000000001</v>
      </c>
    </row>
    <row r="6927" spans="1:2" x14ac:dyDescent="0.35">
      <c r="A6927">
        <v>52</v>
      </c>
      <c r="B6927" t="s">
        <v>32</v>
      </c>
    </row>
    <row r="6928" spans="1:2" x14ac:dyDescent="0.35">
      <c r="A6928">
        <v>52</v>
      </c>
      <c r="B6928" s="2">
        <v>-1.5509999999999999E-2</v>
      </c>
    </row>
    <row r="6929" spans="1:2" x14ac:dyDescent="0.35">
      <c r="A6929">
        <v>52</v>
      </c>
      <c r="B6929" t="s">
        <v>33</v>
      </c>
    </row>
    <row r="6930" spans="1:2" x14ac:dyDescent="0.35">
      <c r="A6930">
        <v>52</v>
      </c>
      <c r="B6930" s="3">
        <v>0.88</v>
      </c>
    </row>
    <row r="6931" spans="1:2" x14ac:dyDescent="0.35">
      <c r="A6931">
        <v>52</v>
      </c>
      <c r="B6931" t="s">
        <v>34</v>
      </c>
    </row>
    <row r="6932" spans="1:2" x14ac:dyDescent="0.35">
      <c r="A6932">
        <v>52</v>
      </c>
      <c r="B6932" s="3">
        <v>0.12</v>
      </c>
    </row>
    <row r="6933" spans="1:2" x14ac:dyDescent="0.35">
      <c r="A6933">
        <v>52</v>
      </c>
      <c r="B6933" t="s">
        <v>26</v>
      </c>
    </row>
    <row r="6934" spans="1:2" x14ac:dyDescent="0.35">
      <c r="A6934">
        <v>52</v>
      </c>
      <c r="B6934">
        <v>0.88</v>
      </c>
    </row>
    <row r="6935" spans="1:2" x14ac:dyDescent="0.35">
      <c r="A6935">
        <v>52</v>
      </c>
      <c r="B6935" t="s">
        <v>23</v>
      </c>
    </row>
    <row r="6936" spans="1:2" x14ac:dyDescent="0.35">
      <c r="A6936">
        <v>52</v>
      </c>
      <c r="B6936">
        <v>-2.1999999999999999E-2</v>
      </c>
    </row>
    <row r="6937" spans="1:2" x14ac:dyDescent="0.35">
      <c r="A6937">
        <v>52</v>
      </c>
      <c r="B6937" t="s">
        <v>24</v>
      </c>
    </row>
    <row r="6938" spans="1:2" x14ac:dyDescent="0.35">
      <c r="A6938">
        <v>52</v>
      </c>
      <c r="B6938">
        <v>8.2000000000000003E-2</v>
      </c>
    </row>
    <row r="6939" spans="1:2" x14ac:dyDescent="0.35">
      <c r="A6939">
        <v>52</v>
      </c>
      <c r="B6939" t="s">
        <v>35</v>
      </c>
    </row>
    <row r="6940" spans="1:2" x14ac:dyDescent="0.35">
      <c r="A6940">
        <v>52</v>
      </c>
      <c r="B6940">
        <v>1.2999999999999999E-2</v>
      </c>
    </row>
    <row r="6941" spans="1:2" x14ac:dyDescent="0.35">
      <c r="A6941">
        <v>52</v>
      </c>
      <c r="B6941" t="s">
        <v>36</v>
      </c>
    </row>
    <row r="6942" spans="1:2" x14ac:dyDescent="0.35">
      <c r="A6942">
        <v>52</v>
      </c>
      <c r="B6942">
        <v>0</v>
      </c>
    </row>
    <row r="6943" spans="1:2" x14ac:dyDescent="0.35">
      <c r="A6943">
        <v>52</v>
      </c>
      <c r="B6943" t="s">
        <v>37</v>
      </c>
    </row>
    <row r="6944" spans="1:2" x14ac:dyDescent="0.35">
      <c r="A6944">
        <v>52</v>
      </c>
      <c r="B6944">
        <v>-1.29</v>
      </c>
    </row>
    <row r="6945" spans="1:2" x14ac:dyDescent="0.35">
      <c r="A6945">
        <v>52</v>
      </c>
      <c r="B6945" t="s">
        <v>38</v>
      </c>
    </row>
    <row r="6946" spans="1:2" x14ac:dyDescent="0.35">
      <c r="A6946">
        <v>52</v>
      </c>
      <c r="B6946">
        <v>6.2E-2</v>
      </c>
    </row>
    <row r="6947" spans="1:2" x14ac:dyDescent="0.35">
      <c r="A6947">
        <v>52</v>
      </c>
      <c r="B6947" t="s">
        <v>39</v>
      </c>
    </row>
    <row r="6948" spans="1:2" x14ac:dyDescent="0.35">
      <c r="A6948">
        <v>52</v>
      </c>
      <c r="B6948">
        <v>-0.20300000000000001</v>
      </c>
    </row>
    <row r="6949" spans="1:2" x14ac:dyDescent="0.35">
      <c r="A6949">
        <v>52</v>
      </c>
      <c r="B6949" t="s">
        <v>40</v>
      </c>
    </row>
    <row r="6950" spans="1:2" x14ac:dyDescent="0.35">
      <c r="A6950">
        <v>52</v>
      </c>
      <c r="B6950" s="4">
        <v>0</v>
      </c>
    </row>
    <row r="6951" spans="1:2" x14ac:dyDescent="0.35">
      <c r="A6951">
        <v>52</v>
      </c>
      <c r="B6951" t="s">
        <v>41</v>
      </c>
    </row>
    <row r="6952" spans="1:2" x14ac:dyDescent="0.35">
      <c r="A6952">
        <v>52</v>
      </c>
      <c r="B6952" s="4">
        <v>45000000000</v>
      </c>
    </row>
    <row r="6953" spans="1:2" x14ac:dyDescent="0.35">
      <c r="A6953">
        <v>52</v>
      </c>
      <c r="B6953" t="s">
        <v>42</v>
      </c>
    </row>
    <row r="6954" spans="1:2" x14ac:dyDescent="0.35">
      <c r="A6954">
        <v>52</v>
      </c>
      <c r="B6954" t="s">
        <v>44</v>
      </c>
    </row>
    <row r="6955" spans="1:2" x14ac:dyDescent="0.35">
      <c r="A6955">
        <v>51</v>
      </c>
      <c r="B6955" t="s">
        <v>27</v>
      </c>
    </row>
    <row r="6956" spans="1:2" x14ac:dyDescent="0.35">
      <c r="A6956">
        <v>51</v>
      </c>
      <c r="B6956" s="2">
        <v>0.38490999999999997</v>
      </c>
    </row>
    <row r="6957" spans="1:2" x14ac:dyDescent="0.35">
      <c r="A6957">
        <v>51</v>
      </c>
      <c r="B6957" t="s">
        <v>1</v>
      </c>
    </row>
    <row r="6958" spans="1:2" x14ac:dyDescent="0.35">
      <c r="A6958">
        <v>51</v>
      </c>
      <c r="B6958">
        <v>0.8</v>
      </c>
    </row>
    <row r="6959" spans="1:2" x14ac:dyDescent="0.35">
      <c r="A6959">
        <v>51</v>
      </c>
      <c r="B6959" t="s">
        <v>28</v>
      </c>
    </row>
    <row r="6960" spans="1:2" x14ac:dyDescent="0.35">
      <c r="A6960">
        <v>51</v>
      </c>
      <c r="B6960">
        <v>354</v>
      </c>
    </row>
    <row r="6961" spans="1:2" x14ac:dyDescent="0.35">
      <c r="A6961">
        <v>51</v>
      </c>
      <c r="B6961" t="s">
        <v>25</v>
      </c>
    </row>
    <row r="6962" spans="1:2" x14ac:dyDescent="0.35">
      <c r="A6962">
        <v>51</v>
      </c>
      <c r="B6962" s="2">
        <v>0.16220000000000001</v>
      </c>
    </row>
    <row r="6963" spans="1:2" x14ac:dyDescent="0.35">
      <c r="A6963">
        <v>51</v>
      </c>
      <c r="B6963" t="s">
        <v>29</v>
      </c>
    </row>
    <row r="6964" spans="1:2" x14ac:dyDescent="0.35">
      <c r="A6964">
        <v>51</v>
      </c>
      <c r="B6964" s="2">
        <v>-5.1900000000000002E-2</v>
      </c>
    </row>
    <row r="6965" spans="1:2" x14ac:dyDescent="0.35">
      <c r="A6965">
        <v>51</v>
      </c>
      <c r="B6965" t="s">
        <v>30</v>
      </c>
    </row>
    <row r="6966" spans="1:2" x14ac:dyDescent="0.35">
      <c r="A6966">
        <v>51</v>
      </c>
      <c r="B6966" s="2">
        <v>0.32729999999999998</v>
      </c>
    </row>
    <row r="6967" spans="1:2" x14ac:dyDescent="0.35">
      <c r="A6967">
        <v>51</v>
      </c>
      <c r="B6967" t="s">
        <v>8</v>
      </c>
    </row>
    <row r="6968" spans="1:2" x14ac:dyDescent="0.35">
      <c r="A6968">
        <v>51</v>
      </c>
      <c r="B6968" s="2">
        <v>0.33200000000000002</v>
      </c>
    </row>
    <row r="6969" spans="1:2" x14ac:dyDescent="0.35">
      <c r="A6969">
        <v>51</v>
      </c>
      <c r="B6969" t="s">
        <v>31</v>
      </c>
    </row>
    <row r="6970" spans="1:2" x14ac:dyDescent="0.35">
      <c r="A6970">
        <v>51</v>
      </c>
      <c r="B6970">
        <v>0.5</v>
      </c>
    </row>
    <row r="6971" spans="1:2" x14ac:dyDescent="0.35">
      <c r="A6971">
        <v>51</v>
      </c>
      <c r="B6971" t="s">
        <v>32</v>
      </c>
    </row>
    <row r="6972" spans="1:2" x14ac:dyDescent="0.35">
      <c r="A6972">
        <v>51</v>
      </c>
      <c r="B6972" s="2">
        <v>0.19993</v>
      </c>
    </row>
    <row r="6973" spans="1:2" x14ac:dyDescent="0.35">
      <c r="A6973">
        <v>51</v>
      </c>
      <c r="B6973" t="s">
        <v>33</v>
      </c>
    </row>
    <row r="6974" spans="1:2" x14ac:dyDescent="0.35">
      <c r="A6974">
        <v>51</v>
      </c>
      <c r="B6974" s="3">
        <v>0.64</v>
      </c>
    </row>
    <row r="6975" spans="1:2" x14ac:dyDescent="0.35">
      <c r="A6975">
        <v>51</v>
      </c>
      <c r="B6975" t="s">
        <v>34</v>
      </c>
    </row>
    <row r="6976" spans="1:2" x14ac:dyDescent="0.35">
      <c r="A6976">
        <v>51</v>
      </c>
      <c r="B6976" s="3">
        <v>0.36</v>
      </c>
    </row>
    <row r="6977" spans="1:2" x14ac:dyDescent="0.35">
      <c r="A6977">
        <v>51</v>
      </c>
      <c r="B6977" t="s">
        <v>26</v>
      </c>
    </row>
    <row r="6978" spans="1:2" x14ac:dyDescent="0.35">
      <c r="A6978">
        <v>51</v>
      </c>
      <c r="B6978">
        <v>3.12</v>
      </c>
    </row>
    <row r="6979" spans="1:2" x14ac:dyDescent="0.35">
      <c r="A6979">
        <v>51</v>
      </c>
      <c r="B6979" t="s">
        <v>23</v>
      </c>
    </row>
    <row r="6980" spans="1:2" x14ac:dyDescent="0.35">
      <c r="A6980">
        <v>51</v>
      </c>
      <c r="B6980">
        <v>0.22500000000000001</v>
      </c>
    </row>
    <row r="6981" spans="1:2" x14ac:dyDescent="0.35">
      <c r="A6981">
        <v>51</v>
      </c>
      <c r="B6981" t="s">
        <v>24</v>
      </c>
    </row>
    <row r="6982" spans="1:2" x14ac:dyDescent="0.35">
      <c r="A6982">
        <v>51</v>
      </c>
      <c r="B6982">
        <v>1.387</v>
      </c>
    </row>
    <row r="6983" spans="1:2" x14ac:dyDescent="0.35">
      <c r="A6983">
        <v>51</v>
      </c>
      <c r="B6983" t="s">
        <v>35</v>
      </c>
    </row>
    <row r="6984" spans="1:2" x14ac:dyDescent="0.35">
      <c r="A6984">
        <v>51</v>
      </c>
      <c r="B6984">
        <v>0.39200000000000002</v>
      </c>
    </row>
    <row r="6985" spans="1:2" x14ac:dyDescent="0.35">
      <c r="A6985">
        <v>51</v>
      </c>
      <c r="B6985" t="s">
        <v>36</v>
      </c>
    </row>
    <row r="6986" spans="1:2" x14ac:dyDescent="0.35">
      <c r="A6986">
        <v>51</v>
      </c>
      <c r="B6986">
        <v>0.153</v>
      </c>
    </row>
    <row r="6987" spans="1:2" x14ac:dyDescent="0.35">
      <c r="A6987">
        <v>51</v>
      </c>
      <c r="B6987" t="s">
        <v>37</v>
      </c>
    </row>
    <row r="6988" spans="1:2" x14ac:dyDescent="0.35">
      <c r="A6988">
        <v>51</v>
      </c>
      <c r="B6988">
        <v>0.65400000000000003</v>
      </c>
    </row>
    <row r="6989" spans="1:2" x14ac:dyDescent="0.35">
      <c r="A6989">
        <v>51</v>
      </c>
      <c r="B6989" t="s">
        <v>38</v>
      </c>
    </row>
    <row r="6990" spans="1:2" x14ac:dyDescent="0.35">
      <c r="A6990">
        <v>51</v>
      </c>
      <c r="B6990">
        <v>0.38100000000000001</v>
      </c>
    </row>
    <row r="6991" spans="1:2" x14ac:dyDescent="0.35">
      <c r="A6991">
        <v>51</v>
      </c>
      <c r="B6991" t="s">
        <v>39</v>
      </c>
    </row>
    <row r="6992" spans="1:2" x14ac:dyDescent="0.35">
      <c r="A6992">
        <v>51</v>
      </c>
      <c r="B6992">
        <v>0.22600000000000001</v>
      </c>
    </row>
    <row r="6993" spans="1:2" x14ac:dyDescent="0.35">
      <c r="A6993">
        <v>51</v>
      </c>
      <c r="B6993" t="s">
        <v>40</v>
      </c>
    </row>
    <row r="6994" spans="1:2" x14ac:dyDescent="0.35">
      <c r="A6994">
        <v>51</v>
      </c>
      <c r="B6994" s="4">
        <v>0</v>
      </c>
    </row>
    <row r="6995" spans="1:2" x14ac:dyDescent="0.35">
      <c r="A6995">
        <v>51</v>
      </c>
      <c r="B6995" t="s">
        <v>41</v>
      </c>
    </row>
    <row r="6996" spans="1:2" x14ac:dyDescent="0.35">
      <c r="A6996">
        <v>51</v>
      </c>
      <c r="B6996" s="4">
        <v>5100000</v>
      </c>
    </row>
    <row r="6997" spans="1:2" x14ac:dyDescent="0.35">
      <c r="A6997">
        <v>51</v>
      </c>
      <c r="B6997" t="s">
        <v>42</v>
      </c>
    </row>
    <row r="6998" spans="1:2" x14ac:dyDescent="0.35">
      <c r="A6998">
        <v>51</v>
      </c>
      <c r="B6998" t="s">
        <v>44</v>
      </c>
    </row>
    <row r="6999" spans="1:2" x14ac:dyDescent="0.35">
      <c r="A6999">
        <v>50</v>
      </c>
      <c r="B6999" t="s">
        <v>27</v>
      </c>
    </row>
    <row r="7000" spans="1:2" x14ac:dyDescent="0.35">
      <c r="A7000">
        <v>50</v>
      </c>
      <c r="B7000" s="2">
        <v>0.33534000000000003</v>
      </c>
    </row>
    <row r="7001" spans="1:2" x14ac:dyDescent="0.35">
      <c r="A7001">
        <v>50</v>
      </c>
      <c r="B7001" t="s">
        <v>1</v>
      </c>
    </row>
    <row r="7002" spans="1:2" x14ac:dyDescent="0.35">
      <c r="A7002">
        <v>50</v>
      </c>
      <c r="B7002">
        <v>0.56699999999999995</v>
      </c>
    </row>
    <row r="7003" spans="1:2" x14ac:dyDescent="0.35">
      <c r="A7003">
        <v>50</v>
      </c>
      <c r="B7003" t="s">
        <v>28</v>
      </c>
    </row>
    <row r="7004" spans="1:2" x14ac:dyDescent="0.35">
      <c r="A7004">
        <v>50</v>
      </c>
      <c r="B7004">
        <v>354</v>
      </c>
    </row>
    <row r="7005" spans="1:2" x14ac:dyDescent="0.35">
      <c r="A7005">
        <v>50</v>
      </c>
      <c r="B7005" t="s">
        <v>25</v>
      </c>
    </row>
    <row r="7006" spans="1:2" x14ac:dyDescent="0.35">
      <c r="A7006">
        <v>50</v>
      </c>
      <c r="B7006" s="2">
        <v>0.03</v>
      </c>
    </row>
    <row r="7007" spans="1:2" x14ac:dyDescent="0.35">
      <c r="A7007">
        <v>50</v>
      </c>
      <c r="B7007" t="s">
        <v>29</v>
      </c>
    </row>
    <row r="7008" spans="1:2" x14ac:dyDescent="0.35">
      <c r="A7008">
        <v>50</v>
      </c>
      <c r="B7008" s="2">
        <v>-1.0500000000000001E-2</v>
      </c>
    </row>
    <row r="7009" spans="1:2" x14ac:dyDescent="0.35">
      <c r="A7009">
        <v>50</v>
      </c>
      <c r="B7009" t="s">
        <v>30</v>
      </c>
    </row>
    <row r="7010" spans="1:2" x14ac:dyDescent="0.35">
      <c r="A7010">
        <v>50</v>
      </c>
      <c r="B7010" s="2">
        <v>6.2799999999999995E-2</v>
      </c>
    </row>
    <row r="7011" spans="1:2" x14ac:dyDescent="0.35">
      <c r="A7011">
        <v>50</v>
      </c>
      <c r="B7011" t="s">
        <v>8</v>
      </c>
    </row>
    <row r="7012" spans="1:2" x14ac:dyDescent="0.35">
      <c r="A7012">
        <v>50</v>
      </c>
      <c r="B7012" s="2">
        <v>7.5999999999999998E-2</v>
      </c>
    </row>
    <row r="7013" spans="1:2" x14ac:dyDescent="0.35">
      <c r="A7013">
        <v>50</v>
      </c>
      <c r="B7013" t="s">
        <v>31</v>
      </c>
    </row>
    <row r="7014" spans="1:2" x14ac:dyDescent="0.35">
      <c r="A7014">
        <v>50</v>
      </c>
      <c r="B7014">
        <v>0.40400000000000003</v>
      </c>
    </row>
    <row r="7015" spans="1:2" x14ac:dyDescent="0.35">
      <c r="A7015">
        <v>50</v>
      </c>
      <c r="B7015" t="s">
        <v>32</v>
      </c>
    </row>
    <row r="7016" spans="1:2" x14ac:dyDescent="0.35">
      <c r="A7016">
        <v>50</v>
      </c>
      <c r="B7016" s="2">
        <v>3.9989999999999998E-2</v>
      </c>
    </row>
    <row r="7017" spans="1:2" x14ac:dyDescent="0.35">
      <c r="A7017">
        <v>50</v>
      </c>
      <c r="B7017" t="s">
        <v>33</v>
      </c>
    </row>
    <row r="7018" spans="1:2" x14ac:dyDescent="0.35">
      <c r="A7018">
        <v>50</v>
      </c>
      <c r="B7018" s="3">
        <v>0.64</v>
      </c>
    </row>
    <row r="7019" spans="1:2" x14ac:dyDescent="0.35">
      <c r="A7019">
        <v>50</v>
      </c>
      <c r="B7019" t="s">
        <v>34</v>
      </c>
    </row>
    <row r="7020" spans="1:2" x14ac:dyDescent="0.35">
      <c r="A7020">
        <v>50</v>
      </c>
      <c r="B7020" s="3">
        <v>0.36</v>
      </c>
    </row>
    <row r="7021" spans="1:2" x14ac:dyDescent="0.35">
      <c r="A7021">
        <v>50</v>
      </c>
      <c r="B7021" t="s">
        <v>26</v>
      </c>
    </row>
    <row r="7022" spans="1:2" x14ac:dyDescent="0.35">
      <c r="A7022">
        <v>50</v>
      </c>
      <c r="B7022">
        <v>2.86</v>
      </c>
    </row>
    <row r="7023" spans="1:2" x14ac:dyDescent="0.35">
      <c r="A7023">
        <v>50</v>
      </c>
      <c r="B7023" t="s">
        <v>23</v>
      </c>
    </row>
    <row r="7024" spans="1:2" x14ac:dyDescent="0.35">
      <c r="A7024">
        <v>50</v>
      </c>
      <c r="B7024">
        <v>2.7E-2</v>
      </c>
    </row>
    <row r="7025" spans="1:2" x14ac:dyDescent="0.35">
      <c r="A7025">
        <v>50</v>
      </c>
      <c r="B7025" t="s">
        <v>24</v>
      </c>
    </row>
    <row r="7026" spans="1:2" x14ac:dyDescent="0.35">
      <c r="A7026">
        <v>50</v>
      </c>
      <c r="B7026">
        <v>0.312</v>
      </c>
    </row>
    <row r="7027" spans="1:2" x14ac:dyDescent="0.35">
      <c r="A7027">
        <v>50</v>
      </c>
      <c r="B7027" t="s">
        <v>35</v>
      </c>
    </row>
    <row r="7028" spans="1:2" x14ac:dyDescent="0.35">
      <c r="A7028">
        <v>50</v>
      </c>
      <c r="B7028">
        <v>8.2000000000000003E-2</v>
      </c>
    </row>
    <row r="7029" spans="1:2" x14ac:dyDescent="0.35">
      <c r="A7029">
        <v>50</v>
      </c>
      <c r="B7029" t="s">
        <v>36</v>
      </c>
    </row>
    <row r="7030" spans="1:2" x14ac:dyDescent="0.35">
      <c r="A7030">
        <v>50</v>
      </c>
      <c r="B7030">
        <v>7.0000000000000001E-3</v>
      </c>
    </row>
    <row r="7031" spans="1:2" x14ac:dyDescent="0.35">
      <c r="A7031">
        <v>50</v>
      </c>
      <c r="B7031" t="s">
        <v>37</v>
      </c>
    </row>
    <row r="7032" spans="1:2" x14ac:dyDescent="0.35">
      <c r="A7032">
        <v>50</v>
      </c>
      <c r="B7032">
        <v>-0.189</v>
      </c>
    </row>
    <row r="7033" spans="1:2" x14ac:dyDescent="0.35">
      <c r="A7033">
        <v>50</v>
      </c>
      <c r="B7033" t="s">
        <v>38</v>
      </c>
    </row>
    <row r="7034" spans="1:2" x14ac:dyDescent="0.35">
      <c r="A7034">
        <v>50</v>
      </c>
      <c r="B7034">
        <v>9.1999999999999998E-2</v>
      </c>
    </row>
    <row r="7035" spans="1:2" x14ac:dyDescent="0.35">
      <c r="A7035">
        <v>50</v>
      </c>
      <c r="B7035" t="s">
        <v>39</v>
      </c>
    </row>
    <row r="7036" spans="1:2" x14ac:dyDescent="0.35">
      <c r="A7036">
        <v>50</v>
      </c>
      <c r="B7036">
        <v>0.14899999999999999</v>
      </c>
    </row>
    <row r="7037" spans="1:2" x14ac:dyDescent="0.35">
      <c r="A7037">
        <v>50</v>
      </c>
      <c r="B7037" t="s">
        <v>40</v>
      </c>
    </row>
    <row r="7038" spans="1:2" x14ac:dyDescent="0.35">
      <c r="A7038">
        <v>50</v>
      </c>
      <c r="B7038" s="4">
        <v>0</v>
      </c>
    </row>
    <row r="7039" spans="1:2" x14ac:dyDescent="0.35">
      <c r="A7039">
        <v>50</v>
      </c>
      <c r="B7039" t="s">
        <v>41</v>
      </c>
    </row>
    <row r="7040" spans="1:2" x14ac:dyDescent="0.35">
      <c r="A7040">
        <v>50</v>
      </c>
      <c r="B7040" s="4">
        <v>20000000</v>
      </c>
    </row>
    <row r="7041" spans="1:2" x14ac:dyDescent="0.35">
      <c r="A7041">
        <v>50</v>
      </c>
      <c r="B7041" t="s">
        <v>42</v>
      </c>
    </row>
    <row r="7042" spans="1:2" x14ac:dyDescent="0.35">
      <c r="A7042">
        <v>50</v>
      </c>
      <c r="B7042" t="s">
        <v>44</v>
      </c>
    </row>
    <row r="7043" spans="1:2" x14ac:dyDescent="0.35">
      <c r="A7043">
        <v>49</v>
      </c>
      <c r="B7043" t="s">
        <v>27</v>
      </c>
    </row>
    <row r="7044" spans="1:2" x14ac:dyDescent="0.35">
      <c r="A7044">
        <v>49</v>
      </c>
      <c r="B7044" s="2">
        <v>0.32308999999999999</v>
      </c>
    </row>
    <row r="7045" spans="1:2" x14ac:dyDescent="0.35">
      <c r="A7045">
        <v>49</v>
      </c>
      <c r="B7045" t="s">
        <v>1</v>
      </c>
    </row>
    <row r="7046" spans="1:2" x14ac:dyDescent="0.35">
      <c r="A7046">
        <v>49</v>
      </c>
      <c r="B7046">
        <v>0.52</v>
      </c>
    </row>
    <row r="7047" spans="1:2" x14ac:dyDescent="0.35">
      <c r="A7047">
        <v>49</v>
      </c>
      <c r="B7047" t="s">
        <v>28</v>
      </c>
    </row>
    <row r="7048" spans="1:2" x14ac:dyDescent="0.35">
      <c r="A7048">
        <v>49</v>
      </c>
      <c r="B7048">
        <v>354</v>
      </c>
    </row>
    <row r="7049" spans="1:2" x14ac:dyDescent="0.35">
      <c r="A7049">
        <v>49</v>
      </c>
      <c r="B7049" t="s">
        <v>25</v>
      </c>
    </row>
    <row r="7050" spans="1:2" x14ac:dyDescent="0.35">
      <c r="A7050">
        <v>49</v>
      </c>
      <c r="B7050" s="2">
        <v>3.0000000000000001E-3</v>
      </c>
    </row>
    <row r="7051" spans="1:2" x14ac:dyDescent="0.35">
      <c r="A7051">
        <v>49</v>
      </c>
      <c r="B7051" t="s">
        <v>29</v>
      </c>
    </row>
    <row r="7052" spans="1:2" x14ac:dyDescent="0.35">
      <c r="A7052">
        <v>49</v>
      </c>
      <c r="B7052" s="2">
        <v>-1.1000000000000001E-3</v>
      </c>
    </row>
    <row r="7053" spans="1:2" x14ac:dyDescent="0.35">
      <c r="A7053">
        <v>49</v>
      </c>
      <c r="B7053" t="s">
        <v>30</v>
      </c>
    </row>
    <row r="7054" spans="1:2" x14ac:dyDescent="0.35">
      <c r="A7054">
        <v>49</v>
      </c>
      <c r="B7054" s="2">
        <v>6.2199999999999998E-3</v>
      </c>
    </row>
    <row r="7055" spans="1:2" x14ac:dyDescent="0.35">
      <c r="A7055">
        <v>49</v>
      </c>
      <c r="B7055" t="s">
        <v>8</v>
      </c>
    </row>
    <row r="7056" spans="1:2" x14ac:dyDescent="0.35">
      <c r="A7056">
        <v>49</v>
      </c>
      <c r="B7056" s="2">
        <v>8.0000000000000002E-3</v>
      </c>
    </row>
    <row r="7057" spans="1:2" x14ac:dyDescent="0.35">
      <c r="A7057">
        <v>49</v>
      </c>
      <c r="B7057" t="s">
        <v>31</v>
      </c>
    </row>
    <row r="7058" spans="1:2" x14ac:dyDescent="0.35">
      <c r="A7058">
        <v>49</v>
      </c>
      <c r="B7058">
        <v>0.38500000000000001</v>
      </c>
    </row>
    <row r="7059" spans="1:2" x14ac:dyDescent="0.35">
      <c r="A7059">
        <v>49</v>
      </c>
      <c r="B7059" t="s">
        <v>32</v>
      </c>
    </row>
    <row r="7060" spans="1:2" x14ac:dyDescent="0.35">
      <c r="A7060">
        <v>49</v>
      </c>
      <c r="B7060" s="2">
        <v>4.0000000000000001E-3</v>
      </c>
    </row>
    <row r="7061" spans="1:2" x14ac:dyDescent="0.35">
      <c r="A7061">
        <v>49</v>
      </c>
      <c r="B7061" t="s">
        <v>33</v>
      </c>
    </row>
    <row r="7062" spans="1:2" x14ac:dyDescent="0.35">
      <c r="A7062">
        <v>49</v>
      </c>
      <c r="B7062" s="3">
        <v>0.64</v>
      </c>
    </row>
    <row r="7063" spans="1:2" x14ac:dyDescent="0.35">
      <c r="A7063">
        <v>49</v>
      </c>
      <c r="B7063" t="s">
        <v>34</v>
      </c>
    </row>
    <row r="7064" spans="1:2" x14ac:dyDescent="0.35">
      <c r="A7064">
        <v>49</v>
      </c>
      <c r="B7064" s="3">
        <v>0.36</v>
      </c>
    </row>
    <row r="7065" spans="1:2" x14ac:dyDescent="0.35">
      <c r="A7065">
        <v>49</v>
      </c>
      <c r="B7065" t="s">
        <v>26</v>
      </c>
    </row>
    <row r="7066" spans="1:2" x14ac:dyDescent="0.35">
      <c r="A7066">
        <v>49</v>
      </c>
      <c r="B7066">
        <v>2.81</v>
      </c>
    </row>
    <row r="7067" spans="1:2" x14ac:dyDescent="0.35">
      <c r="A7067">
        <v>49</v>
      </c>
      <c r="B7067" t="s">
        <v>23</v>
      </c>
    </row>
    <row r="7068" spans="1:2" x14ac:dyDescent="0.35">
      <c r="A7068">
        <v>49</v>
      </c>
      <c r="B7068">
        <v>2E-3</v>
      </c>
    </row>
    <row r="7069" spans="1:2" x14ac:dyDescent="0.35">
      <c r="A7069">
        <v>49</v>
      </c>
      <c r="B7069" t="s">
        <v>24</v>
      </c>
    </row>
    <row r="7070" spans="1:2" x14ac:dyDescent="0.35">
      <c r="A7070">
        <v>49</v>
      </c>
      <c r="B7070">
        <v>3.2000000000000001E-2</v>
      </c>
    </row>
    <row r="7071" spans="1:2" x14ac:dyDescent="0.35">
      <c r="A7071">
        <v>49</v>
      </c>
      <c r="B7071" t="s">
        <v>35</v>
      </c>
    </row>
    <row r="7072" spans="1:2" x14ac:dyDescent="0.35">
      <c r="A7072">
        <v>49</v>
      </c>
      <c r="B7072">
        <v>8.0000000000000002E-3</v>
      </c>
    </row>
    <row r="7073" spans="1:2" x14ac:dyDescent="0.35">
      <c r="A7073">
        <v>49</v>
      </c>
      <c r="B7073" t="s">
        <v>36</v>
      </c>
    </row>
    <row r="7074" spans="1:2" x14ac:dyDescent="0.35">
      <c r="A7074">
        <v>49</v>
      </c>
      <c r="B7074">
        <v>0</v>
      </c>
    </row>
    <row r="7075" spans="1:2" x14ac:dyDescent="0.35">
      <c r="A7075">
        <v>49</v>
      </c>
      <c r="B7075" t="s">
        <v>37</v>
      </c>
    </row>
    <row r="7076" spans="1:2" x14ac:dyDescent="0.35">
      <c r="A7076">
        <v>49</v>
      </c>
      <c r="B7076">
        <v>-0.91400000000000003</v>
      </c>
    </row>
    <row r="7077" spans="1:2" x14ac:dyDescent="0.35">
      <c r="A7077">
        <v>49</v>
      </c>
      <c r="B7077" t="s">
        <v>38</v>
      </c>
    </row>
    <row r="7078" spans="1:2" x14ac:dyDescent="0.35">
      <c r="A7078">
        <v>49</v>
      </c>
      <c r="B7078">
        <v>6.5000000000000002E-2</v>
      </c>
    </row>
    <row r="7079" spans="1:2" x14ac:dyDescent="0.35">
      <c r="A7079">
        <v>49</v>
      </c>
      <c r="B7079" t="s">
        <v>39</v>
      </c>
    </row>
    <row r="7080" spans="1:2" x14ac:dyDescent="0.35">
      <c r="A7080">
        <v>49</v>
      </c>
      <c r="B7080">
        <v>0.13500000000000001</v>
      </c>
    </row>
    <row r="7081" spans="1:2" x14ac:dyDescent="0.35">
      <c r="A7081">
        <v>49</v>
      </c>
      <c r="B7081" t="s">
        <v>40</v>
      </c>
    </row>
    <row r="7082" spans="1:2" x14ac:dyDescent="0.35">
      <c r="A7082">
        <v>49</v>
      </c>
      <c r="B7082" s="4">
        <v>0</v>
      </c>
    </row>
    <row r="7083" spans="1:2" x14ac:dyDescent="0.35">
      <c r="A7083">
        <v>49</v>
      </c>
      <c r="B7083" t="s">
        <v>41</v>
      </c>
    </row>
    <row r="7084" spans="1:2" x14ac:dyDescent="0.35">
      <c r="A7084">
        <v>49</v>
      </c>
      <c r="B7084" s="4">
        <v>190000000</v>
      </c>
    </row>
    <row r="7085" spans="1:2" x14ac:dyDescent="0.35">
      <c r="A7085">
        <v>49</v>
      </c>
      <c r="B7085" t="s">
        <v>42</v>
      </c>
    </row>
    <row r="7086" spans="1:2" x14ac:dyDescent="0.35">
      <c r="A7086">
        <v>49</v>
      </c>
      <c r="B7086" t="s">
        <v>44</v>
      </c>
    </row>
    <row r="7089" spans="1:2" x14ac:dyDescent="0.35">
      <c r="A7089">
        <v>45</v>
      </c>
      <c r="B7089" t="s">
        <v>27</v>
      </c>
    </row>
    <row r="7090" spans="1:2" x14ac:dyDescent="0.35">
      <c r="A7090">
        <v>45</v>
      </c>
      <c r="B7090" s="2">
        <v>0.32308999999999999</v>
      </c>
    </row>
    <row r="7091" spans="1:2" x14ac:dyDescent="0.35">
      <c r="A7091">
        <v>45</v>
      </c>
      <c r="B7091" t="s">
        <v>1</v>
      </c>
    </row>
    <row r="7092" spans="1:2" x14ac:dyDescent="0.35">
      <c r="A7092">
        <v>45</v>
      </c>
      <c r="B7092">
        <v>0.52</v>
      </c>
    </row>
    <row r="7093" spans="1:2" x14ac:dyDescent="0.35">
      <c r="A7093">
        <v>45</v>
      </c>
      <c r="B7093" t="s">
        <v>28</v>
      </c>
    </row>
    <row r="7094" spans="1:2" x14ac:dyDescent="0.35">
      <c r="A7094">
        <v>45</v>
      </c>
      <c r="B7094">
        <v>354</v>
      </c>
    </row>
    <row r="7095" spans="1:2" x14ac:dyDescent="0.35">
      <c r="A7095">
        <v>45</v>
      </c>
      <c r="B7095" t="s">
        <v>25</v>
      </c>
    </row>
    <row r="7096" spans="1:2" x14ac:dyDescent="0.35">
      <c r="A7096">
        <v>45</v>
      </c>
      <c r="B7096" s="2">
        <v>3.0000000000000001E-3</v>
      </c>
    </row>
    <row r="7097" spans="1:2" x14ac:dyDescent="0.35">
      <c r="A7097">
        <v>45</v>
      </c>
      <c r="B7097" t="s">
        <v>29</v>
      </c>
    </row>
    <row r="7098" spans="1:2" x14ac:dyDescent="0.35">
      <c r="A7098">
        <v>45</v>
      </c>
      <c r="B7098" s="2">
        <v>-1.1000000000000001E-3</v>
      </c>
    </row>
    <row r="7099" spans="1:2" x14ac:dyDescent="0.35">
      <c r="A7099">
        <v>45</v>
      </c>
      <c r="B7099" t="s">
        <v>30</v>
      </c>
    </row>
    <row r="7100" spans="1:2" x14ac:dyDescent="0.35">
      <c r="A7100">
        <v>45</v>
      </c>
      <c r="B7100" s="2">
        <v>6.2199999999999998E-3</v>
      </c>
    </row>
    <row r="7101" spans="1:2" x14ac:dyDescent="0.35">
      <c r="A7101">
        <v>45</v>
      </c>
      <c r="B7101" t="s">
        <v>8</v>
      </c>
    </row>
    <row r="7102" spans="1:2" x14ac:dyDescent="0.35">
      <c r="A7102">
        <v>45</v>
      </c>
      <c r="B7102" s="2">
        <v>8.0000000000000002E-3</v>
      </c>
    </row>
    <row r="7103" spans="1:2" x14ac:dyDescent="0.35">
      <c r="A7103">
        <v>45</v>
      </c>
      <c r="B7103" t="s">
        <v>31</v>
      </c>
    </row>
    <row r="7104" spans="1:2" x14ac:dyDescent="0.35">
      <c r="A7104">
        <v>45</v>
      </c>
      <c r="B7104">
        <v>0.38500000000000001</v>
      </c>
    </row>
    <row r="7105" spans="1:2" x14ac:dyDescent="0.35">
      <c r="A7105">
        <v>45</v>
      </c>
      <c r="B7105" t="s">
        <v>32</v>
      </c>
    </row>
    <row r="7106" spans="1:2" x14ac:dyDescent="0.35">
      <c r="A7106">
        <v>45</v>
      </c>
      <c r="B7106" s="2">
        <v>4.0000000000000001E-3</v>
      </c>
    </row>
    <row r="7107" spans="1:2" x14ac:dyDescent="0.35">
      <c r="A7107">
        <v>45</v>
      </c>
      <c r="B7107" t="s">
        <v>33</v>
      </c>
    </row>
    <row r="7108" spans="1:2" x14ac:dyDescent="0.35">
      <c r="A7108">
        <v>45</v>
      </c>
      <c r="B7108" s="3">
        <v>0.64</v>
      </c>
    </row>
    <row r="7109" spans="1:2" x14ac:dyDescent="0.35">
      <c r="A7109">
        <v>45</v>
      </c>
      <c r="B7109" t="s">
        <v>34</v>
      </c>
    </row>
    <row r="7110" spans="1:2" x14ac:dyDescent="0.35">
      <c r="A7110">
        <v>45</v>
      </c>
      <c r="B7110" s="3">
        <v>0.36</v>
      </c>
    </row>
    <row r="7111" spans="1:2" x14ac:dyDescent="0.35">
      <c r="A7111">
        <v>45</v>
      </c>
      <c r="B7111" t="s">
        <v>26</v>
      </c>
    </row>
    <row r="7112" spans="1:2" x14ac:dyDescent="0.35">
      <c r="A7112">
        <v>45</v>
      </c>
      <c r="B7112">
        <v>2.81</v>
      </c>
    </row>
    <row r="7113" spans="1:2" x14ac:dyDescent="0.35">
      <c r="A7113">
        <v>45</v>
      </c>
      <c r="B7113" t="s">
        <v>23</v>
      </c>
    </row>
    <row r="7114" spans="1:2" x14ac:dyDescent="0.35">
      <c r="A7114">
        <v>45</v>
      </c>
      <c r="B7114">
        <v>2E-3</v>
      </c>
    </row>
    <row r="7115" spans="1:2" x14ac:dyDescent="0.35">
      <c r="A7115">
        <v>45</v>
      </c>
      <c r="B7115" t="s">
        <v>24</v>
      </c>
    </row>
    <row r="7116" spans="1:2" x14ac:dyDescent="0.35">
      <c r="A7116">
        <v>45</v>
      </c>
      <c r="B7116">
        <v>3.2000000000000001E-2</v>
      </c>
    </row>
    <row r="7117" spans="1:2" x14ac:dyDescent="0.35">
      <c r="A7117">
        <v>45</v>
      </c>
      <c r="B7117" t="s">
        <v>35</v>
      </c>
    </row>
    <row r="7118" spans="1:2" x14ac:dyDescent="0.35">
      <c r="A7118">
        <v>45</v>
      </c>
      <c r="B7118">
        <v>8.0000000000000002E-3</v>
      </c>
    </row>
    <row r="7119" spans="1:2" x14ac:dyDescent="0.35">
      <c r="A7119">
        <v>45</v>
      </c>
      <c r="B7119" t="s">
        <v>36</v>
      </c>
    </row>
    <row r="7120" spans="1:2" x14ac:dyDescent="0.35">
      <c r="A7120">
        <v>45</v>
      </c>
      <c r="B7120">
        <v>0</v>
      </c>
    </row>
    <row r="7121" spans="1:2" x14ac:dyDescent="0.35">
      <c r="A7121">
        <v>45</v>
      </c>
      <c r="B7121" t="s">
        <v>37</v>
      </c>
    </row>
    <row r="7122" spans="1:2" x14ac:dyDescent="0.35">
      <c r="A7122">
        <v>45</v>
      </c>
      <c r="B7122">
        <v>-0.91400000000000003</v>
      </c>
    </row>
    <row r="7123" spans="1:2" x14ac:dyDescent="0.35">
      <c r="A7123">
        <v>45</v>
      </c>
      <c r="B7123" t="s">
        <v>38</v>
      </c>
    </row>
    <row r="7124" spans="1:2" x14ac:dyDescent="0.35">
      <c r="A7124">
        <v>45</v>
      </c>
      <c r="B7124">
        <v>6.5000000000000002E-2</v>
      </c>
    </row>
    <row r="7125" spans="1:2" x14ac:dyDescent="0.35">
      <c r="A7125">
        <v>45</v>
      </c>
      <c r="B7125" t="s">
        <v>39</v>
      </c>
    </row>
    <row r="7126" spans="1:2" x14ac:dyDescent="0.35">
      <c r="A7126">
        <v>45</v>
      </c>
      <c r="B7126">
        <v>0.13500000000000001</v>
      </c>
    </row>
    <row r="7127" spans="1:2" x14ac:dyDescent="0.35">
      <c r="A7127">
        <v>45</v>
      </c>
      <c r="B7127" t="s">
        <v>40</v>
      </c>
    </row>
    <row r="7128" spans="1:2" x14ac:dyDescent="0.35">
      <c r="A7128">
        <v>45</v>
      </c>
      <c r="B7128" s="4">
        <v>0</v>
      </c>
    </row>
    <row r="7129" spans="1:2" x14ac:dyDescent="0.35">
      <c r="A7129">
        <v>45</v>
      </c>
      <c r="B7129" t="s">
        <v>41</v>
      </c>
    </row>
    <row r="7130" spans="1:2" x14ac:dyDescent="0.35">
      <c r="A7130">
        <v>45</v>
      </c>
      <c r="B7130" s="4">
        <v>190000000</v>
      </c>
    </row>
    <row r="7131" spans="1:2" x14ac:dyDescent="0.35">
      <c r="A7131">
        <v>45</v>
      </c>
      <c r="B7131" t="s">
        <v>42</v>
      </c>
    </row>
    <row r="7132" spans="1:2" x14ac:dyDescent="0.35">
      <c r="A7132">
        <v>45</v>
      </c>
      <c r="B7132" t="s">
        <v>44</v>
      </c>
    </row>
    <row r="7135" spans="1:2" x14ac:dyDescent="0.35">
      <c r="A7135">
        <v>44</v>
      </c>
      <c r="B7135" t="s">
        <v>27</v>
      </c>
    </row>
    <row r="7136" spans="1:2" x14ac:dyDescent="0.35">
      <c r="A7136">
        <v>44</v>
      </c>
      <c r="B7136" s="2">
        <v>0.32308999999999999</v>
      </c>
    </row>
    <row r="7137" spans="1:2" x14ac:dyDescent="0.35">
      <c r="A7137">
        <v>44</v>
      </c>
      <c r="B7137" t="s">
        <v>1</v>
      </c>
    </row>
    <row r="7138" spans="1:2" x14ac:dyDescent="0.35">
      <c r="A7138">
        <v>44</v>
      </c>
      <c r="B7138">
        <v>0.52</v>
      </c>
    </row>
    <row r="7139" spans="1:2" x14ac:dyDescent="0.35">
      <c r="A7139">
        <v>44</v>
      </c>
      <c r="B7139" t="s">
        <v>28</v>
      </c>
    </row>
    <row r="7140" spans="1:2" x14ac:dyDescent="0.35">
      <c r="A7140">
        <v>44</v>
      </c>
      <c r="B7140">
        <v>354</v>
      </c>
    </row>
    <row r="7141" spans="1:2" x14ac:dyDescent="0.35">
      <c r="A7141">
        <v>44</v>
      </c>
      <c r="B7141" t="s">
        <v>25</v>
      </c>
    </row>
    <row r="7142" spans="1:2" x14ac:dyDescent="0.35">
      <c r="A7142">
        <v>44</v>
      </c>
      <c r="B7142" s="2">
        <v>3.0000000000000001E-3</v>
      </c>
    </row>
    <row r="7143" spans="1:2" x14ac:dyDescent="0.35">
      <c r="A7143">
        <v>44</v>
      </c>
      <c r="B7143" t="s">
        <v>29</v>
      </c>
    </row>
    <row r="7144" spans="1:2" x14ac:dyDescent="0.35">
      <c r="A7144">
        <v>44</v>
      </c>
      <c r="B7144" s="2">
        <v>-1.1000000000000001E-3</v>
      </c>
    </row>
    <row r="7145" spans="1:2" x14ac:dyDescent="0.35">
      <c r="A7145">
        <v>44</v>
      </c>
      <c r="B7145" t="s">
        <v>30</v>
      </c>
    </row>
    <row r="7146" spans="1:2" x14ac:dyDescent="0.35">
      <c r="A7146">
        <v>44</v>
      </c>
      <c r="B7146" s="2">
        <v>6.2199999999999998E-3</v>
      </c>
    </row>
    <row r="7147" spans="1:2" x14ac:dyDescent="0.35">
      <c r="A7147">
        <v>44</v>
      </c>
      <c r="B7147" t="s">
        <v>8</v>
      </c>
    </row>
    <row r="7148" spans="1:2" x14ac:dyDescent="0.35">
      <c r="A7148">
        <v>44</v>
      </c>
      <c r="B7148" s="2">
        <v>8.0000000000000002E-3</v>
      </c>
    </row>
    <row r="7149" spans="1:2" x14ac:dyDescent="0.35">
      <c r="A7149">
        <v>44</v>
      </c>
      <c r="B7149" t="s">
        <v>31</v>
      </c>
    </row>
    <row r="7150" spans="1:2" x14ac:dyDescent="0.35">
      <c r="A7150">
        <v>44</v>
      </c>
      <c r="B7150">
        <v>0.38500000000000001</v>
      </c>
    </row>
    <row r="7151" spans="1:2" x14ac:dyDescent="0.35">
      <c r="A7151">
        <v>44</v>
      </c>
      <c r="B7151" t="s">
        <v>32</v>
      </c>
    </row>
    <row r="7152" spans="1:2" x14ac:dyDescent="0.35">
      <c r="A7152">
        <v>44</v>
      </c>
      <c r="B7152" s="2">
        <v>4.0000000000000001E-3</v>
      </c>
    </row>
    <row r="7153" spans="1:2" x14ac:dyDescent="0.35">
      <c r="A7153">
        <v>44</v>
      </c>
      <c r="B7153" t="s">
        <v>33</v>
      </c>
    </row>
    <row r="7154" spans="1:2" x14ac:dyDescent="0.35">
      <c r="A7154">
        <v>44</v>
      </c>
      <c r="B7154" s="3">
        <v>0.64</v>
      </c>
    </row>
    <row r="7155" spans="1:2" x14ac:dyDescent="0.35">
      <c r="A7155">
        <v>44</v>
      </c>
      <c r="B7155" t="s">
        <v>34</v>
      </c>
    </row>
    <row r="7156" spans="1:2" x14ac:dyDescent="0.35">
      <c r="A7156">
        <v>44</v>
      </c>
      <c r="B7156" s="3">
        <v>0.36</v>
      </c>
    </row>
    <row r="7157" spans="1:2" x14ac:dyDescent="0.35">
      <c r="A7157">
        <v>44</v>
      </c>
      <c r="B7157" t="s">
        <v>26</v>
      </c>
    </row>
    <row r="7158" spans="1:2" x14ac:dyDescent="0.35">
      <c r="A7158">
        <v>44</v>
      </c>
      <c r="B7158">
        <v>2.81</v>
      </c>
    </row>
    <row r="7159" spans="1:2" x14ac:dyDescent="0.35">
      <c r="A7159">
        <v>44</v>
      </c>
      <c r="B7159" t="s">
        <v>23</v>
      </c>
    </row>
    <row r="7160" spans="1:2" x14ac:dyDescent="0.35">
      <c r="A7160">
        <v>44</v>
      </c>
      <c r="B7160">
        <v>2E-3</v>
      </c>
    </row>
    <row r="7161" spans="1:2" x14ac:dyDescent="0.35">
      <c r="A7161">
        <v>44</v>
      </c>
      <c r="B7161" t="s">
        <v>24</v>
      </c>
    </row>
    <row r="7162" spans="1:2" x14ac:dyDescent="0.35">
      <c r="A7162">
        <v>44</v>
      </c>
      <c r="B7162">
        <v>3.2000000000000001E-2</v>
      </c>
    </row>
    <row r="7163" spans="1:2" x14ac:dyDescent="0.35">
      <c r="A7163">
        <v>44</v>
      </c>
      <c r="B7163" t="s">
        <v>35</v>
      </c>
    </row>
    <row r="7164" spans="1:2" x14ac:dyDescent="0.35">
      <c r="A7164">
        <v>44</v>
      </c>
      <c r="B7164">
        <v>8.0000000000000002E-3</v>
      </c>
    </row>
    <row r="7165" spans="1:2" x14ac:dyDescent="0.35">
      <c r="A7165">
        <v>44</v>
      </c>
      <c r="B7165" t="s">
        <v>36</v>
      </c>
    </row>
    <row r="7166" spans="1:2" x14ac:dyDescent="0.35">
      <c r="A7166">
        <v>44</v>
      </c>
      <c r="B7166">
        <v>0</v>
      </c>
    </row>
    <row r="7167" spans="1:2" x14ac:dyDescent="0.35">
      <c r="A7167">
        <v>44</v>
      </c>
      <c r="B7167" t="s">
        <v>37</v>
      </c>
    </row>
    <row r="7168" spans="1:2" x14ac:dyDescent="0.35">
      <c r="A7168">
        <v>44</v>
      </c>
      <c r="B7168">
        <v>-0.91400000000000003</v>
      </c>
    </row>
    <row r="7169" spans="1:2" x14ac:dyDescent="0.35">
      <c r="A7169">
        <v>44</v>
      </c>
      <c r="B7169" t="s">
        <v>38</v>
      </c>
    </row>
    <row r="7170" spans="1:2" x14ac:dyDescent="0.35">
      <c r="A7170">
        <v>44</v>
      </c>
      <c r="B7170">
        <v>6.5000000000000002E-2</v>
      </c>
    </row>
    <row r="7171" spans="1:2" x14ac:dyDescent="0.35">
      <c r="A7171">
        <v>44</v>
      </c>
      <c r="B7171" t="s">
        <v>39</v>
      </c>
    </row>
    <row r="7172" spans="1:2" x14ac:dyDescent="0.35">
      <c r="A7172">
        <v>44</v>
      </c>
      <c r="B7172">
        <v>0.13500000000000001</v>
      </c>
    </row>
    <row r="7173" spans="1:2" x14ac:dyDescent="0.35">
      <c r="A7173">
        <v>44</v>
      </c>
      <c r="B7173" t="s">
        <v>40</v>
      </c>
    </row>
    <row r="7174" spans="1:2" x14ac:dyDescent="0.35">
      <c r="A7174">
        <v>44</v>
      </c>
      <c r="B7174" s="4">
        <v>0</v>
      </c>
    </row>
    <row r="7175" spans="1:2" x14ac:dyDescent="0.35">
      <c r="A7175">
        <v>44</v>
      </c>
      <c r="B7175" t="s">
        <v>41</v>
      </c>
    </row>
    <row r="7176" spans="1:2" x14ac:dyDescent="0.35">
      <c r="A7176">
        <v>44</v>
      </c>
      <c r="B7176" s="4">
        <v>190000000</v>
      </c>
    </row>
    <row r="7177" spans="1:2" x14ac:dyDescent="0.35">
      <c r="A7177">
        <v>44</v>
      </c>
      <c r="B7177" t="s">
        <v>42</v>
      </c>
    </row>
    <row r="7178" spans="1:2" x14ac:dyDescent="0.35">
      <c r="A7178">
        <v>44</v>
      </c>
      <c r="B7178" t="s">
        <v>44</v>
      </c>
    </row>
    <row r="7181" spans="1:2" x14ac:dyDescent="0.35">
      <c r="A7181">
        <v>43</v>
      </c>
      <c r="B7181" t="s">
        <v>27</v>
      </c>
    </row>
    <row r="7182" spans="1:2" x14ac:dyDescent="0.35">
      <c r="A7182">
        <v>43</v>
      </c>
      <c r="B7182" s="2">
        <v>0.32308999999999999</v>
      </c>
    </row>
    <row r="7183" spans="1:2" x14ac:dyDescent="0.35">
      <c r="A7183">
        <v>43</v>
      </c>
      <c r="B7183" t="s">
        <v>1</v>
      </c>
    </row>
    <row r="7184" spans="1:2" x14ac:dyDescent="0.35">
      <c r="A7184">
        <v>43</v>
      </c>
      <c r="B7184">
        <v>0.52</v>
      </c>
    </row>
    <row r="7185" spans="1:2" x14ac:dyDescent="0.35">
      <c r="A7185">
        <v>43</v>
      </c>
      <c r="B7185" t="s">
        <v>28</v>
      </c>
    </row>
    <row r="7186" spans="1:2" x14ac:dyDescent="0.35">
      <c r="A7186">
        <v>43</v>
      </c>
      <c r="B7186">
        <v>354</v>
      </c>
    </row>
    <row r="7187" spans="1:2" x14ac:dyDescent="0.35">
      <c r="A7187">
        <v>43</v>
      </c>
      <c r="B7187" t="s">
        <v>25</v>
      </c>
    </row>
    <row r="7188" spans="1:2" x14ac:dyDescent="0.35">
      <c r="A7188">
        <v>43</v>
      </c>
      <c r="B7188" s="2">
        <v>3.0000000000000001E-3</v>
      </c>
    </row>
    <row r="7189" spans="1:2" x14ac:dyDescent="0.35">
      <c r="A7189">
        <v>43</v>
      </c>
      <c r="B7189" t="s">
        <v>29</v>
      </c>
    </row>
    <row r="7190" spans="1:2" x14ac:dyDescent="0.35">
      <c r="A7190">
        <v>43</v>
      </c>
      <c r="B7190" s="2">
        <v>-1.1000000000000001E-3</v>
      </c>
    </row>
    <row r="7191" spans="1:2" x14ac:dyDescent="0.35">
      <c r="A7191">
        <v>43</v>
      </c>
      <c r="B7191" t="s">
        <v>30</v>
      </c>
    </row>
    <row r="7192" spans="1:2" x14ac:dyDescent="0.35">
      <c r="A7192">
        <v>43</v>
      </c>
      <c r="B7192" s="2">
        <v>6.2199999999999998E-3</v>
      </c>
    </row>
    <row r="7193" spans="1:2" x14ac:dyDescent="0.35">
      <c r="A7193">
        <v>43</v>
      </c>
      <c r="B7193" t="s">
        <v>8</v>
      </c>
    </row>
    <row r="7194" spans="1:2" x14ac:dyDescent="0.35">
      <c r="A7194">
        <v>43</v>
      </c>
      <c r="B7194" s="2">
        <v>8.0000000000000002E-3</v>
      </c>
    </row>
    <row r="7195" spans="1:2" x14ac:dyDescent="0.35">
      <c r="A7195">
        <v>43</v>
      </c>
      <c r="B7195" t="s">
        <v>31</v>
      </c>
    </row>
    <row r="7196" spans="1:2" x14ac:dyDescent="0.35">
      <c r="A7196">
        <v>43</v>
      </c>
      <c r="B7196">
        <v>0.38500000000000001</v>
      </c>
    </row>
    <row r="7197" spans="1:2" x14ac:dyDescent="0.35">
      <c r="A7197">
        <v>43</v>
      </c>
      <c r="B7197" t="s">
        <v>32</v>
      </c>
    </row>
    <row r="7198" spans="1:2" x14ac:dyDescent="0.35">
      <c r="A7198">
        <v>43</v>
      </c>
      <c r="B7198" s="2">
        <v>4.0000000000000001E-3</v>
      </c>
    </row>
    <row r="7199" spans="1:2" x14ac:dyDescent="0.35">
      <c r="A7199">
        <v>43</v>
      </c>
      <c r="B7199" t="s">
        <v>33</v>
      </c>
    </row>
    <row r="7200" spans="1:2" x14ac:dyDescent="0.35">
      <c r="A7200">
        <v>43</v>
      </c>
      <c r="B7200" s="3">
        <v>0.64</v>
      </c>
    </row>
    <row r="7201" spans="1:2" x14ac:dyDescent="0.35">
      <c r="A7201">
        <v>43</v>
      </c>
      <c r="B7201" t="s">
        <v>34</v>
      </c>
    </row>
    <row r="7202" spans="1:2" x14ac:dyDescent="0.35">
      <c r="A7202">
        <v>43</v>
      </c>
      <c r="B7202" s="3">
        <v>0.36</v>
      </c>
    </row>
    <row r="7203" spans="1:2" x14ac:dyDescent="0.35">
      <c r="A7203">
        <v>43</v>
      </c>
      <c r="B7203" t="s">
        <v>26</v>
      </c>
    </row>
    <row r="7204" spans="1:2" x14ac:dyDescent="0.35">
      <c r="A7204">
        <v>43</v>
      </c>
      <c r="B7204">
        <v>2.81</v>
      </c>
    </row>
    <row r="7205" spans="1:2" x14ac:dyDescent="0.35">
      <c r="A7205">
        <v>43</v>
      </c>
      <c r="B7205" t="s">
        <v>23</v>
      </c>
    </row>
    <row r="7206" spans="1:2" x14ac:dyDescent="0.35">
      <c r="A7206">
        <v>43</v>
      </c>
      <c r="B7206">
        <v>2E-3</v>
      </c>
    </row>
    <row r="7207" spans="1:2" x14ac:dyDescent="0.35">
      <c r="A7207">
        <v>43</v>
      </c>
      <c r="B7207" t="s">
        <v>24</v>
      </c>
    </row>
    <row r="7208" spans="1:2" x14ac:dyDescent="0.35">
      <c r="A7208">
        <v>43</v>
      </c>
      <c r="B7208">
        <v>3.2000000000000001E-2</v>
      </c>
    </row>
    <row r="7209" spans="1:2" x14ac:dyDescent="0.35">
      <c r="A7209">
        <v>43</v>
      </c>
      <c r="B7209" t="s">
        <v>35</v>
      </c>
    </row>
    <row r="7210" spans="1:2" x14ac:dyDescent="0.35">
      <c r="A7210">
        <v>43</v>
      </c>
      <c r="B7210">
        <v>8.0000000000000002E-3</v>
      </c>
    </row>
    <row r="7211" spans="1:2" x14ac:dyDescent="0.35">
      <c r="A7211">
        <v>43</v>
      </c>
      <c r="B7211" t="s">
        <v>36</v>
      </c>
    </row>
    <row r="7212" spans="1:2" x14ac:dyDescent="0.35">
      <c r="A7212">
        <v>43</v>
      </c>
      <c r="B7212">
        <v>0</v>
      </c>
    </row>
    <row r="7213" spans="1:2" x14ac:dyDescent="0.35">
      <c r="A7213">
        <v>43</v>
      </c>
      <c r="B7213" t="s">
        <v>37</v>
      </c>
    </row>
    <row r="7214" spans="1:2" x14ac:dyDescent="0.35">
      <c r="A7214">
        <v>43</v>
      </c>
      <c r="B7214">
        <v>-0.91400000000000003</v>
      </c>
    </row>
    <row r="7215" spans="1:2" x14ac:dyDescent="0.35">
      <c r="A7215">
        <v>43</v>
      </c>
      <c r="B7215" t="s">
        <v>38</v>
      </c>
    </row>
    <row r="7216" spans="1:2" x14ac:dyDescent="0.35">
      <c r="A7216">
        <v>43</v>
      </c>
      <c r="B7216">
        <v>6.5000000000000002E-2</v>
      </c>
    </row>
    <row r="7217" spans="1:2" x14ac:dyDescent="0.35">
      <c r="A7217">
        <v>43</v>
      </c>
      <c r="B7217" t="s">
        <v>39</v>
      </c>
    </row>
    <row r="7218" spans="1:2" x14ac:dyDescent="0.35">
      <c r="A7218">
        <v>43</v>
      </c>
      <c r="B7218">
        <v>0.13500000000000001</v>
      </c>
    </row>
    <row r="7219" spans="1:2" x14ac:dyDescent="0.35">
      <c r="A7219">
        <v>43</v>
      </c>
      <c r="B7219" t="s">
        <v>40</v>
      </c>
    </row>
    <row r="7220" spans="1:2" x14ac:dyDescent="0.35">
      <c r="A7220">
        <v>43</v>
      </c>
      <c r="B7220" s="4">
        <v>0</v>
      </c>
    </row>
    <row r="7221" spans="1:2" x14ac:dyDescent="0.35">
      <c r="A7221">
        <v>43</v>
      </c>
      <c r="B7221" t="s">
        <v>41</v>
      </c>
    </row>
    <row r="7222" spans="1:2" x14ac:dyDescent="0.35">
      <c r="A7222">
        <v>43</v>
      </c>
      <c r="B7222" s="4">
        <v>190000000</v>
      </c>
    </row>
    <row r="7223" spans="1:2" x14ac:dyDescent="0.35">
      <c r="A7223">
        <v>43</v>
      </c>
      <c r="B7223" t="s">
        <v>42</v>
      </c>
    </row>
    <row r="7224" spans="1:2" x14ac:dyDescent="0.35">
      <c r="A7224">
        <v>43</v>
      </c>
      <c r="B7224" t="s">
        <v>44</v>
      </c>
    </row>
    <row r="7227" spans="1:2" x14ac:dyDescent="0.35">
      <c r="A7227">
        <v>42</v>
      </c>
      <c r="B7227" t="s">
        <v>27</v>
      </c>
    </row>
    <row r="7228" spans="1:2" x14ac:dyDescent="0.35">
      <c r="A7228">
        <v>42</v>
      </c>
      <c r="B7228" s="2">
        <v>0.32308999999999999</v>
      </c>
    </row>
    <row r="7229" spans="1:2" x14ac:dyDescent="0.35">
      <c r="A7229">
        <v>42</v>
      </c>
      <c r="B7229" t="s">
        <v>1</v>
      </c>
    </row>
    <row r="7230" spans="1:2" x14ac:dyDescent="0.35">
      <c r="A7230">
        <v>42</v>
      </c>
      <c r="B7230">
        <v>0.52</v>
      </c>
    </row>
    <row r="7231" spans="1:2" x14ac:dyDescent="0.35">
      <c r="A7231">
        <v>42</v>
      </c>
      <c r="B7231" t="s">
        <v>28</v>
      </c>
    </row>
    <row r="7232" spans="1:2" x14ac:dyDescent="0.35">
      <c r="A7232">
        <v>42</v>
      </c>
      <c r="B7232">
        <v>354</v>
      </c>
    </row>
    <row r="7233" spans="1:2" x14ac:dyDescent="0.35">
      <c r="A7233">
        <v>42</v>
      </c>
      <c r="B7233" t="s">
        <v>25</v>
      </c>
    </row>
    <row r="7234" spans="1:2" x14ac:dyDescent="0.35">
      <c r="A7234">
        <v>42</v>
      </c>
      <c r="B7234" s="2">
        <v>3.0000000000000001E-3</v>
      </c>
    </row>
    <row r="7235" spans="1:2" x14ac:dyDescent="0.35">
      <c r="A7235">
        <v>42</v>
      </c>
      <c r="B7235" t="s">
        <v>29</v>
      </c>
    </row>
    <row r="7236" spans="1:2" x14ac:dyDescent="0.35">
      <c r="A7236">
        <v>42</v>
      </c>
      <c r="B7236" s="2">
        <v>-1.1000000000000001E-3</v>
      </c>
    </row>
    <row r="7237" spans="1:2" x14ac:dyDescent="0.35">
      <c r="A7237">
        <v>42</v>
      </c>
      <c r="B7237" t="s">
        <v>30</v>
      </c>
    </row>
    <row r="7238" spans="1:2" x14ac:dyDescent="0.35">
      <c r="A7238">
        <v>42</v>
      </c>
      <c r="B7238" s="2">
        <v>6.2199999999999998E-3</v>
      </c>
    </row>
    <row r="7239" spans="1:2" x14ac:dyDescent="0.35">
      <c r="A7239">
        <v>42</v>
      </c>
      <c r="B7239" t="s">
        <v>8</v>
      </c>
    </row>
    <row r="7240" spans="1:2" x14ac:dyDescent="0.35">
      <c r="A7240">
        <v>42</v>
      </c>
      <c r="B7240" s="2">
        <v>8.0000000000000002E-3</v>
      </c>
    </row>
    <row r="7241" spans="1:2" x14ac:dyDescent="0.35">
      <c r="A7241">
        <v>42</v>
      </c>
      <c r="B7241" t="s">
        <v>31</v>
      </c>
    </row>
    <row r="7242" spans="1:2" x14ac:dyDescent="0.35">
      <c r="A7242">
        <v>42</v>
      </c>
      <c r="B7242">
        <v>0.38500000000000001</v>
      </c>
    </row>
    <row r="7243" spans="1:2" x14ac:dyDescent="0.35">
      <c r="A7243">
        <v>42</v>
      </c>
      <c r="B7243" t="s">
        <v>32</v>
      </c>
    </row>
    <row r="7244" spans="1:2" x14ac:dyDescent="0.35">
      <c r="A7244">
        <v>42</v>
      </c>
      <c r="B7244" s="2">
        <v>4.0000000000000001E-3</v>
      </c>
    </row>
    <row r="7245" spans="1:2" x14ac:dyDescent="0.35">
      <c r="A7245">
        <v>42</v>
      </c>
      <c r="B7245" t="s">
        <v>33</v>
      </c>
    </row>
    <row r="7246" spans="1:2" x14ac:dyDescent="0.35">
      <c r="A7246">
        <v>42</v>
      </c>
      <c r="B7246" s="3">
        <v>0.64</v>
      </c>
    </row>
    <row r="7247" spans="1:2" x14ac:dyDescent="0.35">
      <c r="A7247">
        <v>42</v>
      </c>
      <c r="B7247" t="s">
        <v>34</v>
      </c>
    </row>
    <row r="7248" spans="1:2" x14ac:dyDescent="0.35">
      <c r="A7248">
        <v>42</v>
      </c>
      <c r="B7248" s="3">
        <v>0.36</v>
      </c>
    </row>
    <row r="7249" spans="1:2" x14ac:dyDescent="0.35">
      <c r="A7249">
        <v>42</v>
      </c>
      <c r="B7249" t="s">
        <v>26</v>
      </c>
    </row>
    <row r="7250" spans="1:2" x14ac:dyDescent="0.35">
      <c r="A7250">
        <v>42</v>
      </c>
      <c r="B7250">
        <v>2.81</v>
      </c>
    </row>
    <row r="7251" spans="1:2" x14ac:dyDescent="0.35">
      <c r="A7251">
        <v>42</v>
      </c>
      <c r="B7251" t="s">
        <v>23</v>
      </c>
    </row>
    <row r="7252" spans="1:2" x14ac:dyDescent="0.35">
      <c r="A7252">
        <v>42</v>
      </c>
      <c r="B7252">
        <v>2E-3</v>
      </c>
    </row>
    <row r="7253" spans="1:2" x14ac:dyDescent="0.35">
      <c r="A7253">
        <v>42</v>
      </c>
      <c r="B7253" t="s">
        <v>24</v>
      </c>
    </row>
    <row r="7254" spans="1:2" x14ac:dyDescent="0.35">
      <c r="A7254">
        <v>42</v>
      </c>
      <c r="B7254">
        <v>3.2000000000000001E-2</v>
      </c>
    </row>
    <row r="7255" spans="1:2" x14ac:dyDescent="0.35">
      <c r="A7255">
        <v>42</v>
      </c>
      <c r="B7255" t="s">
        <v>35</v>
      </c>
    </row>
    <row r="7256" spans="1:2" x14ac:dyDescent="0.35">
      <c r="A7256">
        <v>42</v>
      </c>
      <c r="B7256">
        <v>8.0000000000000002E-3</v>
      </c>
    </row>
    <row r="7257" spans="1:2" x14ac:dyDescent="0.35">
      <c r="A7257">
        <v>42</v>
      </c>
      <c r="B7257" t="s">
        <v>36</v>
      </c>
    </row>
    <row r="7258" spans="1:2" x14ac:dyDescent="0.35">
      <c r="A7258">
        <v>42</v>
      </c>
      <c r="B7258">
        <v>0</v>
      </c>
    </row>
    <row r="7259" spans="1:2" x14ac:dyDescent="0.35">
      <c r="A7259">
        <v>42</v>
      </c>
      <c r="B7259" t="s">
        <v>37</v>
      </c>
    </row>
    <row r="7260" spans="1:2" x14ac:dyDescent="0.35">
      <c r="A7260">
        <v>42</v>
      </c>
      <c r="B7260">
        <v>-0.91400000000000003</v>
      </c>
    </row>
    <row r="7261" spans="1:2" x14ac:dyDescent="0.35">
      <c r="A7261">
        <v>42</v>
      </c>
      <c r="B7261" t="s">
        <v>38</v>
      </c>
    </row>
    <row r="7262" spans="1:2" x14ac:dyDescent="0.35">
      <c r="A7262">
        <v>42</v>
      </c>
      <c r="B7262">
        <v>6.5000000000000002E-2</v>
      </c>
    </row>
    <row r="7263" spans="1:2" x14ac:dyDescent="0.35">
      <c r="A7263">
        <v>42</v>
      </c>
      <c r="B7263" t="s">
        <v>39</v>
      </c>
    </row>
    <row r="7264" spans="1:2" x14ac:dyDescent="0.35">
      <c r="A7264">
        <v>42</v>
      </c>
      <c r="B7264">
        <v>0.13500000000000001</v>
      </c>
    </row>
    <row r="7265" spans="1:2" x14ac:dyDescent="0.35">
      <c r="A7265">
        <v>42</v>
      </c>
      <c r="B7265" t="s">
        <v>40</v>
      </c>
    </row>
    <row r="7266" spans="1:2" x14ac:dyDescent="0.35">
      <c r="A7266">
        <v>42</v>
      </c>
      <c r="B7266" s="4">
        <v>0</v>
      </c>
    </row>
    <row r="7267" spans="1:2" x14ac:dyDescent="0.35">
      <c r="A7267">
        <v>42</v>
      </c>
      <c r="B7267" t="s">
        <v>41</v>
      </c>
    </row>
    <row r="7268" spans="1:2" x14ac:dyDescent="0.35">
      <c r="A7268">
        <v>42</v>
      </c>
      <c r="B7268" s="4">
        <v>190000000</v>
      </c>
    </row>
    <row r="7269" spans="1:2" x14ac:dyDescent="0.35">
      <c r="A7269">
        <v>42</v>
      </c>
      <c r="B7269" t="s">
        <v>42</v>
      </c>
    </row>
    <row r="7270" spans="1:2" x14ac:dyDescent="0.35">
      <c r="A7270">
        <v>42</v>
      </c>
      <c r="B7270" t="s">
        <v>44</v>
      </c>
    </row>
    <row r="7273" spans="1:2" x14ac:dyDescent="0.35">
      <c r="A7273">
        <v>41</v>
      </c>
      <c r="B7273" t="s">
        <v>27</v>
      </c>
    </row>
    <row r="7274" spans="1:2" x14ac:dyDescent="0.35">
      <c r="A7274">
        <v>41</v>
      </c>
      <c r="B7274" s="2">
        <v>0.32308999999999999</v>
      </c>
    </row>
    <row r="7275" spans="1:2" x14ac:dyDescent="0.35">
      <c r="A7275">
        <v>41</v>
      </c>
      <c r="B7275" t="s">
        <v>1</v>
      </c>
    </row>
    <row r="7276" spans="1:2" x14ac:dyDescent="0.35">
      <c r="A7276">
        <v>41</v>
      </c>
      <c r="B7276">
        <v>0.52</v>
      </c>
    </row>
    <row r="7277" spans="1:2" x14ac:dyDescent="0.35">
      <c r="A7277">
        <v>41</v>
      </c>
      <c r="B7277" t="s">
        <v>28</v>
      </c>
    </row>
    <row r="7278" spans="1:2" x14ac:dyDescent="0.35">
      <c r="A7278">
        <v>41</v>
      </c>
      <c r="B7278">
        <v>354</v>
      </c>
    </row>
    <row r="7279" spans="1:2" x14ac:dyDescent="0.35">
      <c r="A7279">
        <v>41</v>
      </c>
      <c r="B7279" t="s">
        <v>25</v>
      </c>
    </row>
    <row r="7280" spans="1:2" x14ac:dyDescent="0.35">
      <c r="A7280">
        <v>41</v>
      </c>
      <c r="B7280" s="2">
        <v>3.0000000000000001E-3</v>
      </c>
    </row>
    <row r="7281" spans="1:2" x14ac:dyDescent="0.35">
      <c r="A7281">
        <v>41</v>
      </c>
      <c r="B7281" t="s">
        <v>29</v>
      </c>
    </row>
    <row r="7282" spans="1:2" x14ac:dyDescent="0.35">
      <c r="A7282">
        <v>41</v>
      </c>
      <c r="B7282" s="2">
        <v>-1.1000000000000001E-3</v>
      </c>
    </row>
    <row r="7283" spans="1:2" x14ac:dyDescent="0.35">
      <c r="A7283">
        <v>41</v>
      </c>
      <c r="B7283" t="s">
        <v>30</v>
      </c>
    </row>
    <row r="7284" spans="1:2" x14ac:dyDescent="0.35">
      <c r="A7284">
        <v>41</v>
      </c>
      <c r="B7284" s="2">
        <v>6.2199999999999998E-3</v>
      </c>
    </row>
    <row r="7285" spans="1:2" x14ac:dyDescent="0.35">
      <c r="A7285">
        <v>41</v>
      </c>
      <c r="B7285" t="s">
        <v>8</v>
      </c>
    </row>
    <row r="7286" spans="1:2" x14ac:dyDescent="0.35">
      <c r="A7286">
        <v>41</v>
      </c>
      <c r="B7286" s="2">
        <v>8.0000000000000002E-3</v>
      </c>
    </row>
    <row r="7287" spans="1:2" x14ac:dyDescent="0.35">
      <c r="A7287">
        <v>41</v>
      </c>
      <c r="B7287" t="s">
        <v>31</v>
      </c>
    </row>
    <row r="7288" spans="1:2" x14ac:dyDescent="0.35">
      <c r="A7288">
        <v>41</v>
      </c>
      <c r="B7288">
        <v>0.38500000000000001</v>
      </c>
    </row>
    <row r="7289" spans="1:2" x14ac:dyDescent="0.35">
      <c r="A7289">
        <v>41</v>
      </c>
      <c r="B7289" t="s">
        <v>32</v>
      </c>
    </row>
    <row r="7290" spans="1:2" x14ac:dyDescent="0.35">
      <c r="A7290">
        <v>41</v>
      </c>
      <c r="B7290" s="2">
        <v>4.0000000000000001E-3</v>
      </c>
    </row>
    <row r="7291" spans="1:2" x14ac:dyDescent="0.35">
      <c r="A7291">
        <v>41</v>
      </c>
      <c r="B7291" t="s">
        <v>33</v>
      </c>
    </row>
    <row r="7292" spans="1:2" x14ac:dyDescent="0.35">
      <c r="A7292">
        <v>41</v>
      </c>
      <c r="B7292" s="3">
        <v>0.64</v>
      </c>
    </row>
    <row r="7293" spans="1:2" x14ac:dyDescent="0.35">
      <c r="A7293">
        <v>41</v>
      </c>
      <c r="B7293" t="s">
        <v>34</v>
      </c>
    </row>
    <row r="7294" spans="1:2" x14ac:dyDescent="0.35">
      <c r="A7294">
        <v>41</v>
      </c>
      <c r="B7294" s="3">
        <v>0.36</v>
      </c>
    </row>
    <row r="7295" spans="1:2" x14ac:dyDescent="0.35">
      <c r="A7295">
        <v>41</v>
      </c>
      <c r="B7295" t="s">
        <v>26</v>
      </c>
    </row>
    <row r="7296" spans="1:2" x14ac:dyDescent="0.35">
      <c r="A7296">
        <v>41</v>
      </c>
      <c r="B7296">
        <v>2.81</v>
      </c>
    </row>
    <row r="7297" spans="1:2" x14ac:dyDescent="0.35">
      <c r="A7297">
        <v>41</v>
      </c>
      <c r="B7297" t="s">
        <v>23</v>
      </c>
    </row>
    <row r="7298" spans="1:2" x14ac:dyDescent="0.35">
      <c r="A7298">
        <v>41</v>
      </c>
      <c r="B7298">
        <v>2E-3</v>
      </c>
    </row>
    <row r="7299" spans="1:2" x14ac:dyDescent="0.35">
      <c r="A7299">
        <v>41</v>
      </c>
      <c r="B7299" t="s">
        <v>24</v>
      </c>
    </row>
    <row r="7300" spans="1:2" x14ac:dyDescent="0.35">
      <c r="A7300">
        <v>41</v>
      </c>
      <c r="B7300">
        <v>3.2000000000000001E-2</v>
      </c>
    </row>
    <row r="7301" spans="1:2" x14ac:dyDescent="0.35">
      <c r="A7301">
        <v>41</v>
      </c>
      <c r="B7301" t="s">
        <v>35</v>
      </c>
    </row>
    <row r="7302" spans="1:2" x14ac:dyDescent="0.35">
      <c r="A7302">
        <v>41</v>
      </c>
      <c r="B7302">
        <v>8.0000000000000002E-3</v>
      </c>
    </row>
    <row r="7303" spans="1:2" x14ac:dyDescent="0.35">
      <c r="A7303">
        <v>41</v>
      </c>
      <c r="B7303" t="s">
        <v>36</v>
      </c>
    </row>
    <row r="7304" spans="1:2" x14ac:dyDescent="0.35">
      <c r="A7304">
        <v>41</v>
      </c>
      <c r="B7304">
        <v>0</v>
      </c>
    </row>
    <row r="7305" spans="1:2" x14ac:dyDescent="0.35">
      <c r="A7305">
        <v>41</v>
      </c>
      <c r="B7305" t="s">
        <v>37</v>
      </c>
    </row>
    <row r="7306" spans="1:2" x14ac:dyDescent="0.35">
      <c r="A7306">
        <v>41</v>
      </c>
      <c r="B7306">
        <v>-0.91400000000000003</v>
      </c>
    </row>
    <row r="7307" spans="1:2" x14ac:dyDescent="0.35">
      <c r="A7307">
        <v>41</v>
      </c>
      <c r="B7307" t="s">
        <v>38</v>
      </c>
    </row>
    <row r="7308" spans="1:2" x14ac:dyDescent="0.35">
      <c r="A7308">
        <v>41</v>
      </c>
      <c r="B7308">
        <v>6.5000000000000002E-2</v>
      </c>
    </row>
    <row r="7309" spans="1:2" x14ac:dyDescent="0.35">
      <c r="A7309">
        <v>41</v>
      </c>
      <c r="B7309" t="s">
        <v>39</v>
      </c>
    </row>
    <row r="7310" spans="1:2" x14ac:dyDescent="0.35">
      <c r="A7310">
        <v>41</v>
      </c>
      <c r="B7310">
        <v>0.13500000000000001</v>
      </c>
    </row>
    <row r="7311" spans="1:2" x14ac:dyDescent="0.35">
      <c r="A7311">
        <v>41</v>
      </c>
      <c r="B7311" t="s">
        <v>40</v>
      </c>
    </row>
    <row r="7312" spans="1:2" x14ac:dyDescent="0.35">
      <c r="A7312">
        <v>41</v>
      </c>
      <c r="B7312" s="4">
        <v>0</v>
      </c>
    </row>
    <row r="7313" spans="1:2" x14ac:dyDescent="0.35">
      <c r="A7313">
        <v>41</v>
      </c>
      <c r="B7313" t="s">
        <v>41</v>
      </c>
    </row>
    <row r="7314" spans="1:2" x14ac:dyDescent="0.35">
      <c r="A7314">
        <v>41</v>
      </c>
      <c r="B7314" s="4">
        <v>190000000</v>
      </c>
    </row>
    <row r="7315" spans="1:2" x14ac:dyDescent="0.35">
      <c r="A7315">
        <v>41</v>
      </c>
      <c r="B7315" t="s">
        <v>42</v>
      </c>
    </row>
    <row r="7316" spans="1:2" x14ac:dyDescent="0.35">
      <c r="A7316">
        <v>41</v>
      </c>
      <c r="B7316" t="s">
        <v>44</v>
      </c>
    </row>
    <row r="7319" spans="1:2" x14ac:dyDescent="0.35">
      <c r="A7319">
        <v>39</v>
      </c>
      <c r="B7319" t="s">
        <v>27</v>
      </c>
    </row>
    <row r="7320" spans="1:2" x14ac:dyDescent="0.35">
      <c r="A7320">
        <v>39</v>
      </c>
      <c r="B7320" s="2">
        <v>0.32308999999999999</v>
      </c>
    </row>
    <row r="7321" spans="1:2" x14ac:dyDescent="0.35">
      <c r="A7321">
        <v>39</v>
      </c>
      <c r="B7321" s="2" t="s">
        <v>1</v>
      </c>
    </row>
    <row r="7322" spans="1:2" x14ac:dyDescent="0.35">
      <c r="A7322">
        <v>39</v>
      </c>
      <c r="B7322">
        <v>0.52</v>
      </c>
    </row>
    <row r="7323" spans="1:2" x14ac:dyDescent="0.35">
      <c r="A7323">
        <v>39</v>
      </c>
      <c r="B7323" s="3" t="s">
        <v>28</v>
      </c>
    </row>
    <row r="7324" spans="1:2" x14ac:dyDescent="0.35">
      <c r="A7324">
        <v>39</v>
      </c>
      <c r="B7324">
        <v>354</v>
      </c>
    </row>
    <row r="7325" spans="1:2" x14ac:dyDescent="0.35">
      <c r="A7325">
        <v>39</v>
      </c>
      <c r="B7325" s="3" t="s">
        <v>25</v>
      </c>
    </row>
    <row r="7326" spans="1:2" x14ac:dyDescent="0.35">
      <c r="A7326">
        <v>39</v>
      </c>
      <c r="B7326" s="2">
        <v>3.0000000000000001E-3</v>
      </c>
    </row>
    <row r="7327" spans="1:2" x14ac:dyDescent="0.35">
      <c r="A7327">
        <v>39</v>
      </c>
      <c r="B7327" t="s">
        <v>29</v>
      </c>
    </row>
    <row r="7328" spans="1:2" x14ac:dyDescent="0.35">
      <c r="A7328">
        <v>39</v>
      </c>
      <c r="B7328" s="2">
        <v>-1.1000000000000001E-3</v>
      </c>
    </row>
    <row r="7329" spans="1:2" x14ac:dyDescent="0.35">
      <c r="A7329">
        <v>39</v>
      </c>
      <c r="B7329" t="s">
        <v>30</v>
      </c>
    </row>
    <row r="7330" spans="1:2" x14ac:dyDescent="0.35">
      <c r="A7330">
        <v>39</v>
      </c>
      <c r="B7330" s="2">
        <v>6.2199999999999998E-3</v>
      </c>
    </row>
    <row r="7331" spans="1:2" x14ac:dyDescent="0.35">
      <c r="A7331">
        <v>39</v>
      </c>
      <c r="B7331" t="s">
        <v>8</v>
      </c>
    </row>
    <row r="7332" spans="1:2" x14ac:dyDescent="0.35">
      <c r="A7332">
        <v>39</v>
      </c>
      <c r="B7332" s="2">
        <v>8.0000000000000002E-3</v>
      </c>
    </row>
    <row r="7333" spans="1:2" x14ac:dyDescent="0.35">
      <c r="A7333">
        <v>39</v>
      </c>
      <c r="B7333" t="s">
        <v>31</v>
      </c>
    </row>
    <row r="7334" spans="1:2" x14ac:dyDescent="0.35">
      <c r="A7334">
        <v>39</v>
      </c>
      <c r="B7334">
        <v>0.38500000000000001</v>
      </c>
    </row>
    <row r="7335" spans="1:2" x14ac:dyDescent="0.35">
      <c r="A7335">
        <v>39</v>
      </c>
      <c r="B7335" t="s">
        <v>32</v>
      </c>
    </row>
    <row r="7336" spans="1:2" x14ac:dyDescent="0.35">
      <c r="A7336">
        <v>39</v>
      </c>
      <c r="B7336" s="2">
        <v>4.0000000000000001E-3</v>
      </c>
    </row>
    <row r="7337" spans="1:2" x14ac:dyDescent="0.35">
      <c r="A7337">
        <v>39</v>
      </c>
      <c r="B7337" t="s">
        <v>33</v>
      </c>
    </row>
    <row r="7338" spans="1:2" x14ac:dyDescent="0.35">
      <c r="A7338">
        <v>39</v>
      </c>
      <c r="B7338" s="3">
        <v>0.64</v>
      </c>
    </row>
    <row r="7339" spans="1:2" x14ac:dyDescent="0.35">
      <c r="A7339">
        <v>39</v>
      </c>
      <c r="B7339" t="s">
        <v>34</v>
      </c>
    </row>
    <row r="7340" spans="1:2" x14ac:dyDescent="0.35">
      <c r="A7340">
        <v>39</v>
      </c>
      <c r="B7340" s="3">
        <v>0.36</v>
      </c>
    </row>
    <row r="7341" spans="1:2" x14ac:dyDescent="0.35">
      <c r="A7341">
        <v>39</v>
      </c>
      <c r="B7341" t="s">
        <v>26</v>
      </c>
    </row>
    <row r="7342" spans="1:2" x14ac:dyDescent="0.35">
      <c r="A7342">
        <v>39</v>
      </c>
      <c r="B7342">
        <v>2.81</v>
      </c>
    </row>
    <row r="7343" spans="1:2" x14ac:dyDescent="0.35">
      <c r="A7343">
        <v>39</v>
      </c>
      <c r="B7343" s="4" t="s">
        <v>23</v>
      </c>
    </row>
    <row r="7344" spans="1:2" x14ac:dyDescent="0.35">
      <c r="A7344">
        <v>39</v>
      </c>
      <c r="B7344">
        <v>2E-3</v>
      </c>
    </row>
    <row r="7345" spans="1:2" x14ac:dyDescent="0.35">
      <c r="A7345">
        <v>39</v>
      </c>
      <c r="B7345" s="4" t="s">
        <v>24</v>
      </c>
    </row>
    <row r="7346" spans="1:2" x14ac:dyDescent="0.35">
      <c r="A7346">
        <v>39</v>
      </c>
      <c r="B7346">
        <v>3.2000000000000001E-2</v>
      </c>
    </row>
    <row r="7347" spans="1:2" x14ac:dyDescent="0.35">
      <c r="A7347">
        <v>39</v>
      </c>
      <c r="B7347" t="s">
        <v>35</v>
      </c>
    </row>
    <row r="7348" spans="1:2" x14ac:dyDescent="0.35">
      <c r="A7348">
        <v>39</v>
      </c>
      <c r="B7348">
        <v>8.0000000000000002E-3</v>
      </c>
    </row>
    <row r="7349" spans="1:2" x14ac:dyDescent="0.35">
      <c r="A7349">
        <v>39</v>
      </c>
      <c r="B7349" t="s">
        <v>36</v>
      </c>
    </row>
    <row r="7350" spans="1:2" x14ac:dyDescent="0.35">
      <c r="A7350">
        <v>39</v>
      </c>
      <c r="B7350">
        <v>0</v>
      </c>
    </row>
    <row r="7351" spans="1:2" x14ac:dyDescent="0.35">
      <c r="A7351">
        <v>39</v>
      </c>
      <c r="B7351" t="s">
        <v>37</v>
      </c>
    </row>
    <row r="7352" spans="1:2" x14ac:dyDescent="0.35">
      <c r="A7352">
        <v>39</v>
      </c>
      <c r="B7352">
        <v>-0.91400000000000003</v>
      </c>
    </row>
    <row r="7353" spans="1:2" x14ac:dyDescent="0.35">
      <c r="A7353">
        <v>39</v>
      </c>
      <c r="B7353" t="s">
        <v>38</v>
      </c>
    </row>
    <row r="7354" spans="1:2" x14ac:dyDescent="0.35">
      <c r="A7354">
        <v>39</v>
      </c>
      <c r="B7354">
        <v>6.5000000000000002E-2</v>
      </c>
    </row>
    <row r="7355" spans="1:2" x14ac:dyDescent="0.35">
      <c r="A7355">
        <v>39</v>
      </c>
      <c r="B7355" t="s">
        <v>39</v>
      </c>
    </row>
    <row r="7356" spans="1:2" x14ac:dyDescent="0.35">
      <c r="A7356">
        <v>39</v>
      </c>
      <c r="B7356">
        <v>0.13500000000000001</v>
      </c>
    </row>
    <row r="7357" spans="1:2" x14ac:dyDescent="0.35">
      <c r="A7357">
        <v>39</v>
      </c>
      <c r="B7357" t="s">
        <v>40</v>
      </c>
    </row>
    <row r="7358" spans="1:2" x14ac:dyDescent="0.35">
      <c r="A7358">
        <v>39</v>
      </c>
      <c r="B7358" s="4">
        <v>0</v>
      </c>
    </row>
    <row r="7359" spans="1:2" x14ac:dyDescent="0.35">
      <c r="A7359">
        <v>39</v>
      </c>
      <c r="B7359" t="s">
        <v>41</v>
      </c>
    </row>
    <row r="7360" spans="1:2" x14ac:dyDescent="0.35">
      <c r="A7360">
        <v>39</v>
      </c>
      <c r="B7360" s="4">
        <v>190000000</v>
      </c>
    </row>
    <row r="7361" spans="1:2" x14ac:dyDescent="0.35">
      <c r="A7361">
        <v>39</v>
      </c>
      <c r="B7361" t="s">
        <v>42</v>
      </c>
    </row>
    <row r="7362" spans="1:2" x14ac:dyDescent="0.35">
      <c r="A7362">
        <v>39</v>
      </c>
      <c r="B7362" t="s">
        <v>44</v>
      </c>
    </row>
    <row r="7364" spans="1:2" x14ac:dyDescent="0.35">
      <c r="A7364">
        <v>40</v>
      </c>
      <c r="B7364" t="s">
        <v>27</v>
      </c>
    </row>
    <row r="7365" spans="1:2" x14ac:dyDescent="0.35">
      <c r="A7365">
        <v>40</v>
      </c>
      <c r="B7365" s="2">
        <v>0.32308999999999999</v>
      </c>
    </row>
    <row r="7366" spans="1:2" x14ac:dyDescent="0.35">
      <c r="A7366">
        <v>40</v>
      </c>
      <c r="B7366" t="s">
        <v>1</v>
      </c>
    </row>
    <row r="7367" spans="1:2" x14ac:dyDescent="0.35">
      <c r="A7367">
        <v>40</v>
      </c>
      <c r="B7367">
        <v>0.52</v>
      </c>
    </row>
    <row r="7368" spans="1:2" x14ac:dyDescent="0.35">
      <c r="A7368">
        <v>40</v>
      </c>
      <c r="B7368" t="s">
        <v>28</v>
      </c>
    </row>
    <row r="7369" spans="1:2" x14ac:dyDescent="0.35">
      <c r="A7369">
        <v>40</v>
      </c>
      <c r="B7369">
        <v>354</v>
      </c>
    </row>
    <row r="7370" spans="1:2" x14ac:dyDescent="0.35">
      <c r="A7370">
        <v>40</v>
      </c>
      <c r="B7370" t="s">
        <v>25</v>
      </c>
    </row>
    <row r="7371" spans="1:2" x14ac:dyDescent="0.35">
      <c r="A7371">
        <v>40</v>
      </c>
      <c r="B7371" s="2">
        <v>3.0000000000000001E-3</v>
      </c>
    </row>
    <row r="7372" spans="1:2" x14ac:dyDescent="0.35">
      <c r="A7372">
        <v>40</v>
      </c>
      <c r="B7372" t="s">
        <v>29</v>
      </c>
    </row>
    <row r="7373" spans="1:2" x14ac:dyDescent="0.35">
      <c r="A7373">
        <v>40</v>
      </c>
      <c r="B7373" s="2">
        <v>-1.1000000000000001E-3</v>
      </c>
    </row>
    <row r="7374" spans="1:2" x14ac:dyDescent="0.35">
      <c r="A7374">
        <v>40</v>
      </c>
      <c r="B7374" t="s">
        <v>30</v>
      </c>
    </row>
    <row r="7375" spans="1:2" x14ac:dyDescent="0.35">
      <c r="A7375">
        <v>40</v>
      </c>
      <c r="B7375" s="2">
        <v>6.2199999999999998E-3</v>
      </c>
    </row>
    <row r="7376" spans="1:2" x14ac:dyDescent="0.35">
      <c r="A7376">
        <v>40</v>
      </c>
      <c r="B7376" t="s">
        <v>8</v>
      </c>
    </row>
    <row r="7377" spans="1:2" x14ac:dyDescent="0.35">
      <c r="A7377">
        <v>40</v>
      </c>
      <c r="B7377" s="2">
        <v>8.0000000000000002E-3</v>
      </c>
    </row>
    <row r="7378" spans="1:2" x14ac:dyDescent="0.35">
      <c r="A7378">
        <v>40</v>
      </c>
      <c r="B7378" t="s">
        <v>31</v>
      </c>
    </row>
    <row r="7379" spans="1:2" x14ac:dyDescent="0.35">
      <c r="A7379">
        <v>40</v>
      </c>
      <c r="B7379">
        <v>0.38500000000000001</v>
      </c>
    </row>
    <row r="7380" spans="1:2" x14ac:dyDescent="0.35">
      <c r="A7380">
        <v>40</v>
      </c>
      <c r="B7380" t="s">
        <v>32</v>
      </c>
    </row>
    <row r="7381" spans="1:2" x14ac:dyDescent="0.35">
      <c r="A7381">
        <v>40</v>
      </c>
      <c r="B7381" s="2">
        <v>4.0000000000000001E-3</v>
      </c>
    </row>
    <row r="7382" spans="1:2" x14ac:dyDescent="0.35">
      <c r="A7382">
        <v>40</v>
      </c>
      <c r="B7382" t="s">
        <v>33</v>
      </c>
    </row>
    <row r="7383" spans="1:2" x14ac:dyDescent="0.35">
      <c r="A7383">
        <v>40</v>
      </c>
      <c r="B7383" s="3">
        <v>0.64</v>
      </c>
    </row>
    <row r="7384" spans="1:2" x14ac:dyDescent="0.35">
      <c r="A7384">
        <v>40</v>
      </c>
      <c r="B7384" t="s">
        <v>34</v>
      </c>
    </row>
    <row r="7385" spans="1:2" x14ac:dyDescent="0.35">
      <c r="A7385">
        <v>40</v>
      </c>
      <c r="B7385" s="3">
        <v>0.36</v>
      </c>
    </row>
    <row r="7386" spans="1:2" x14ac:dyDescent="0.35">
      <c r="A7386">
        <v>40</v>
      </c>
      <c r="B7386" t="s">
        <v>26</v>
      </c>
    </row>
    <row r="7387" spans="1:2" x14ac:dyDescent="0.35">
      <c r="A7387">
        <v>40</v>
      </c>
      <c r="B7387">
        <v>2.81</v>
      </c>
    </row>
    <row r="7388" spans="1:2" x14ac:dyDescent="0.35">
      <c r="A7388">
        <v>40</v>
      </c>
      <c r="B7388" t="s">
        <v>23</v>
      </c>
    </row>
    <row r="7389" spans="1:2" x14ac:dyDescent="0.35">
      <c r="A7389">
        <v>40</v>
      </c>
      <c r="B7389">
        <v>2E-3</v>
      </c>
    </row>
    <row r="7390" spans="1:2" x14ac:dyDescent="0.35">
      <c r="A7390">
        <v>40</v>
      </c>
      <c r="B7390" t="s">
        <v>24</v>
      </c>
    </row>
    <row r="7391" spans="1:2" x14ac:dyDescent="0.35">
      <c r="A7391">
        <v>40</v>
      </c>
      <c r="B7391">
        <v>3.2000000000000001E-2</v>
      </c>
    </row>
    <row r="7392" spans="1:2" x14ac:dyDescent="0.35">
      <c r="A7392">
        <v>40</v>
      </c>
      <c r="B7392" t="s">
        <v>35</v>
      </c>
    </row>
    <row r="7393" spans="1:2" x14ac:dyDescent="0.35">
      <c r="A7393">
        <v>40</v>
      </c>
      <c r="B7393">
        <v>8.0000000000000002E-3</v>
      </c>
    </row>
    <row r="7394" spans="1:2" x14ac:dyDescent="0.35">
      <c r="A7394">
        <v>40</v>
      </c>
      <c r="B7394" t="s">
        <v>36</v>
      </c>
    </row>
    <row r="7395" spans="1:2" x14ac:dyDescent="0.35">
      <c r="A7395">
        <v>40</v>
      </c>
      <c r="B7395">
        <v>0</v>
      </c>
    </row>
    <row r="7396" spans="1:2" x14ac:dyDescent="0.35">
      <c r="A7396">
        <v>40</v>
      </c>
      <c r="B7396" t="s">
        <v>37</v>
      </c>
    </row>
    <row r="7397" spans="1:2" x14ac:dyDescent="0.35">
      <c r="A7397">
        <v>40</v>
      </c>
      <c r="B7397">
        <v>-0.91400000000000003</v>
      </c>
    </row>
    <row r="7398" spans="1:2" x14ac:dyDescent="0.35">
      <c r="A7398">
        <v>40</v>
      </c>
      <c r="B7398" t="s">
        <v>38</v>
      </c>
    </row>
    <row r="7399" spans="1:2" x14ac:dyDescent="0.35">
      <c r="A7399">
        <v>40</v>
      </c>
      <c r="B7399">
        <v>6.5000000000000002E-2</v>
      </c>
    </row>
    <row r="7400" spans="1:2" x14ac:dyDescent="0.35">
      <c r="A7400">
        <v>40</v>
      </c>
      <c r="B7400" t="s">
        <v>39</v>
      </c>
    </row>
    <row r="7401" spans="1:2" x14ac:dyDescent="0.35">
      <c r="A7401">
        <v>40</v>
      </c>
      <c r="B7401">
        <v>0.13500000000000001</v>
      </c>
    </row>
    <row r="7402" spans="1:2" x14ac:dyDescent="0.35">
      <c r="A7402">
        <v>40</v>
      </c>
      <c r="B7402" t="s">
        <v>40</v>
      </c>
    </row>
    <row r="7403" spans="1:2" x14ac:dyDescent="0.35">
      <c r="A7403">
        <v>40</v>
      </c>
      <c r="B7403" s="4">
        <v>0</v>
      </c>
    </row>
    <row r="7404" spans="1:2" x14ac:dyDescent="0.35">
      <c r="A7404">
        <v>40</v>
      </c>
      <c r="B7404" t="s">
        <v>41</v>
      </c>
    </row>
    <row r="7405" spans="1:2" x14ac:dyDescent="0.35">
      <c r="A7405">
        <v>40</v>
      </c>
      <c r="B7405" s="4">
        <v>190000000</v>
      </c>
    </row>
    <row r="7406" spans="1:2" x14ac:dyDescent="0.35">
      <c r="A7406">
        <v>40</v>
      </c>
      <c r="B7406" t="s">
        <v>42</v>
      </c>
    </row>
    <row r="7407" spans="1:2" x14ac:dyDescent="0.35">
      <c r="A7407">
        <v>40</v>
      </c>
      <c r="B7407" t="s">
        <v>44</v>
      </c>
    </row>
    <row r="7409" spans="1:2" x14ac:dyDescent="0.35">
      <c r="A7409">
        <v>38</v>
      </c>
    </row>
    <row r="7410" spans="1:2" x14ac:dyDescent="0.35">
      <c r="A7410">
        <v>38</v>
      </c>
      <c r="B7410" t="s">
        <v>27</v>
      </c>
    </row>
    <row r="7411" spans="1:2" x14ac:dyDescent="0.35">
      <c r="A7411">
        <v>38</v>
      </c>
      <c r="B7411" s="2">
        <v>0.32308999999999999</v>
      </c>
    </row>
    <row r="7412" spans="1:2" x14ac:dyDescent="0.35">
      <c r="A7412">
        <v>38</v>
      </c>
      <c r="B7412" t="s">
        <v>1</v>
      </c>
    </row>
    <row r="7413" spans="1:2" x14ac:dyDescent="0.35">
      <c r="A7413">
        <v>38</v>
      </c>
      <c r="B7413">
        <v>0.52</v>
      </c>
    </row>
    <row r="7414" spans="1:2" x14ac:dyDescent="0.35">
      <c r="A7414">
        <v>38</v>
      </c>
      <c r="B7414" t="s">
        <v>28</v>
      </c>
    </row>
    <row r="7415" spans="1:2" x14ac:dyDescent="0.35">
      <c r="A7415">
        <v>38</v>
      </c>
      <c r="B7415">
        <v>354</v>
      </c>
    </row>
    <row r="7416" spans="1:2" x14ac:dyDescent="0.35">
      <c r="A7416">
        <v>38</v>
      </c>
      <c r="B7416" t="s">
        <v>25</v>
      </c>
    </row>
    <row r="7417" spans="1:2" x14ac:dyDescent="0.35">
      <c r="A7417">
        <v>38</v>
      </c>
      <c r="B7417" s="2">
        <v>3.0000000000000001E-3</v>
      </c>
    </row>
    <row r="7418" spans="1:2" x14ac:dyDescent="0.35">
      <c r="A7418">
        <v>38</v>
      </c>
      <c r="B7418" t="s">
        <v>29</v>
      </c>
    </row>
    <row r="7419" spans="1:2" x14ac:dyDescent="0.35">
      <c r="A7419">
        <v>38</v>
      </c>
      <c r="B7419" s="2">
        <v>-1.1000000000000001E-3</v>
      </c>
    </row>
    <row r="7420" spans="1:2" x14ac:dyDescent="0.35">
      <c r="A7420">
        <v>38</v>
      </c>
      <c r="B7420" t="s">
        <v>30</v>
      </c>
    </row>
    <row r="7421" spans="1:2" x14ac:dyDescent="0.35">
      <c r="A7421">
        <v>38</v>
      </c>
      <c r="B7421" s="2">
        <v>6.2199999999999998E-3</v>
      </c>
    </row>
    <row r="7422" spans="1:2" x14ac:dyDescent="0.35">
      <c r="A7422">
        <v>38</v>
      </c>
      <c r="B7422" t="s">
        <v>8</v>
      </c>
    </row>
    <row r="7423" spans="1:2" x14ac:dyDescent="0.35">
      <c r="A7423">
        <v>38</v>
      </c>
      <c r="B7423" s="2">
        <v>8.0000000000000002E-3</v>
      </c>
    </row>
    <row r="7424" spans="1:2" x14ac:dyDescent="0.35">
      <c r="A7424">
        <v>38</v>
      </c>
      <c r="B7424" t="s">
        <v>31</v>
      </c>
    </row>
    <row r="7425" spans="1:2" x14ac:dyDescent="0.35">
      <c r="A7425">
        <v>38</v>
      </c>
      <c r="B7425">
        <v>0.38500000000000001</v>
      </c>
    </row>
    <row r="7426" spans="1:2" x14ac:dyDescent="0.35">
      <c r="A7426">
        <v>38</v>
      </c>
      <c r="B7426" t="s">
        <v>32</v>
      </c>
    </row>
    <row r="7427" spans="1:2" x14ac:dyDescent="0.35">
      <c r="A7427">
        <v>38</v>
      </c>
      <c r="B7427" s="2">
        <v>4.0000000000000001E-3</v>
      </c>
    </row>
    <row r="7428" spans="1:2" x14ac:dyDescent="0.35">
      <c r="A7428">
        <v>38</v>
      </c>
      <c r="B7428" t="s">
        <v>33</v>
      </c>
    </row>
    <row r="7429" spans="1:2" x14ac:dyDescent="0.35">
      <c r="A7429">
        <v>38</v>
      </c>
      <c r="B7429" s="3">
        <v>0.64</v>
      </c>
    </row>
    <row r="7430" spans="1:2" x14ac:dyDescent="0.35">
      <c r="A7430">
        <v>38</v>
      </c>
      <c r="B7430" t="s">
        <v>34</v>
      </c>
    </row>
    <row r="7431" spans="1:2" x14ac:dyDescent="0.35">
      <c r="A7431">
        <v>38</v>
      </c>
      <c r="B7431" s="3">
        <v>0.36</v>
      </c>
    </row>
    <row r="7432" spans="1:2" x14ac:dyDescent="0.35">
      <c r="A7432">
        <v>38</v>
      </c>
      <c r="B7432" t="s">
        <v>26</v>
      </c>
    </row>
    <row r="7433" spans="1:2" x14ac:dyDescent="0.35">
      <c r="A7433">
        <v>38</v>
      </c>
      <c r="B7433">
        <v>2.81</v>
      </c>
    </row>
    <row r="7434" spans="1:2" x14ac:dyDescent="0.35">
      <c r="A7434">
        <v>38</v>
      </c>
      <c r="B7434" t="s">
        <v>23</v>
      </c>
    </row>
    <row r="7435" spans="1:2" x14ac:dyDescent="0.35">
      <c r="A7435">
        <v>38</v>
      </c>
      <c r="B7435">
        <v>2E-3</v>
      </c>
    </row>
    <row r="7436" spans="1:2" x14ac:dyDescent="0.35">
      <c r="A7436">
        <v>38</v>
      </c>
      <c r="B7436" t="s">
        <v>24</v>
      </c>
    </row>
    <row r="7437" spans="1:2" x14ac:dyDescent="0.35">
      <c r="A7437">
        <v>38</v>
      </c>
      <c r="B7437">
        <v>3.2000000000000001E-2</v>
      </c>
    </row>
    <row r="7438" spans="1:2" x14ac:dyDescent="0.35">
      <c r="A7438">
        <v>38</v>
      </c>
      <c r="B7438" t="s">
        <v>35</v>
      </c>
    </row>
    <row r="7439" spans="1:2" x14ac:dyDescent="0.35">
      <c r="A7439">
        <v>38</v>
      </c>
      <c r="B7439">
        <v>8.0000000000000002E-3</v>
      </c>
    </row>
    <row r="7440" spans="1:2" x14ac:dyDescent="0.35">
      <c r="A7440">
        <v>38</v>
      </c>
      <c r="B7440" t="s">
        <v>36</v>
      </c>
    </row>
    <row r="7441" spans="1:2" x14ac:dyDescent="0.35">
      <c r="A7441">
        <v>38</v>
      </c>
      <c r="B7441">
        <v>0</v>
      </c>
    </row>
    <row r="7442" spans="1:2" x14ac:dyDescent="0.35">
      <c r="A7442">
        <v>38</v>
      </c>
      <c r="B7442" t="s">
        <v>37</v>
      </c>
    </row>
    <row r="7443" spans="1:2" x14ac:dyDescent="0.35">
      <c r="A7443">
        <v>38</v>
      </c>
      <c r="B7443">
        <v>-0.91400000000000003</v>
      </c>
    </row>
    <row r="7444" spans="1:2" x14ac:dyDescent="0.35">
      <c r="A7444">
        <v>38</v>
      </c>
      <c r="B7444" t="s">
        <v>38</v>
      </c>
    </row>
    <row r="7445" spans="1:2" x14ac:dyDescent="0.35">
      <c r="A7445">
        <v>38</v>
      </c>
      <c r="B7445">
        <v>6.5000000000000002E-2</v>
      </c>
    </row>
    <row r="7446" spans="1:2" x14ac:dyDescent="0.35">
      <c r="A7446">
        <v>38</v>
      </c>
      <c r="B7446" t="s">
        <v>39</v>
      </c>
    </row>
    <row r="7447" spans="1:2" x14ac:dyDescent="0.35">
      <c r="A7447">
        <v>38</v>
      </c>
      <c r="B7447">
        <v>0.13500000000000001</v>
      </c>
    </row>
    <row r="7448" spans="1:2" x14ac:dyDescent="0.35">
      <c r="A7448">
        <v>38</v>
      </c>
      <c r="B7448" t="s">
        <v>40</v>
      </c>
    </row>
    <row r="7449" spans="1:2" x14ac:dyDescent="0.35">
      <c r="A7449">
        <v>38</v>
      </c>
      <c r="B7449" s="4">
        <v>0</v>
      </c>
    </row>
    <row r="7450" spans="1:2" x14ac:dyDescent="0.35">
      <c r="A7450">
        <v>38</v>
      </c>
      <c r="B7450" t="s">
        <v>41</v>
      </c>
    </row>
    <row r="7451" spans="1:2" x14ac:dyDescent="0.35">
      <c r="A7451">
        <v>38</v>
      </c>
      <c r="B7451" s="4">
        <v>190000000</v>
      </c>
    </row>
    <row r="7452" spans="1:2" x14ac:dyDescent="0.35">
      <c r="A7452">
        <v>38</v>
      </c>
      <c r="B7452" t="s">
        <v>42</v>
      </c>
    </row>
    <row r="7453" spans="1:2" x14ac:dyDescent="0.35">
      <c r="A7453">
        <v>38</v>
      </c>
      <c r="B7453" t="s">
        <v>44</v>
      </c>
    </row>
    <row r="7456" spans="1:2" x14ac:dyDescent="0.35">
      <c r="A7456">
        <v>37</v>
      </c>
      <c r="B7456" t="s">
        <v>27</v>
      </c>
    </row>
    <row r="7457" spans="1:2" x14ac:dyDescent="0.35">
      <c r="A7457">
        <v>37</v>
      </c>
      <c r="B7457" s="2">
        <v>0.32308999999999999</v>
      </c>
    </row>
    <row r="7458" spans="1:2" x14ac:dyDescent="0.35">
      <c r="A7458">
        <v>37</v>
      </c>
      <c r="B7458" t="s">
        <v>1</v>
      </c>
    </row>
    <row r="7459" spans="1:2" x14ac:dyDescent="0.35">
      <c r="A7459">
        <v>37</v>
      </c>
      <c r="B7459">
        <v>0.52</v>
      </c>
    </row>
    <row r="7460" spans="1:2" x14ac:dyDescent="0.35">
      <c r="A7460">
        <v>37</v>
      </c>
      <c r="B7460" t="s">
        <v>28</v>
      </c>
    </row>
    <row r="7461" spans="1:2" x14ac:dyDescent="0.35">
      <c r="A7461">
        <v>37</v>
      </c>
      <c r="B7461">
        <v>354</v>
      </c>
    </row>
    <row r="7462" spans="1:2" x14ac:dyDescent="0.35">
      <c r="A7462">
        <v>37</v>
      </c>
      <c r="B7462" t="s">
        <v>25</v>
      </c>
    </row>
    <row r="7463" spans="1:2" x14ac:dyDescent="0.35">
      <c r="A7463">
        <v>37</v>
      </c>
      <c r="B7463" s="2">
        <v>3.0000000000000001E-3</v>
      </c>
    </row>
    <row r="7464" spans="1:2" x14ac:dyDescent="0.35">
      <c r="A7464">
        <v>37</v>
      </c>
      <c r="B7464" t="s">
        <v>29</v>
      </c>
    </row>
    <row r="7465" spans="1:2" x14ac:dyDescent="0.35">
      <c r="A7465">
        <v>37</v>
      </c>
      <c r="B7465" s="2">
        <v>-1.1000000000000001E-3</v>
      </c>
    </row>
    <row r="7466" spans="1:2" x14ac:dyDescent="0.35">
      <c r="A7466">
        <v>37</v>
      </c>
      <c r="B7466" t="s">
        <v>30</v>
      </c>
    </row>
    <row r="7467" spans="1:2" x14ac:dyDescent="0.35">
      <c r="A7467">
        <v>37</v>
      </c>
      <c r="B7467" s="2">
        <v>6.2199999999999998E-3</v>
      </c>
    </row>
    <row r="7468" spans="1:2" x14ac:dyDescent="0.35">
      <c r="A7468">
        <v>37</v>
      </c>
      <c r="B7468" t="s">
        <v>8</v>
      </c>
    </row>
    <row r="7469" spans="1:2" x14ac:dyDescent="0.35">
      <c r="A7469">
        <v>37</v>
      </c>
      <c r="B7469" s="2">
        <v>8.0000000000000002E-3</v>
      </c>
    </row>
    <row r="7470" spans="1:2" x14ac:dyDescent="0.35">
      <c r="A7470">
        <v>37</v>
      </c>
      <c r="B7470" t="s">
        <v>31</v>
      </c>
    </row>
    <row r="7471" spans="1:2" x14ac:dyDescent="0.35">
      <c r="A7471">
        <v>37</v>
      </c>
      <c r="B7471">
        <v>0.38500000000000001</v>
      </c>
    </row>
    <row r="7472" spans="1:2" x14ac:dyDescent="0.35">
      <c r="A7472">
        <v>37</v>
      </c>
      <c r="B7472" t="s">
        <v>32</v>
      </c>
    </row>
    <row r="7473" spans="1:2" x14ac:dyDescent="0.35">
      <c r="A7473">
        <v>37</v>
      </c>
      <c r="B7473" s="2">
        <v>4.0000000000000001E-3</v>
      </c>
    </row>
    <row r="7474" spans="1:2" x14ac:dyDescent="0.35">
      <c r="A7474">
        <v>37</v>
      </c>
      <c r="B7474" t="s">
        <v>33</v>
      </c>
    </row>
    <row r="7475" spans="1:2" x14ac:dyDescent="0.35">
      <c r="A7475">
        <v>37</v>
      </c>
      <c r="B7475" s="3">
        <v>0.64</v>
      </c>
    </row>
    <row r="7476" spans="1:2" x14ac:dyDescent="0.35">
      <c r="A7476">
        <v>37</v>
      </c>
      <c r="B7476" t="s">
        <v>34</v>
      </c>
    </row>
    <row r="7477" spans="1:2" x14ac:dyDescent="0.35">
      <c r="A7477">
        <v>37</v>
      </c>
      <c r="B7477" s="3">
        <v>0.36</v>
      </c>
    </row>
    <row r="7478" spans="1:2" x14ac:dyDescent="0.35">
      <c r="A7478">
        <v>37</v>
      </c>
      <c r="B7478" t="s">
        <v>26</v>
      </c>
    </row>
    <row r="7479" spans="1:2" x14ac:dyDescent="0.35">
      <c r="A7479">
        <v>37</v>
      </c>
      <c r="B7479">
        <v>2.81</v>
      </c>
    </row>
    <row r="7480" spans="1:2" x14ac:dyDescent="0.35">
      <c r="A7480">
        <v>37</v>
      </c>
      <c r="B7480" t="s">
        <v>23</v>
      </c>
    </row>
    <row r="7481" spans="1:2" x14ac:dyDescent="0.35">
      <c r="A7481">
        <v>37</v>
      </c>
      <c r="B7481">
        <v>2E-3</v>
      </c>
    </row>
    <row r="7482" spans="1:2" x14ac:dyDescent="0.35">
      <c r="A7482">
        <v>37</v>
      </c>
      <c r="B7482" t="s">
        <v>24</v>
      </c>
    </row>
    <row r="7483" spans="1:2" x14ac:dyDescent="0.35">
      <c r="A7483">
        <v>37</v>
      </c>
      <c r="B7483">
        <v>3.2000000000000001E-2</v>
      </c>
    </row>
    <row r="7484" spans="1:2" x14ac:dyDescent="0.35">
      <c r="A7484">
        <v>37</v>
      </c>
      <c r="B7484" t="s">
        <v>35</v>
      </c>
    </row>
    <row r="7485" spans="1:2" x14ac:dyDescent="0.35">
      <c r="A7485">
        <v>37</v>
      </c>
      <c r="B7485">
        <v>8.0000000000000002E-3</v>
      </c>
    </row>
    <row r="7486" spans="1:2" x14ac:dyDescent="0.35">
      <c r="A7486">
        <v>37</v>
      </c>
      <c r="B7486" t="s">
        <v>36</v>
      </c>
    </row>
    <row r="7487" spans="1:2" x14ac:dyDescent="0.35">
      <c r="A7487">
        <v>37</v>
      </c>
      <c r="B7487">
        <v>0</v>
      </c>
    </row>
    <row r="7488" spans="1:2" x14ac:dyDescent="0.35">
      <c r="A7488">
        <v>37</v>
      </c>
      <c r="B7488" t="s">
        <v>37</v>
      </c>
    </row>
    <row r="7489" spans="1:2" x14ac:dyDescent="0.35">
      <c r="A7489">
        <v>37</v>
      </c>
      <c r="B7489">
        <v>-0.91400000000000003</v>
      </c>
    </row>
    <row r="7490" spans="1:2" x14ac:dyDescent="0.35">
      <c r="A7490">
        <v>37</v>
      </c>
      <c r="B7490" t="s">
        <v>38</v>
      </c>
    </row>
    <row r="7491" spans="1:2" x14ac:dyDescent="0.35">
      <c r="A7491">
        <v>37</v>
      </c>
      <c r="B7491">
        <v>6.5000000000000002E-2</v>
      </c>
    </row>
    <row r="7492" spans="1:2" x14ac:dyDescent="0.35">
      <c r="A7492">
        <v>37</v>
      </c>
      <c r="B7492" t="s">
        <v>39</v>
      </c>
    </row>
    <row r="7493" spans="1:2" x14ac:dyDescent="0.35">
      <c r="A7493">
        <v>37</v>
      </c>
      <c r="B7493">
        <v>0.13500000000000001</v>
      </c>
    </row>
    <row r="7494" spans="1:2" x14ac:dyDescent="0.35">
      <c r="A7494">
        <v>37</v>
      </c>
      <c r="B7494" t="s">
        <v>40</v>
      </c>
    </row>
    <row r="7495" spans="1:2" x14ac:dyDescent="0.35">
      <c r="A7495">
        <v>37</v>
      </c>
      <c r="B7495" s="4">
        <v>0</v>
      </c>
    </row>
    <row r="7496" spans="1:2" x14ac:dyDescent="0.35">
      <c r="A7496">
        <v>37</v>
      </c>
      <c r="B7496" t="s">
        <v>41</v>
      </c>
    </row>
    <row r="7497" spans="1:2" x14ac:dyDescent="0.35">
      <c r="A7497">
        <v>37</v>
      </c>
      <c r="B7497" s="4">
        <v>190000000</v>
      </c>
    </row>
    <row r="7498" spans="1:2" x14ac:dyDescent="0.35">
      <c r="A7498">
        <v>37</v>
      </c>
      <c r="B7498" t="s">
        <v>42</v>
      </c>
    </row>
    <row r="7499" spans="1:2" x14ac:dyDescent="0.35">
      <c r="A7499">
        <v>37</v>
      </c>
      <c r="B7499" t="s">
        <v>44</v>
      </c>
    </row>
    <row r="7502" spans="1:2" x14ac:dyDescent="0.35">
      <c r="A7502">
        <v>27</v>
      </c>
      <c r="B7502" t="s">
        <v>27</v>
      </c>
    </row>
    <row r="7503" spans="1:2" x14ac:dyDescent="0.35">
      <c r="A7503">
        <v>27</v>
      </c>
      <c r="B7503" s="2">
        <v>0.32308999999999999</v>
      </c>
    </row>
    <row r="7504" spans="1:2" x14ac:dyDescent="0.35">
      <c r="A7504">
        <v>27</v>
      </c>
      <c r="B7504" t="s">
        <v>1</v>
      </c>
    </row>
    <row r="7505" spans="1:2" x14ac:dyDescent="0.35">
      <c r="A7505">
        <v>27</v>
      </c>
      <c r="B7505">
        <v>0.52</v>
      </c>
    </row>
    <row r="7506" spans="1:2" x14ac:dyDescent="0.35">
      <c r="A7506">
        <v>27</v>
      </c>
      <c r="B7506" t="s">
        <v>28</v>
      </c>
    </row>
    <row r="7507" spans="1:2" x14ac:dyDescent="0.35">
      <c r="A7507">
        <v>27</v>
      </c>
      <c r="B7507">
        <v>354</v>
      </c>
    </row>
    <row r="7508" spans="1:2" x14ac:dyDescent="0.35">
      <c r="A7508">
        <v>27</v>
      </c>
      <c r="B7508" t="s">
        <v>25</v>
      </c>
    </row>
    <row r="7509" spans="1:2" x14ac:dyDescent="0.35">
      <c r="A7509">
        <v>27</v>
      </c>
      <c r="B7509" s="2">
        <v>3.0000000000000001E-3</v>
      </c>
    </row>
    <row r="7510" spans="1:2" x14ac:dyDescent="0.35">
      <c r="A7510">
        <v>27</v>
      </c>
      <c r="B7510" t="s">
        <v>29</v>
      </c>
    </row>
    <row r="7511" spans="1:2" x14ac:dyDescent="0.35">
      <c r="A7511">
        <v>27</v>
      </c>
      <c r="B7511" s="2">
        <v>-1.1000000000000001E-3</v>
      </c>
    </row>
    <row r="7512" spans="1:2" x14ac:dyDescent="0.35">
      <c r="A7512">
        <v>27</v>
      </c>
      <c r="B7512" t="s">
        <v>30</v>
      </c>
    </row>
    <row r="7513" spans="1:2" x14ac:dyDescent="0.35">
      <c r="A7513">
        <v>27</v>
      </c>
      <c r="B7513" s="2">
        <v>6.2199999999999998E-3</v>
      </c>
    </row>
    <row r="7514" spans="1:2" x14ac:dyDescent="0.35">
      <c r="A7514">
        <v>27</v>
      </c>
      <c r="B7514" t="s">
        <v>8</v>
      </c>
    </row>
    <row r="7515" spans="1:2" x14ac:dyDescent="0.35">
      <c r="A7515">
        <v>27</v>
      </c>
      <c r="B7515" s="2">
        <v>8.0000000000000002E-3</v>
      </c>
    </row>
    <row r="7516" spans="1:2" x14ac:dyDescent="0.35">
      <c r="A7516">
        <v>27</v>
      </c>
      <c r="B7516" t="s">
        <v>31</v>
      </c>
    </row>
    <row r="7517" spans="1:2" x14ac:dyDescent="0.35">
      <c r="A7517">
        <v>27</v>
      </c>
      <c r="B7517">
        <v>0.38500000000000001</v>
      </c>
    </row>
    <row r="7518" spans="1:2" x14ac:dyDescent="0.35">
      <c r="A7518">
        <v>27</v>
      </c>
      <c r="B7518" t="s">
        <v>32</v>
      </c>
    </row>
    <row r="7519" spans="1:2" x14ac:dyDescent="0.35">
      <c r="A7519">
        <v>27</v>
      </c>
      <c r="B7519" s="2">
        <v>4.0000000000000001E-3</v>
      </c>
    </row>
    <row r="7520" spans="1:2" x14ac:dyDescent="0.35">
      <c r="A7520">
        <v>27</v>
      </c>
      <c r="B7520" t="s">
        <v>33</v>
      </c>
    </row>
    <row r="7521" spans="1:2" x14ac:dyDescent="0.35">
      <c r="A7521">
        <v>27</v>
      </c>
      <c r="B7521" s="3">
        <v>0.64</v>
      </c>
    </row>
    <row r="7522" spans="1:2" x14ac:dyDescent="0.35">
      <c r="A7522">
        <v>27</v>
      </c>
      <c r="B7522" t="s">
        <v>34</v>
      </c>
    </row>
    <row r="7523" spans="1:2" x14ac:dyDescent="0.35">
      <c r="A7523">
        <v>27</v>
      </c>
      <c r="B7523" s="3">
        <v>0.36</v>
      </c>
    </row>
    <row r="7524" spans="1:2" x14ac:dyDescent="0.35">
      <c r="A7524">
        <v>27</v>
      </c>
      <c r="B7524" t="s">
        <v>26</v>
      </c>
    </row>
    <row r="7525" spans="1:2" x14ac:dyDescent="0.35">
      <c r="A7525">
        <v>27</v>
      </c>
      <c r="B7525">
        <v>2.81</v>
      </c>
    </row>
    <row r="7526" spans="1:2" x14ac:dyDescent="0.35">
      <c r="A7526">
        <v>27</v>
      </c>
      <c r="B7526" t="s">
        <v>23</v>
      </c>
    </row>
    <row r="7527" spans="1:2" x14ac:dyDescent="0.35">
      <c r="A7527">
        <v>27</v>
      </c>
      <c r="B7527">
        <v>2E-3</v>
      </c>
    </row>
    <row r="7528" spans="1:2" x14ac:dyDescent="0.35">
      <c r="A7528">
        <v>27</v>
      </c>
      <c r="B7528" t="s">
        <v>24</v>
      </c>
    </row>
    <row r="7529" spans="1:2" x14ac:dyDescent="0.35">
      <c r="A7529">
        <v>27</v>
      </c>
      <c r="B7529">
        <v>3.2000000000000001E-2</v>
      </c>
    </row>
    <row r="7530" spans="1:2" x14ac:dyDescent="0.35">
      <c r="A7530">
        <v>27</v>
      </c>
      <c r="B7530" t="s">
        <v>35</v>
      </c>
    </row>
    <row r="7531" spans="1:2" x14ac:dyDescent="0.35">
      <c r="A7531">
        <v>27</v>
      </c>
      <c r="B7531">
        <v>8.0000000000000002E-3</v>
      </c>
    </row>
    <row r="7532" spans="1:2" x14ac:dyDescent="0.35">
      <c r="A7532">
        <v>27</v>
      </c>
      <c r="B7532" t="s">
        <v>36</v>
      </c>
    </row>
    <row r="7533" spans="1:2" x14ac:dyDescent="0.35">
      <c r="A7533">
        <v>27</v>
      </c>
      <c r="B7533">
        <v>0</v>
      </c>
    </row>
    <row r="7534" spans="1:2" x14ac:dyDescent="0.35">
      <c r="A7534">
        <v>27</v>
      </c>
      <c r="B7534" t="s">
        <v>37</v>
      </c>
    </row>
    <row r="7535" spans="1:2" x14ac:dyDescent="0.35">
      <c r="A7535">
        <v>27</v>
      </c>
      <c r="B7535">
        <v>-0.91400000000000003</v>
      </c>
    </row>
    <row r="7536" spans="1:2" x14ac:dyDescent="0.35">
      <c r="A7536">
        <v>27</v>
      </c>
      <c r="B7536" t="s">
        <v>38</v>
      </c>
    </row>
    <row r="7537" spans="1:2" x14ac:dyDescent="0.35">
      <c r="A7537">
        <v>27</v>
      </c>
      <c r="B7537">
        <v>6.5000000000000002E-2</v>
      </c>
    </row>
    <row r="7538" spans="1:2" x14ac:dyDescent="0.35">
      <c r="A7538">
        <v>27</v>
      </c>
      <c r="B7538" t="s">
        <v>39</v>
      </c>
    </row>
    <row r="7539" spans="1:2" x14ac:dyDescent="0.35">
      <c r="A7539">
        <v>27</v>
      </c>
      <c r="B7539">
        <v>0.13500000000000001</v>
      </c>
    </row>
    <row r="7540" spans="1:2" x14ac:dyDescent="0.35">
      <c r="A7540">
        <v>27</v>
      </c>
      <c r="B7540" t="s">
        <v>40</v>
      </c>
    </row>
    <row r="7541" spans="1:2" x14ac:dyDescent="0.35">
      <c r="A7541">
        <v>27</v>
      </c>
      <c r="B7541" s="4">
        <v>0</v>
      </c>
    </row>
    <row r="7542" spans="1:2" x14ac:dyDescent="0.35">
      <c r="A7542">
        <v>27</v>
      </c>
      <c r="B7542" t="s">
        <v>41</v>
      </c>
    </row>
    <row r="7543" spans="1:2" x14ac:dyDescent="0.35">
      <c r="A7543">
        <v>27</v>
      </c>
      <c r="B7543" s="4">
        <v>190000000</v>
      </c>
    </row>
    <row r="7544" spans="1:2" x14ac:dyDescent="0.35">
      <c r="A7544">
        <v>27</v>
      </c>
      <c r="B7544" t="s">
        <v>42</v>
      </c>
    </row>
    <row r="7545" spans="1:2" x14ac:dyDescent="0.35">
      <c r="A7545">
        <v>27</v>
      </c>
      <c r="B7545" t="s">
        <v>44</v>
      </c>
    </row>
    <row r="7548" spans="1:2" x14ac:dyDescent="0.35">
      <c r="A7548">
        <v>26</v>
      </c>
      <c r="B7548" t="s">
        <v>27</v>
      </c>
    </row>
    <row r="7549" spans="1:2" x14ac:dyDescent="0.35">
      <c r="A7549">
        <v>26</v>
      </c>
      <c r="B7549" s="2">
        <v>0.32308999999999999</v>
      </c>
    </row>
    <row r="7550" spans="1:2" x14ac:dyDescent="0.35">
      <c r="A7550">
        <v>26</v>
      </c>
      <c r="B7550" t="s">
        <v>1</v>
      </c>
    </row>
    <row r="7551" spans="1:2" x14ac:dyDescent="0.35">
      <c r="A7551">
        <v>26</v>
      </c>
      <c r="B7551">
        <v>0.52</v>
      </c>
    </row>
    <row r="7552" spans="1:2" x14ac:dyDescent="0.35">
      <c r="A7552">
        <v>26</v>
      </c>
      <c r="B7552" t="s">
        <v>28</v>
      </c>
    </row>
    <row r="7553" spans="1:2" x14ac:dyDescent="0.35">
      <c r="A7553">
        <v>26</v>
      </c>
      <c r="B7553">
        <v>354</v>
      </c>
    </row>
    <row r="7554" spans="1:2" x14ac:dyDescent="0.35">
      <c r="A7554">
        <v>26</v>
      </c>
      <c r="B7554" t="s">
        <v>25</v>
      </c>
    </row>
    <row r="7555" spans="1:2" x14ac:dyDescent="0.35">
      <c r="A7555">
        <v>26</v>
      </c>
      <c r="B7555" s="2">
        <v>3.0000000000000001E-3</v>
      </c>
    </row>
    <row r="7556" spans="1:2" x14ac:dyDescent="0.35">
      <c r="A7556">
        <v>26</v>
      </c>
      <c r="B7556" t="s">
        <v>29</v>
      </c>
    </row>
    <row r="7557" spans="1:2" x14ac:dyDescent="0.35">
      <c r="A7557">
        <v>26</v>
      </c>
      <c r="B7557" s="2">
        <v>-1.1000000000000001E-3</v>
      </c>
    </row>
    <row r="7558" spans="1:2" x14ac:dyDescent="0.35">
      <c r="A7558">
        <v>26</v>
      </c>
      <c r="B7558" t="s">
        <v>30</v>
      </c>
    </row>
    <row r="7559" spans="1:2" x14ac:dyDescent="0.35">
      <c r="A7559">
        <v>26</v>
      </c>
      <c r="B7559" s="2">
        <v>6.2199999999999998E-3</v>
      </c>
    </row>
    <row r="7560" spans="1:2" x14ac:dyDescent="0.35">
      <c r="A7560">
        <v>26</v>
      </c>
      <c r="B7560" t="s">
        <v>8</v>
      </c>
    </row>
    <row r="7561" spans="1:2" x14ac:dyDescent="0.35">
      <c r="A7561">
        <v>26</v>
      </c>
      <c r="B7561" s="2">
        <v>8.0000000000000002E-3</v>
      </c>
    </row>
    <row r="7562" spans="1:2" x14ac:dyDescent="0.35">
      <c r="A7562">
        <v>26</v>
      </c>
      <c r="B7562" t="s">
        <v>31</v>
      </c>
    </row>
    <row r="7563" spans="1:2" x14ac:dyDescent="0.35">
      <c r="A7563">
        <v>26</v>
      </c>
      <c r="B7563">
        <v>0.38500000000000001</v>
      </c>
    </row>
    <row r="7564" spans="1:2" x14ac:dyDescent="0.35">
      <c r="A7564">
        <v>26</v>
      </c>
      <c r="B7564" t="s">
        <v>32</v>
      </c>
    </row>
    <row r="7565" spans="1:2" x14ac:dyDescent="0.35">
      <c r="A7565">
        <v>26</v>
      </c>
      <c r="B7565" s="2">
        <v>4.0000000000000001E-3</v>
      </c>
    </row>
    <row r="7566" spans="1:2" x14ac:dyDescent="0.35">
      <c r="A7566">
        <v>26</v>
      </c>
      <c r="B7566" t="s">
        <v>33</v>
      </c>
    </row>
    <row r="7567" spans="1:2" x14ac:dyDescent="0.35">
      <c r="A7567">
        <v>26</v>
      </c>
      <c r="B7567" s="3">
        <v>0.64</v>
      </c>
    </row>
    <row r="7568" spans="1:2" x14ac:dyDescent="0.35">
      <c r="A7568">
        <v>26</v>
      </c>
      <c r="B7568" t="s">
        <v>34</v>
      </c>
    </row>
    <row r="7569" spans="1:2" x14ac:dyDescent="0.35">
      <c r="A7569">
        <v>26</v>
      </c>
      <c r="B7569" s="3">
        <v>0.36</v>
      </c>
    </row>
    <row r="7570" spans="1:2" x14ac:dyDescent="0.35">
      <c r="A7570">
        <v>26</v>
      </c>
      <c r="B7570" t="s">
        <v>26</v>
      </c>
    </row>
    <row r="7571" spans="1:2" x14ac:dyDescent="0.35">
      <c r="A7571">
        <v>26</v>
      </c>
      <c r="B7571">
        <v>2.81</v>
      </c>
    </row>
    <row r="7572" spans="1:2" x14ac:dyDescent="0.35">
      <c r="A7572">
        <v>26</v>
      </c>
      <c r="B7572" t="s">
        <v>23</v>
      </c>
    </row>
    <row r="7573" spans="1:2" x14ac:dyDescent="0.35">
      <c r="A7573">
        <v>26</v>
      </c>
      <c r="B7573">
        <v>2E-3</v>
      </c>
    </row>
    <row r="7574" spans="1:2" x14ac:dyDescent="0.35">
      <c r="A7574">
        <v>26</v>
      </c>
      <c r="B7574" t="s">
        <v>24</v>
      </c>
    </row>
    <row r="7575" spans="1:2" x14ac:dyDescent="0.35">
      <c r="A7575">
        <v>26</v>
      </c>
      <c r="B7575">
        <v>3.2000000000000001E-2</v>
      </c>
    </row>
    <row r="7576" spans="1:2" x14ac:dyDescent="0.35">
      <c r="A7576">
        <v>26</v>
      </c>
      <c r="B7576" t="s">
        <v>35</v>
      </c>
    </row>
    <row r="7577" spans="1:2" x14ac:dyDescent="0.35">
      <c r="A7577">
        <v>26</v>
      </c>
      <c r="B7577">
        <v>8.0000000000000002E-3</v>
      </c>
    </row>
    <row r="7578" spans="1:2" x14ac:dyDescent="0.35">
      <c r="A7578">
        <v>26</v>
      </c>
      <c r="B7578" t="s">
        <v>36</v>
      </c>
    </row>
    <row r="7579" spans="1:2" x14ac:dyDescent="0.35">
      <c r="A7579">
        <v>26</v>
      </c>
      <c r="B7579">
        <v>0</v>
      </c>
    </row>
    <row r="7580" spans="1:2" x14ac:dyDescent="0.35">
      <c r="A7580">
        <v>26</v>
      </c>
      <c r="B7580" t="s">
        <v>37</v>
      </c>
    </row>
    <row r="7581" spans="1:2" x14ac:dyDescent="0.35">
      <c r="A7581">
        <v>26</v>
      </c>
      <c r="B7581">
        <v>-0.91400000000000003</v>
      </c>
    </row>
    <row r="7582" spans="1:2" x14ac:dyDescent="0.35">
      <c r="A7582">
        <v>26</v>
      </c>
      <c r="B7582" t="s">
        <v>38</v>
      </c>
    </row>
    <row r="7583" spans="1:2" x14ac:dyDescent="0.35">
      <c r="A7583">
        <v>26</v>
      </c>
      <c r="B7583">
        <v>6.5000000000000002E-2</v>
      </c>
    </row>
    <row r="7584" spans="1:2" x14ac:dyDescent="0.35">
      <c r="A7584">
        <v>26</v>
      </c>
      <c r="B7584" t="s">
        <v>39</v>
      </c>
    </row>
    <row r="7585" spans="1:2" x14ac:dyDescent="0.35">
      <c r="A7585">
        <v>26</v>
      </c>
      <c r="B7585">
        <v>0.13500000000000001</v>
      </c>
    </row>
    <row r="7586" spans="1:2" x14ac:dyDescent="0.35">
      <c r="A7586">
        <v>26</v>
      </c>
      <c r="B7586" t="s">
        <v>40</v>
      </c>
    </row>
    <row r="7587" spans="1:2" x14ac:dyDescent="0.35">
      <c r="A7587">
        <v>26</v>
      </c>
      <c r="B7587" s="4">
        <v>0</v>
      </c>
    </row>
    <row r="7588" spans="1:2" x14ac:dyDescent="0.35">
      <c r="A7588">
        <v>26</v>
      </c>
      <c r="B7588" t="s">
        <v>41</v>
      </c>
    </row>
    <row r="7589" spans="1:2" x14ac:dyDescent="0.35">
      <c r="A7589">
        <v>26</v>
      </c>
      <c r="B7589" s="4">
        <v>190000000</v>
      </c>
    </row>
    <row r="7590" spans="1:2" x14ac:dyDescent="0.35">
      <c r="A7590">
        <v>26</v>
      </c>
      <c r="B7590" t="s">
        <v>42</v>
      </c>
    </row>
    <row r="7591" spans="1:2" x14ac:dyDescent="0.35">
      <c r="A7591">
        <v>26</v>
      </c>
      <c r="B7591" t="s">
        <v>44</v>
      </c>
    </row>
    <row r="7594" spans="1:2" x14ac:dyDescent="0.35">
      <c r="A7594">
        <v>25</v>
      </c>
      <c r="B7594" t="s">
        <v>27</v>
      </c>
    </row>
    <row r="7595" spans="1:2" x14ac:dyDescent="0.35">
      <c r="A7595">
        <v>25</v>
      </c>
      <c r="B7595" s="2">
        <v>0.32308999999999999</v>
      </c>
    </row>
    <row r="7596" spans="1:2" x14ac:dyDescent="0.35">
      <c r="A7596">
        <v>25</v>
      </c>
      <c r="B7596" t="s">
        <v>1</v>
      </c>
    </row>
    <row r="7597" spans="1:2" x14ac:dyDescent="0.35">
      <c r="A7597">
        <v>25</v>
      </c>
      <c r="B7597">
        <v>0.52</v>
      </c>
    </row>
    <row r="7598" spans="1:2" x14ac:dyDescent="0.35">
      <c r="A7598">
        <v>25</v>
      </c>
      <c r="B7598" t="s">
        <v>28</v>
      </c>
    </row>
    <row r="7599" spans="1:2" x14ac:dyDescent="0.35">
      <c r="A7599">
        <v>25</v>
      </c>
      <c r="B7599">
        <v>354</v>
      </c>
    </row>
    <row r="7600" spans="1:2" x14ac:dyDescent="0.35">
      <c r="A7600">
        <v>25</v>
      </c>
      <c r="B7600" t="s">
        <v>25</v>
      </c>
    </row>
    <row r="7601" spans="1:2" x14ac:dyDescent="0.35">
      <c r="A7601">
        <v>25</v>
      </c>
      <c r="B7601" s="2">
        <v>3.0000000000000001E-3</v>
      </c>
    </row>
    <row r="7602" spans="1:2" x14ac:dyDescent="0.35">
      <c r="A7602">
        <v>25</v>
      </c>
      <c r="B7602" t="s">
        <v>29</v>
      </c>
    </row>
    <row r="7603" spans="1:2" x14ac:dyDescent="0.35">
      <c r="A7603">
        <v>25</v>
      </c>
      <c r="B7603" s="2">
        <v>-1.1000000000000001E-3</v>
      </c>
    </row>
    <row r="7604" spans="1:2" x14ac:dyDescent="0.35">
      <c r="A7604">
        <v>25</v>
      </c>
      <c r="B7604" t="s">
        <v>30</v>
      </c>
    </row>
    <row r="7605" spans="1:2" x14ac:dyDescent="0.35">
      <c r="A7605">
        <v>25</v>
      </c>
      <c r="B7605" s="2">
        <v>6.2199999999999998E-3</v>
      </c>
    </row>
    <row r="7606" spans="1:2" x14ac:dyDescent="0.35">
      <c r="A7606">
        <v>25</v>
      </c>
      <c r="B7606" t="s">
        <v>8</v>
      </c>
    </row>
    <row r="7607" spans="1:2" x14ac:dyDescent="0.35">
      <c r="A7607">
        <v>25</v>
      </c>
      <c r="B7607" s="2">
        <v>8.0000000000000002E-3</v>
      </c>
    </row>
    <row r="7608" spans="1:2" x14ac:dyDescent="0.35">
      <c r="A7608">
        <v>25</v>
      </c>
      <c r="B7608" t="s">
        <v>31</v>
      </c>
    </row>
    <row r="7609" spans="1:2" x14ac:dyDescent="0.35">
      <c r="A7609">
        <v>25</v>
      </c>
      <c r="B7609">
        <v>0.38500000000000001</v>
      </c>
    </row>
    <row r="7610" spans="1:2" x14ac:dyDescent="0.35">
      <c r="A7610">
        <v>25</v>
      </c>
      <c r="B7610" t="s">
        <v>32</v>
      </c>
    </row>
    <row r="7611" spans="1:2" x14ac:dyDescent="0.35">
      <c r="A7611">
        <v>25</v>
      </c>
      <c r="B7611" s="2">
        <v>4.0000000000000001E-3</v>
      </c>
    </row>
    <row r="7612" spans="1:2" x14ac:dyDescent="0.35">
      <c r="A7612">
        <v>25</v>
      </c>
      <c r="B7612" t="s">
        <v>33</v>
      </c>
    </row>
    <row r="7613" spans="1:2" x14ac:dyDescent="0.35">
      <c r="A7613">
        <v>25</v>
      </c>
      <c r="B7613" s="3">
        <v>0.64</v>
      </c>
    </row>
    <row r="7614" spans="1:2" x14ac:dyDescent="0.35">
      <c r="A7614">
        <v>25</v>
      </c>
      <c r="B7614" t="s">
        <v>34</v>
      </c>
    </row>
    <row r="7615" spans="1:2" x14ac:dyDescent="0.35">
      <c r="A7615">
        <v>25</v>
      </c>
      <c r="B7615" s="3">
        <v>0.36</v>
      </c>
    </row>
    <row r="7616" spans="1:2" x14ac:dyDescent="0.35">
      <c r="A7616">
        <v>25</v>
      </c>
      <c r="B7616" t="s">
        <v>26</v>
      </c>
    </row>
    <row r="7617" spans="1:2" x14ac:dyDescent="0.35">
      <c r="A7617">
        <v>25</v>
      </c>
      <c r="B7617">
        <v>2.81</v>
      </c>
    </row>
    <row r="7618" spans="1:2" x14ac:dyDescent="0.35">
      <c r="A7618">
        <v>25</v>
      </c>
      <c r="B7618" t="s">
        <v>23</v>
      </c>
    </row>
    <row r="7619" spans="1:2" x14ac:dyDescent="0.35">
      <c r="A7619">
        <v>25</v>
      </c>
      <c r="B7619">
        <v>2E-3</v>
      </c>
    </row>
    <row r="7620" spans="1:2" x14ac:dyDescent="0.35">
      <c r="A7620">
        <v>25</v>
      </c>
      <c r="B7620" t="s">
        <v>24</v>
      </c>
    </row>
    <row r="7621" spans="1:2" x14ac:dyDescent="0.35">
      <c r="A7621">
        <v>25</v>
      </c>
      <c r="B7621">
        <v>3.2000000000000001E-2</v>
      </c>
    </row>
    <row r="7622" spans="1:2" x14ac:dyDescent="0.35">
      <c r="A7622">
        <v>25</v>
      </c>
      <c r="B7622" t="s">
        <v>35</v>
      </c>
    </row>
    <row r="7623" spans="1:2" x14ac:dyDescent="0.35">
      <c r="A7623">
        <v>25</v>
      </c>
      <c r="B7623">
        <v>8.0000000000000002E-3</v>
      </c>
    </row>
    <row r="7624" spans="1:2" x14ac:dyDescent="0.35">
      <c r="A7624">
        <v>25</v>
      </c>
      <c r="B7624" t="s">
        <v>36</v>
      </c>
    </row>
    <row r="7625" spans="1:2" x14ac:dyDescent="0.35">
      <c r="A7625">
        <v>25</v>
      </c>
      <c r="B7625">
        <v>0</v>
      </c>
    </row>
    <row r="7626" spans="1:2" x14ac:dyDescent="0.35">
      <c r="A7626">
        <v>25</v>
      </c>
      <c r="B7626" t="s">
        <v>37</v>
      </c>
    </row>
    <row r="7627" spans="1:2" x14ac:dyDescent="0.35">
      <c r="A7627">
        <v>25</v>
      </c>
      <c r="B7627">
        <v>-0.91400000000000003</v>
      </c>
    </row>
    <row r="7628" spans="1:2" x14ac:dyDescent="0.35">
      <c r="A7628">
        <v>25</v>
      </c>
      <c r="B7628" t="s">
        <v>38</v>
      </c>
    </row>
    <row r="7629" spans="1:2" x14ac:dyDescent="0.35">
      <c r="A7629">
        <v>25</v>
      </c>
      <c r="B7629">
        <v>6.5000000000000002E-2</v>
      </c>
    </row>
    <row r="7630" spans="1:2" x14ac:dyDescent="0.35">
      <c r="A7630">
        <v>25</v>
      </c>
      <c r="B7630" t="s">
        <v>39</v>
      </c>
    </row>
    <row r="7631" spans="1:2" x14ac:dyDescent="0.35">
      <c r="A7631">
        <v>25</v>
      </c>
      <c r="B7631">
        <v>0.13500000000000001</v>
      </c>
    </row>
    <row r="7632" spans="1:2" x14ac:dyDescent="0.35">
      <c r="A7632">
        <v>25</v>
      </c>
      <c r="B7632" t="s">
        <v>40</v>
      </c>
    </row>
    <row r="7633" spans="1:2" x14ac:dyDescent="0.35">
      <c r="A7633">
        <v>25</v>
      </c>
      <c r="B7633" s="4">
        <v>0</v>
      </c>
    </row>
    <row r="7634" spans="1:2" x14ac:dyDescent="0.35">
      <c r="A7634">
        <v>25</v>
      </c>
      <c r="B7634" t="s">
        <v>41</v>
      </c>
    </row>
    <row r="7635" spans="1:2" x14ac:dyDescent="0.35">
      <c r="A7635">
        <v>25</v>
      </c>
      <c r="B7635" s="4">
        <v>190000000</v>
      </c>
    </row>
    <row r="7636" spans="1:2" x14ac:dyDescent="0.35">
      <c r="A7636">
        <v>25</v>
      </c>
      <c r="B7636" t="s">
        <v>42</v>
      </c>
    </row>
    <row r="7637" spans="1:2" x14ac:dyDescent="0.35">
      <c r="A7637">
        <v>25</v>
      </c>
      <c r="B7637" t="s">
        <v>44</v>
      </c>
    </row>
    <row r="7640" spans="1:2" x14ac:dyDescent="0.35">
      <c r="A7640">
        <v>24</v>
      </c>
      <c r="B7640" t="s">
        <v>27</v>
      </c>
    </row>
    <row r="7641" spans="1:2" x14ac:dyDescent="0.35">
      <c r="A7641">
        <v>24</v>
      </c>
      <c r="B7641" s="2">
        <v>0.32308999999999999</v>
      </c>
    </row>
    <row r="7642" spans="1:2" x14ac:dyDescent="0.35">
      <c r="A7642">
        <v>24</v>
      </c>
      <c r="B7642" t="s">
        <v>1</v>
      </c>
    </row>
    <row r="7643" spans="1:2" x14ac:dyDescent="0.35">
      <c r="A7643">
        <v>24</v>
      </c>
      <c r="B7643">
        <v>0.52</v>
      </c>
    </row>
    <row r="7644" spans="1:2" x14ac:dyDescent="0.35">
      <c r="A7644">
        <v>24</v>
      </c>
      <c r="B7644" t="s">
        <v>28</v>
      </c>
    </row>
    <row r="7645" spans="1:2" x14ac:dyDescent="0.35">
      <c r="A7645">
        <v>24</v>
      </c>
      <c r="B7645">
        <v>354</v>
      </c>
    </row>
    <row r="7646" spans="1:2" x14ac:dyDescent="0.35">
      <c r="A7646">
        <v>24</v>
      </c>
      <c r="B7646" t="s">
        <v>25</v>
      </c>
    </row>
    <row r="7647" spans="1:2" x14ac:dyDescent="0.35">
      <c r="A7647">
        <v>24</v>
      </c>
      <c r="B7647" s="2">
        <v>3.0000000000000001E-3</v>
      </c>
    </row>
    <row r="7648" spans="1:2" x14ac:dyDescent="0.35">
      <c r="A7648">
        <v>24</v>
      </c>
      <c r="B7648" t="s">
        <v>29</v>
      </c>
    </row>
    <row r="7649" spans="1:2" x14ac:dyDescent="0.35">
      <c r="A7649">
        <v>24</v>
      </c>
      <c r="B7649" s="2">
        <v>-1.1000000000000001E-3</v>
      </c>
    </row>
    <row r="7650" spans="1:2" x14ac:dyDescent="0.35">
      <c r="A7650">
        <v>24</v>
      </c>
      <c r="B7650" t="s">
        <v>30</v>
      </c>
    </row>
    <row r="7651" spans="1:2" x14ac:dyDescent="0.35">
      <c r="A7651">
        <v>24</v>
      </c>
      <c r="B7651" s="2">
        <v>6.2199999999999998E-3</v>
      </c>
    </row>
    <row r="7652" spans="1:2" x14ac:dyDescent="0.35">
      <c r="A7652">
        <v>24</v>
      </c>
      <c r="B7652" t="s">
        <v>8</v>
      </c>
    </row>
    <row r="7653" spans="1:2" x14ac:dyDescent="0.35">
      <c r="A7653">
        <v>24</v>
      </c>
      <c r="B7653" s="2">
        <v>8.0000000000000002E-3</v>
      </c>
    </row>
    <row r="7654" spans="1:2" x14ac:dyDescent="0.35">
      <c r="A7654">
        <v>24</v>
      </c>
      <c r="B7654" t="s">
        <v>31</v>
      </c>
    </row>
    <row r="7655" spans="1:2" x14ac:dyDescent="0.35">
      <c r="A7655">
        <v>24</v>
      </c>
      <c r="B7655">
        <v>0.38500000000000001</v>
      </c>
    </row>
    <row r="7656" spans="1:2" x14ac:dyDescent="0.35">
      <c r="A7656">
        <v>24</v>
      </c>
      <c r="B7656" t="s">
        <v>32</v>
      </c>
    </row>
    <row r="7657" spans="1:2" x14ac:dyDescent="0.35">
      <c r="A7657">
        <v>24</v>
      </c>
      <c r="B7657" s="2">
        <v>4.0000000000000001E-3</v>
      </c>
    </row>
    <row r="7658" spans="1:2" x14ac:dyDescent="0.35">
      <c r="A7658">
        <v>24</v>
      </c>
      <c r="B7658" t="s">
        <v>33</v>
      </c>
    </row>
    <row r="7659" spans="1:2" x14ac:dyDescent="0.35">
      <c r="A7659">
        <v>24</v>
      </c>
      <c r="B7659" s="3">
        <v>0.64</v>
      </c>
    </row>
    <row r="7660" spans="1:2" x14ac:dyDescent="0.35">
      <c r="A7660">
        <v>24</v>
      </c>
      <c r="B7660" t="s">
        <v>34</v>
      </c>
    </row>
    <row r="7661" spans="1:2" x14ac:dyDescent="0.35">
      <c r="A7661">
        <v>24</v>
      </c>
      <c r="B7661" s="3">
        <v>0.36</v>
      </c>
    </row>
    <row r="7662" spans="1:2" x14ac:dyDescent="0.35">
      <c r="A7662">
        <v>24</v>
      </c>
      <c r="B7662" t="s">
        <v>26</v>
      </c>
    </row>
    <row r="7663" spans="1:2" x14ac:dyDescent="0.35">
      <c r="A7663">
        <v>24</v>
      </c>
      <c r="B7663">
        <v>2.81</v>
      </c>
    </row>
    <row r="7664" spans="1:2" x14ac:dyDescent="0.35">
      <c r="A7664">
        <v>24</v>
      </c>
      <c r="B7664" t="s">
        <v>23</v>
      </c>
    </row>
    <row r="7665" spans="1:2" x14ac:dyDescent="0.35">
      <c r="A7665">
        <v>24</v>
      </c>
      <c r="B7665">
        <v>2E-3</v>
      </c>
    </row>
    <row r="7666" spans="1:2" x14ac:dyDescent="0.35">
      <c r="A7666">
        <v>24</v>
      </c>
      <c r="B7666" t="s">
        <v>24</v>
      </c>
    </row>
    <row r="7667" spans="1:2" x14ac:dyDescent="0.35">
      <c r="A7667">
        <v>24</v>
      </c>
      <c r="B7667">
        <v>3.2000000000000001E-2</v>
      </c>
    </row>
    <row r="7668" spans="1:2" x14ac:dyDescent="0.35">
      <c r="A7668">
        <v>24</v>
      </c>
      <c r="B7668" t="s">
        <v>35</v>
      </c>
    </row>
    <row r="7669" spans="1:2" x14ac:dyDescent="0.35">
      <c r="A7669">
        <v>24</v>
      </c>
      <c r="B7669">
        <v>8.0000000000000002E-3</v>
      </c>
    </row>
    <row r="7670" spans="1:2" x14ac:dyDescent="0.35">
      <c r="A7670">
        <v>24</v>
      </c>
      <c r="B7670" t="s">
        <v>36</v>
      </c>
    </row>
    <row r="7671" spans="1:2" x14ac:dyDescent="0.35">
      <c r="A7671">
        <v>24</v>
      </c>
      <c r="B7671">
        <v>0</v>
      </c>
    </row>
    <row r="7672" spans="1:2" x14ac:dyDescent="0.35">
      <c r="A7672">
        <v>24</v>
      </c>
      <c r="B7672" t="s">
        <v>37</v>
      </c>
    </row>
    <row r="7673" spans="1:2" x14ac:dyDescent="0.35">
      <c r="A7673">
        <v>24</v>
      </c>
      <c r="B7673">
        <v>-0.91400000000000003</v>
      </c>
    </row>
    <row r="7674" spans="1:2" x14ac:dyDescent="0.35">
      <c r="A7674">
        <v>24</v>
      </c>
      <c r="B7674" t="s">
        <v>38</v>
      </c>
    </row>
    <row r="7675" spans="1:2" x14ac:dyDescent="0.35">
      <c r="A7675">
        <v>24</v>
      </c>
      <c r="B7675">
        <v>6.5000000000000002E-2</v>
      </c>
    </row>
    <row r="7676" spans="1:2" x14ac:dyDescent="0.35">
      <c r="A7676">
        <v>24</v>
      </c>
      <c r="B7676" t="s">
        <v>39</v>
      </c>
    </row>
    <row r="7677" spans="1:2" x14ac:dyDescent="0.35">
      <c r="A7677">
        <v>24</v>
      </c>
      <c r="B7677">
        <v>0.13500000000000001</v>
      </c>
    </row>
    <row r="7678" spans="1:2" x14ac:dyDescent="0.35">
      <c r="A7678">
        <v>24</v>
      </c>
      <c r="B7678" t="s">
        <v>40</v>
      </c>
    </row>
    <row r="7679" spans="1:2" x14ac:dyDescent="0.35">
      <c r="A7679">
        <v>24</v>
      </c>
      <c r="B7679" s="4">
        <v>0</v>
      </c>
    </row>
    <row r="7680" spans="1:2" x14ac:dyDescent="0.35">
      <c r="A7680">
        <v>24</v>
      </c>
      <c r="B7680" t="s">
        <v>41</v>
      </c>
    </row>
    <row r="7681" spans="1:2" x14ac:dyDescent="0.35">
      <c r="A7681">
        <v>24</v>
      </c>
      <c r="B7681" s="4">
        <v>190000000</v>
      </c>
    </row>
    <row r="7682" spans="1:2" x14ac:dyDescent="0.35">
      <c r="A7682">
        <v>24</v>
      </c>
      <c r="B7682" t="s">
        <v>42</v>
      </c>
    </row>
    <row r="7683" spans="1:2" x14ac:dyDescent="0.35">
      <c r="A7683">
        <v>24</v>
      </c>
      <c r="B7683" t="s">
        <v>44</v>
      </c>
    </row>
    <row r="7684" spans="1:2" x14ac:dyDescent="0.35">
      <c r="A7684">
        <v>23</v>
      </c>
      <c r="B7684" t="s">
        <v>27</v>
      </c>
    </row>
    <row r="7685" spans="1:2" x14ac:dyDescent="0.35">
      <c r="A7685">
        <v>23</v>
      </c>
      <c r="B7685" s="2">
        <v>0.32308999999999999</v>
      </c>
    </row>
    <row r="7686" spans="1:2" x14ac:dyDescent="0.35">
      <c r="A7686">
        <v>23</v>
      </c>
      <c r="B7686" t="s">
        <v>1</v>
      </c>
    </row>
    <row r="7687" spans="1:2" x14ac:dyDescent="0.35">
      <c r="A7687">
        <v>23</v>
      </c>
      <c r="B7687">
        <v>0.52</v>
      </c>
    </row>
    <row r="7688" spans="1:2" x14ac:dyDescent="0.35">
      <c r="A7688">
        <v>23</v>
      </c>
      <c r="B7688" t="s">
        <v>28</v>
      </c>
    </row>
    <row r="7689" spans="1:2" x14ac:dyDescent="0.35">
      <c r="A7689">
        <v>23</v>
      </c>
      <c r="B7689">
        <v>354</v>
      </c>
    </row>
    <row r="7690" spans="1:2" x14ac:dyDescent="0.35">
      <c r="A7690">
        <v>23</v>
      </c>
      <c r="B7690" t="s">
        <v>25</v>
      </c>
    </row>
    <row r="7691" spans="1:2" x14ac:dyDescent="0.35">
      <c r="A7691">
        <v>23</v>
      </c>
      <c r="B7691" s="2">
        <v>3.0000000000000001E-3</v>
      </c>
    </row>
    <row r="7692" spans="1:2" x14ac:dyDescent="0.35">
      <c r="A7692">
        <v>23</v>
      </c>
      <c r="B7692" t="s">
        <v>29</v>
      </c>
    </row>
    <row r="7693" spans="1:2" x14ac:dyDescent="0.35">
      <c r="A7693">
        <v>23</v>
      </c>
      <c r="B7693" s="2">
        <v>-1.1000000000000001E-3</v>
      </c>
    </row>
    <row r="7694" spans="1:2" x14ac:dyDescent="0.35">
      <c r="A7694">
        <v>23</v>
      </c>
      <c r="B7694" t="s">
        <v>30</v>
      </c>
    </row>
    <row r="7695" spans="1:2" x14ac:dyDescent="0.35">
      <c r="A7695">
        <v>23</v>
      </c>
      <c r="B7695" s="2">
        <v>6.2199999999999998E-3</v>
      </c>
    </row>
    <row r="7696" spans="1:2" x14ac:dyDescent="0.35">
      <c r="A7696">
        <v>23</v>
      </c>
      <c r="B7696" t="s">
        <v>8</v>
      </c>
    </row>
    <row r="7697" spans="1:2" x14ac:dyDescent="0.35">
      <c r="A7697">
        <v>23</v>
      </c>
      <c r="B7697" s="2">
        <v>8.0000000000000002E-3</v>
      </c>
    </row>
    <row r="7698" spans="1:2" x14ac:dyDescent="0.35">
      <c r="A7698">
        <v>23</v>
      </c>
      <c r="B7698" t="s">
        <v>31</v>
      </c>
    </row>
    <row r="7699" spans="1:2" x14ac:dyDescent="0.35">
      <c r="A7699">
        <v>23</v>
      </c>
      <c r="B7699">
        <v>0.38500000000000001</v>
      </c>
    </row>
    <row r="7700" spans="1:2" x14ac:dyDescent="0.35">
      <c r="A7700">
        <v>23</v>
      </c>
      <c r="B7700" t="s">
        <v>32</v>
      </c>
    </row>
    <row r="7701" spans="1:2" x14ac:dyDescent="0.35">
      <c r="A7701">
        <v>23</v>
      </c>
      <c r="B7701" s="2">
        <v>4.0000000000000001E-3</v>
      </c>
    </row>
    <row r="7702" spans="1:2" x14ac:dyDescent="0.35">
      <c r="A7702">
        <v>23</v>
      </c>
      <c r="B7702" t="s">
        <v>33</v>
      </c>
    </row>
    <row r="7703" spans="1:2" x14ac:dyDescent="0.35">
      <c r="A7703">
        <v>23</v>
      </c>
      <c r="B7703" s="3">
        <v>0.64</v>
      </c>
    </row>
    <row r="7704" spans="1:2" x14ac:dyDescent="0.35">
      <c r="A7704">
        <v>23</v>
      </c>
      <c r="B7704" t="s">
        <v>34</v>
      </c>
    </row>
    <row r="7705" spans="1:2" x14ac:dyDescent="0.35">
      <c r="A7705">
        <v>23</v>
      </c>
      <c r="B7705" s="3">
        <v>0.36</v>
      </c>
    </row>
    <row r="7706" spans="1:2" x14ac:dyDescent="0.35">
      <c r="A7706">
        <v>23</v>
      </c>
      <c r="B7706" t="s">
        <v>26</v>
      </c>
    </row>
    <row r="7707" spans="1:2" x14ac:dyDescent="0.35">
      <c r="A7707">
        <v>23</v>
      </c>
      <c r="B7707">
        <v>2.81</v>
      </c>
    </row>
    <row r="7708" spans="1:2" x14ac:dyDescent="0.35">
      <c r="A7708">
        <v>23</v>
      </c>
      <c r="B7708" t="s">
        <v>23</v>
      </c>
    </row>
    <row r="7709" spans="1:2" x14ac:dyDescent="0.35">
      <c r="A7709">
        <v>23</v>
      </c>
      <c r="B7709">
        <v>2E-3</v>
      </c>
    </row>
    <row r="7710" spans="1:2" x14ac:dyDescent="0.35">
      <c r="A7710">
        <v>23</v>
      </c>
      <c r="B7710" t="s">
        <v>24</v>
      </c>
    </row>
    <row r="7711" spans="1:2" x14ac:dyDescent="0.35">
      <c r="A7711">
        <v>23</v>
      </c>
      <c r="B7711">
        <v>3.2000000000000001E-2</v>
      </c>
    </row>
    <row r="7712" spans="1:2" x14ac:dyDescent="0.35">
      <c r="A7712">
        <v>23</v>
      </c>
      <c r="B7712" t="s">
        <v>35</v>
      </c>
    </row>
    <row r="7713" spans="1:2" x14ac:dyDescent="0.35">
      <c r="A7713">
        <v>23</v>
      </c>
      <c r="B7713">
        <v>8.0000000000000002E-3</v>
      </c>
    </row>
    <row r="7714" spans="1:2" x14ac:dyDescent="0.35">
      <c r="A7714">
        <v>23</v>
      </c>
      <c r="B7714" t="s">
        <v>36</v>
      </c>
    </row>
    <row r="7715" spans="1:2" x14ac:dyDescent="0.35">
      <c r="A7715">
        <v>23</v>
      </c>
      <c r="B7715">
        <v>0</v>
      </c>
    </row>
    <row r="7716" spans="1:2" x14ac:dyDescent="0.35">
      <c r="A7716">
        <v>23</v>
      </c>
      <c r="B7716" t="s">
        <v>37</v>
      </c>
    </row>
    <row r="7717" spans="1:2" x14ac:dyDescent="0.35">
      <c r="A7717">
        <v>23</v>
      </c>
      <c r="B7717">
        <v>-0.91400000000000003</v>
      </c>
    </row>
    <row r="7718" spans="1:2" x14ac:dyDescent="0.35">
      <c r="A7718">
        <v>23</v>
      </c>
      <c r="B7718" t="s">
        <v>38</v>
      </c>
    </row>
    <row r="7719" spans="1:2" x14ac:dyDescent="0.35">
      <c r="A7719">
        <v>23</v>
      </c>
      <c r="B7719">
        <v>6.5000000000000002E-2</v>
      </c>
    </row>
    <row r="7720" spans="1:2" x14ac:dyDescent="0.35">
      <c r="A7720">
        <v>23</v>
      </c>
      <c r="B7720" t="s">
        <v>39</v>
      </c>
    </row>
    <row r="7721" spans="1:2" x14ac:dyDescent="0.35">
      <c r="A7721">
        <v>23</v>
      </c>
      <c r="B7721">
        <v>0.13500000000000001</v>
      </c>
    </row>
    <row r="7722" spans="1:2" x14ac:dyDescent="0.35">
      <c r="A7722">
        <v>23</v>
      </c>
      <c r="B7722" t="s">
        <v>40</v>
      </c>
    </row>
    <row r="7723" spans="1:2" x14ac:dyDescent="0.35">
      <c r="A7723">
        <v>23</v>
      </c>
      <c r="B7723" s="4">
        <v>0</v>
      </c>
    </row>
    <row r="7724" spans="1:2" x14ac:dyDescent="0.35">
      <c r="A7724">
        <v>23</v>
      </c>
      <c r="B7724" t="s">
        <v>41</v>
      </c>
    </row>
    <row r="7725" spans="1:2" x14ac:dyDescent="0.35">
      <c r="A7725">
        <v>23</v>
      </c>
      <c r="B7725" s="4">
        <v>190000000</v>
      </c>
    </row>
    <row r="7726" spans="1:2" x14ac:dyDescent="0.35">
      <c r="A7726">
        <v>23</v>
      </c>
      <c r="B7726" t="s">
        <v>42</v>
      </c>
    </row>
    <row r="7727" spans="1:2" x14ac:dyDescent="0.35">
      <c r="A7727">
        <v>23</v>
      </c>
      <c r="B7727" t="s">
        <v>44</v>
      </c>
    </row>
    <row r="7728" spans="1:2" x14ac:dyDescent="0.35">
      <c r="A7728">
        <v>22</v>
      </c>
      <c r="B7728" t="s">
        <v>27</v>
      </c>
    </row>
    <row r="7729" spans="1:2" x14ac:dyDescent="0.35">
      <c r="A7729">
        <v>22</v>
      </c>
      <c r="B7729" s="2">
        <v>0.32308999999999999</v>
      </c>
    </row>
    <row r="7730" spans="1:2" x14ac:dyDescent="0.35">
      <c r="A7730">
        <v>22</v>
      </c>
      <c r="B7730" t="s">
        <v>1</v>
      </c>
    </row>
    <row r="7731" spans="1:2" x14ac:dyDescent="0.35">
      <c r="A7731">
        <v>22</v>
      </c>
      <c r="B7731">
        <v>0.52</v>
      </c>
    </row>
    <row r="7732" spans="1:2" x14ac:dyDescent="0.35">
      <c r="A7732">
        <v>22</v>
      </c>
      <c r="B7732" t="s">
        <v>28</v>
      </c>
    </row>
    <row r="7733" spans="1:2" x14ac:dyDescent="0.35">
      <c r="A7733">
        <v>22</v>
      </c>
      <c r="B7733">
        <v>354</v>
      </c>
    </row>
    <row r="7734" spans="1:2" x14ac:dyDescent="0.35">
      <c r="A7734">
        <v>22</v>
      </c>
      <c r="B7734" t="s">
        <v>25</v>
      </c>
    </row>
    <row r="7735" spans="1:2" x14ac:dyDescent="0.35">
      <c r="A7735">
        <v>22</v>
      </c>
      <c r="B7735" s="2">
        <v>3.0000000000000001E-3</v>
      </c>
    </row>
    <row r="7736" spans="1:2" x14ac:dyDescent="0.35">
      <c r="A7736">
        <v>22</v>
      </c>
      <c r="B7736" t="s">
        <v>29</v>
      </c>
    </row>
    <row r="7737" spans="1:2" x14ac:dyDescent="0.35">
      <c r="A7737">
        <v>22</v>
      </c>
      <c r="B7737" s="2">
        <v>-1.1000000000000001E-3</v>
      </c>
    </row>
    <row r="7738" spans="1:2" x14ac:dyDescent="0.35">
      <c r="A7738">
        <v>22</v>
      </c>
      <c r="B7738" t="s">
        <v>30</v>
      </c>
    </row>
    <row r="7739" spans="1:2" x14ac:dyDescent="0.35">
      <c r="A7739">
        <v>22</v>
      </c>
      <c r="B7739" s="2">
        <v>6.2199999999999998E-3</v>
      </c>
    </row>
    <row r="7740" spans="1:2" x14ac:dyDescent="0.35">
      <c r="A7740">
        <v>22</v>
      </c>
      <c r="B7740" t="s">
        <v>8</v>
      </c>
    </row>
    <row r="7741" spans="1:2" x14ac:dyDescent="0.35">
      <c r="A7741">
        <v>22</v>
      </c>
      <c r="B7741" s="2">
        <v>8.0000000000000002E-3</v>
      </c>
    </row>
    <row r="7742" spans="1:2" x14ac:dyDescent="0.35">
      <c r="A7742">
        <v>22</v>
      </c>
      <c r="B7742" t="s">
        <v>31</v>
      </c>
    </row>
    <row r="7743" spans="1:2" x14ac:dyDescent="0.35">
      <c r="A7743">
        <v>22</v>
      </c>
      <c r="B7743">
        <v>0.38500000000000001</v>
      </c>
    </row>
    <row r="7744" spans="1:2" x14ac:dyDescent="0.35">
      <c r="A7744">
        <v>22</v>
      </c>
      <c r="B7744" t="s">
        <v>32</v>
      </c>
    </row>
    <row r="7745" spans="1:2" x14ac:dyDescent="0.35">
      <c r="A7745">
        <v>22</v>
      </c>
      <c r="B7745" s="2">
        <v>4.0000000000000001E-3</v>
      </c>
    </row>
    <row r="7746" spans="1:2" x14ac:dyDescent="0.35">
      <c r="A7746">
        <v>22</v>
      </c>
      <c r="B7746" t="s">
        <v>33</v>
      </c>
    </row>
    <row r="7747" spans="1:2" x14ac:dyDescent="0.35">
      <c r="A7747">
        <v>22</v>
      </c>
      <c r="B7747" s="3">
        <v>0.64</v>
      </c>
    </row>
    <row r="7748" spans="1:2" x14ac:dyDescent="0.35">
      <c r="A7748">
        <v>22</v>
      </c>
      <c r="B7748" t="s">
        <v>34</v>
      </c>
    </row>
    <row r="7749" spans="1:2" x14ac:dyDescent="0.35">
      <c r="A7749">
        <v>22</v>
      </c>
      <c r="B7749" s="3">
        <v>0.36</v>
      </c>
    </row>
    <row r="7750" spans="1:2" x14ac:dyDescent="0.35">
      <c r="A7750">
        <v>22</v>
      </c>
      <c r="B7750" t="s">
        <v>26</v>
      </c>
    </row>
    <row r="7751" spans="1:2" x14ac:dyDescent="0.35">
      <c r="A7751">
        <v>22</v>
      </c>
      <c r="B7751">
        <v>2.81</v>
      </c>
    </row>
    <row r="7752" spans="1:2" x14ac:dyDescent="0.35">
      <c r="A7752">
        <v>22</v>
      </c>
      <c r="B7752" t="s">
        <v>23</v>
      </c>
    </row>
    <row r="7753" spans="1:2" x14ac:dyDescent="0.35">
      <c r="A7753">
        <v>22</v>
      </c>
      <c r="B7753">
        <v>2E-3</v>
      </c>
    </row>
    <row r="7754" spans="1:2" x14ac:dyDescent="0.35">
      <c r="A7754">
        <v>22</v>
      </c>
      <c r="B7754" t="s">
        <v>24</v>
      </c>
    </row>
    <row r="7755" spans="1:2" x14ac:dyDescent="0.35">
      <c r="A7755">
        <v>22</v>
      </c>
      <c r="B7755">
        <v>3.2000000000000001E-2</v>
      </c>
    </row>
    <row r="7756" spans="1:2" x14ac:dyDescent="0.35">
      <c r="A7756">
        <v>22</v>
      </c>
      <c r="B7756" t="s">
        <v>35</v>
      </c>
    </row>
    <row r="7757" spans="1:2" x14ac:dyDescent="0.35">
      <c r="A7757">
        <v>22</v>
      </c>
      <c r="B7757">
        <v>8.0000000000000002E-3</v>
      </c>
    </row>
    <row r="7758" spans="1:2" x14ac:dyDescent="0.35">
      <c r="A7758">
        <v>22</v>
      </c>
      <c r="B7758" t="s">
        <v>36</v>
      </c>
    </row>
    <row r="7759" spans="1:2" x14ac:dyDescent="0.35">
      <c r="A7759">
        <v>22</v>
      </c>
      <c r="B7759">
        <v>0</v>
      </c>
    </row>
    <row r="7760" spans="1:2" x14ac:dyDescent="0.35">
      <c r="A7760">
        <v>22</v>
      </c>
      <c r="B7760" t="s">
        <v>37</v>
      </c>
    </row>
    <row r="7761" spans="1:2" x14ac:dyDescent="0.35">
      <c r="A7761">
        <v>22</v>
      </c>
      <c r="B7761">
        <v>-0.91400000000000003</v>
      </c>
    </row>
    <row r="7762" spans="1:2" x14ac:dyDescent="0.35">
      <c r="A7762">
        <v>22</v>
      </c>
      <c r="B7762" t="s">
        <v>38</v>
      </c>
    </row>
    <row r="7763" spans="1:2" x14ac:dyDescent="0.35">
      <c r="A7763">
        <v>22</v>
      </c>
      <c r="B7763">
        <v>6.5000000000000002E-2</v>
      </c>
    </row>
    <row r="7764" spans="1:2" x14ac:dyDescent="0.35">
      <c r="A7764">
        <v>22</v>
      </c>
      <c r="B7764" t="s">
        <v>39</v>
      </c>
    </row>
    <row r="7765" spans="1:2" x14ac:dyDescent="0.35">
      <c r="A7765">
        <v>22</v>
      </c>
      <c r="B7765">
        <v>0.13500000000000001</v>
      </c>
    </row>
    <row r="7766" spans="1:2" x14ac:dyDescent="0.35">
      <c r="A7766">
        <v>22</v>
      </c>
      <c r="B7766" t="s">
        <v>40</v>
      </c>
    </row>
    <row r="7767" spans="1:2" x14ac:dyDescent="0.35">
      <c r="A7767">
        <v>22</v>
      </c>
      <c r="B7767" s="4">
        <v>0</v>
      </c>
    </row>
    <row r="7768" spans="1:2" x14ac:dyDescent="0.35">
      <c r="A7768">
        <v>22</v>
      </c>
      <c r="B7768" t="s">
        <v>41</v>
      </c>
    </row>
    <row r="7769" spans="1:2" x14ac:dyDescent="0.35">
      <c r="A7769">
        <v>22</v>
      </c>
      <c r="B7769" s="4">
        <v>190000000</v>
      </c>
    </row>
    <row r="7770" spans="1:2" x14ac:dyDescent="0.35">
      <c r="A7770">
        <v>22</v>
      </c>
      <c r="B7770" t="s">
        <v>42</v>
      </c>
    </row>
    <row r="7771" spans="1:2" x14ac:dyDescent="0.35">
      <c r="A7771">
        <v>22</v>
      </c>
      <c r="B7771" t="s">
        <v>44</v>
      </c>
    </row>
    <row r="7772" spans="1:2" x14ac:dyDescent="0.35">
      <c r="A7772">
        <v>19</v>
      </c>
      <c r="B7772" t="s">
        <v>27</v>
      </c>
    </row>
    <row r="7773" spans="1:2" x14ac:dyDescent="0.35">
      <c r="A7773">
        <v>19</v>
      </c>
      <c r="B7773" s="2">
        <v>0.32308999999999999</v>
      </c>
    </row>
    <row r="7774" spans="1:2" x14ac:dyDescent="0.35">
      <c r="A7774">
        <v>19</v>
      </c>
      <c r="B7774" t="s">
        <v>1</v>
      </c>
    </row>
    <row r="7775" spans="1:2" x14ac:dyDescent="0.35">
      <c r="A7775">
        <v>19</v>
      </c>
      <c r="B7775">
        <v>0.52</v>
      </c>
    </row>
    <row r="7776" spans="1:2" x14ac:dyDescent="0.35">
      <c r="A7776">
        <v>19</v>
      </c>
      <c r="B7776" t="s">
        <v>28</v>
      </c>
    </row>
    <row r="7777" spans="1:2" x14ac:dyDescent="0.35">
      <c r="A7777">
        <v>19</v>
      </c>
      <c r="B7777">
        <v>354</v>
      </c>
    </row>
    <row r="7778" spans="1:2" x14ac:dyDescent="0.35">
      <c r="A7778">
        <v>19</v>
      </c>
      <c r="B7778" t="s">
        <v>25</v>
      </c>
    </row>
    <row r="7779" spans="1:2" x14ac:dyDescent="0.35">
      <c r="A7779">
        <v>19</v>
      </c>
      <c r="B7779" s="2">
        <v>3.0000000000000001E-3</v>
      </c>
    </row>
    <row r="7780" spans="1:2" x14ac:dyDescent="0.35">
      <c r="A7780">
        <v>19</v>
      </c>
      <c r="B7780" t="s">
        <v>29</v>
      </c>
    </row>
    <row r="7781" spans="1:2" x14ac:dyDescent="0.35">
      <c r="A7781">
        <v>19</v>
      </c>
      <c r="B7781" s="2">
        <v>-1.1000000000000001E-3</v>
      </c>
    </row>
    <row r="7782" spans="1:2" x14ac:dyDescent="0.35">
      <c r="A7782">
        <v>19</v>
      </c>
      <c r="B7782" t="s">
        <v>30</v>
      </c>
    </row>
    <row r="7783" spans="1:2" x14ac:dyDescent="0.35">
      <c r="A7783">
        <v>19</v>
      </c>
      <c r="B7783" s="2">
        <v>6.2199999999999998E-3</v>
      </c>
    </row>
    <row r="7784" spans="1:2" x14ac:dyDescent="0.35">
      <c r="A7784">
        <v>19</v>
      </c>
      <c r="B7784" t="s">
        <v>8</v>
      </c>
    </row>
    <row r="7785" spans="1:2" x14ac:dyDescent="0.35">
      <c r="A7785">
        <v>19</v>
      </c>
      <c r="B7785" s="2">
        <v>8.0000000000000002E-3</v>
      </c>
    </row>
    <row r="7786" spans="1:2" x14ac:dyDescent="0.35">
      <c r="A7786">
        <v>19</v>
      </c>
      <c r="B7786" t="s">
        <v>31</v>
      </c>
    </row>
    <row r="7787" spans="1:2" x14ac:dyDescent="0.35">
      <c r="A7787">
        <v>19</v>
      </c>
      <c r="B7787">
        <v>0.38500000000000001</v>
      </c>
    </row>
    <row r="7788" spans="1:2" x14ac:dyDescent="0.35">
      <c r="A7788">
        <v>19</v>
      </c>
      <c r="B7788" t="s">
        <v>32</v>
      </c>
    </row>
    <row r="7789" spans="1:2" x14ac:dyDescent="0.35">
      <c r="A7789">
        <v>19</v>
      </c>
      <c r="B7789" s="2">
        <v>4.0000000000000001E-3</v>
      </c>
    </row>
    <row r="7790" spans="1:2" x14ac:dyDescent="0.35">
      <c r="A7790">
        <v>19</v>
      </c>
      <c r="B7790" t="s">
        <v>33</v>
      </c>
    </row>
    <row r="7791" spans="1:2" x14ac:dyDescent="0.35">
      <c r="A7791">
        <v>19</v>
      </c>
      <c r="B7791" s="3">
        <v>0.64</v>
      </c>
    </row>
    <row r="7792" spans="1:2" x14ac:dyDescent="0.35">
      <c r="A7792">
        <v>19</v>
      </c>
      <c r="B7792" t="s">
        <v>34</v>
      </c>
    </row>
    <row r="7793" spans="1:2" x14ac:dyDescent="0.35">
      <c r="A7793">
        <v>19</v>
      </c>
      <c r="B7793" s="3">
        <v>0.36</v>
      </c>
    </row>
    <row r="7794" spans="1:2" x14ac:dyDescent="0.35">
      <c r="A7794">
        <v>19</v>
      </c>
      <c r="B7794" t="s">
        <v>26</v>
      </c>
    </row>
    <row r="7795" spans="1:2" x14ac:dyDescent="0.35">
      <c r="A7795">
        <v>19</v>
      </c>
      <c r="B7795">
        <v>2.81</v>
      </c>
    </row>
    <row r="7796" spans="1:2" x14ac:dyDescent="0.35">
      <c r="A7796">
        <v>19</v>
      </c>
      <c r="B7796" t="s">
        <v>23</v>
      </c>
    </row>
    <row r="7797" spans="1:2" x14ac:dyDescent="0.35">
      <c r="A7797">
        <v>19</v>
      </c>
      <c r="B7797">
        <v>2E-3</v>
      </c>
    </row>
    <row r="7798" spans="1:2" x14ac:dyDescent="0.35">
      <c r="A7798">
        <v>19</v>
      </c>
      <c r="B7798" t="s">
        <v>24</v>
      </c>
    </row>
    <row r="7799" spans="1:2" x14ac:dyDescent="0.35">
      <c r="A7799">
        <v>19</v>
      </c>
      <c r="B7799">
        <v>3.2000000000000001E-2</v>
      </c>
    </row>
    <row r="7800" spans="1:2" x14ac:dyDescent="0.35">
      <c r="A7800">
        <v>19</v>
      </c>
      <c r="B7800" t="s">
        <v>35</v>
      </c>
    </row>
    <row r="7801" spans="1:2" x14ac:dyDescent="0.35">
      <c r="A7801">
        <v>19</v>
      </c>
      <c r="B7801">
        <v>8.0000000000000002E-3</v>
      </c>
    </row>
    <row r="7802" spans="1:2" x14ac:dyDescent="0.35">
      <c r="A7802">
        <v>19</v>
      </c>
      <c r="B7802" t="s">
        <v>36</v>
      </c>
    </row>
    <row r="7803" spans="1:2" x14ac:dyDescent="0.35">
      <c r="A7803">
        <v>19</v>
      </c>
      <c r="B7803">
        <v>0</v>
      </c>
    </row>
    <row r="7804" spans="1:2" x14ac:dyDescent="0.35">
      <c r="A7804">
        <v>19</v>
      </c>
      <c r="B7804" t="s">
        <v>37</v>
      </c>
    </row>
    <row r="7805" spans="1:2" x14ac:dyDescent="0.35">
      <c r="A7805">
        <v>19</v>
      </c>
      <c r="B7805">
        <v>-0.91400000000000003</v>
      </c>
    </row>
    <row r="7806" spans="1:2" x14ac:dyDescent="0.35">
      <c r="A7806">
        <v>19</v>
      </c>
      <c r="B7806" t="s">
        <v>38</v>
      </c>
    </row>
    <row r="7807" spans="1:2" x14ac:dyDescent="0.35">
      <c r="A7807">
        <v>19</v>
      </c>
      <c r="B7807">
        <v>6.5000000000000002E-2</v>
      </c>
    </row>
    <row r="7808" spans="1:2" x14ac:dyDescent="0.35">
      <c r="A7808">
        <v>19</v>
      </c>
      <c r="B7808" t="s">
        <v>39</v>
      </c>
    </row>
    <row r="7809" spans="1:2" x14ac:dyDescent="0.35">
      <c r="A7809">
        <v>19</v>
      </c>
      <c r="B7809">
        <v>0.13500000000000001</v>
      </c>
    </row>
    <row r="7810" spans="1:2" x14ac:dyDescent="0.35">
      <c r="A7810">
        <v>19</v>
      </c>
      <c r="B7810" t="s">
        <v>40</v>
      </c>
    </row>
    <row r="7811" spans="1:2" x14ac:dyDescent="0.35">
      <c r="A7811">
        <v>19</v>
      </c>
      <c r="B7811" s="4">
        <v>0</v>
      </c>
    </row>
    <row r="7812" spans="1:2" x14ac:dyDescent="0.35">
      <c r="A7812">
        <v>19</v>
      </c>
      <c r="B7812" t="s">
        <v>41</v>
      </c>
    </row>
    <row r="7813" spans="1:2" x14ac:dyDescent="0.35">
      <c r="A7813">
        <v>19</v>
      </c>
      <c r="B7813" s="4">
        <v>190000000</v>
      </c>
    </row>
    <row r="7814" spans="1:2" x14ac:dyDescent="0.35">
      <c r="A7814">
        <v>19</v>
      </c>
      <c r="B7814" t="s">
        <v>42</v>
      </c>
    </row>
    <row r="7815" spans="1:2" x14ac:dyDescent="0.35">
      <c r="A7815">
        <v>19</v>
      </c>
      <c r="B7815" t="s">
        <v>44</v>
      </c>
    </row>
    <row r="7819" spans="1:2" x14ac:dyDescent="0.35">
      <c r="B7819" s="2"/>
    </row>
    <row r="7825" spans="2:2" x14ac:dyDescent="0.35">
      <c r="B7825" s="2"/>
    </row>
    <row r="7827" spans="2:2" x14ac:dyDescent="0.35">
      <c r="B7827" s="2"/>
    </row>
    <row r="7829" spans="2:2" x14ac:dyDescent="0.35">
      <c r="B7829" s="2"/>
    </row>
    <row r="7831" spans="2:2" x14ac:dyDescent="0.35">
      <c r="B7831" s="2"/>
    </row>
    <row r="7835" spans="2:2" x14ac:dyDescent="0.35">
      <c r="B7835" s="2"/>
    </row>
    <row r="7837" spans="2:2" x14ac:dyDescent="0.35">
      <c r="B7837" s="3"/>
    </row>
    <row r="7839" spans="2:2" x14ac:dyDescent="0.35">
      <c r="B7839" s="3"/>
    </row>
    <row r="7857" spans="2:2" x14ac:dyDescent="0.35">
      <c r="B7857" s="4"/>
    </row>
    <row r="7859" spans="2:2" x14ac:dyDescent="0.35">
      <c r="B7859" s="4"/>
    </row>
    <row r="7864" spans="2:2" x14ac:dyDescent="0.35">
      <c r="B7864" s="2"/>
    </row>
    <row r="7870" spans="2:2" x14ac:dyDescent="0.35">
      <c r="B7870" s="2"/>
    </row>
    <row r="7872" spans="2:2" x14ac:dyDescent="0.35">
      <c r="B7872" s="2"/>
    </row>
    <row r="7874" spans="2:2" x14ac:dyDescent="0.35">
      <c r="B7874" s="2"/>
    </row>
    <row r="7876" spans="2:2" x14ac:dyDescent="0.35">
      <c r="B7876" s="2"/>
    </row>
    <row r="7880" spans="2:2" x14ac:dyDescent="0.35">
      <c r="B7880" s="2"/>
    </row>
    <row r="7882" spans="2:2" x14ac:dyDescent="0.35">
      <c r="B7882" s="3"/>
    </row>
    <row r="7884" spans="2:2" x14ac:dyDescent="0.35">
      <c r="B7884" s="3"/>
    </row>
    <row r="7902" spans="2:2" x14ac:dyDescent="0.35">
      <c r="B7902" s="4"/>
    </row>
    <row r="7904" spans="2:2" x14ac:dyDescent="0.35">
      <c r="B7904" s="4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Control</vt:lpstr>
      <vt:lpstr>Backtest_result</vt:lpstr>
      <vt:lpstr>Data</vt:lpstr>
      <vt:lpstr>fix</vt:lpstr>
      <vt:lpstr>Raw Quant Connect Data</vt:lpstr>
      <vt:lpstr>Config</vt:lpstr>
      <vt:lpstr>End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ms</dc:creator>
  <cp:lastModifiedBy>pc ms</cp:lastModifiedBy>
  <dcterms:created xsi:type="dcterms:W3CDTF">2023-07-19T22:19:24Z</dcterms:created>
  <dcterms:modified xsi:type="dcterms:W3CDTF">2023-07-27T12:20:34Z</dcterms:modified>
</cp:coreProperties>
</file>